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20" yWindow="120" windowWidth="15180" windowHeight="9285"/>
  </bookViews>
  <sheets>
    <sheet name="License" sheetId="7" r:id="rId1"/>
    <sheet name="Raw Data" sheetId="1" r:id="rId2"/>
    <sheet name="Formatted Data" sheetId="5" r:id="rId3"/>
    <sheet name="Summary" sheetId="6" r:id="rId4"/>
  </sheets>
  <functionGroups builtInGroupCount="17"/>
  <externalReferences>
    <externalReference r:id="rId5"/>
  </externalReferences>
  <definedNames>
    <definedName name="Fco_target">[1]LoopAnalysis!$B$29</definedName>
    <definedName name="fs">[1]LoopAnalysis!$B$7</definedName>
  </definedNames>
  <calcPr calcId="145621" concurrentCalc="0"/>
</workbook>
</file>

<file path=xl/calcChain.xml><?xml version="1.0" encoding="utf-8"?>
<calcChain xmlns="http://schemas.openxmlformats.org/spreadsheetml/2006/main">
  <c r="G12" i="6" l="1"/>
  <c r="G11" i="6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474" i="5"/>
  <c r="J475" i="5"/>
  <c r="J476" i="5"/>
  <c r="J477" i="5"/>
  <c r="J478" i="5"/>
  <c r="J479" i="5"/>
  <c r="J480" i="5"/>
  <c r="J481" i="5"/>
  <c r="J482" i="5"/>
  <c r="J483" i="5"/>
  <c r="J484" i="5"/>
  <c r="J485" i="5"/>
  <c r="J486" i="5"/>
  <c r="J487" i="5"/>
  <c r="J488" i="5"/>
  <c r="J489" i="5"/>
  <c r="J490" i="5"/>
  <c r="J491" i="5"/>
  <c r="J492" i="5"/>
  <c r="J493" i="5"/>
  <c r="J494" i="5"/>
  <c r="J495" i="5"/>
  <c r="J496" i="5"/>
  <c r="J497" i="5"/>
  <c r="J498" i="5"/>
  <c r="J499" i="5"/>
  <c r="J500" i="5"/>
  <c r="J501" i="5"/>
  <c r="J502" i="5"/>
  <c r="J503" i="5"/>
  <c r="J504" i="5"/>
  <c r="J505" i="5"/>
  <c r="J506" i="5"/>
  <c r="J507" i="5"/>
  <c r="J508" i="5"/>
  <c r="J509" i="5"/>
  <c r="J510" i="5"/>
  <c r="J511" i="5"/>
  <c r="J512" i="5"/>
  <c r="J513" i="5"/>
  <c r="J514" i="5"/>
  <c r="J515" i="5"/>
  <c r="J516" i="5"/>
  <c r="J517" i="5"/>
  <c r="J518" i="5"/>
  <c r="J519" i="5"/>
  <c r="J520" i="5"/>
  <c r="J521" i="5"/>
  <c r="J522" i="5"/>
  <c r="J523" i="5"/>
  <c r="J524" i="5"/>
  <c r="J525" i="5"/>
  <c r="J526" i="5"/>
  <c r="J527" i="5"/>
  <c r="J528" i="5"/>
  <c r="J529" i="5"/>
  <c r="J530" i="5"/>
  <c r="J531" i="5"/>
  <c r="J532" i="5"/>
  <c r="J533" i="5"/>
  <c r="J534" i="5"/>
  <c r="J535" i="5"/>
  <c r="J536" i="5"/>
  <c r="J537" i="5"/>
  <c r="J538" i="5"/>
  <c r="J539" i="5"/>
  <c r="J540" i="5"/>
  <c r="J541" i="5"/>
  <c r="J542" i="5"/>
  <c r="J543" i="5"/>
  <c r="J544" i="5"/>
  <c r="J545" i="5"/>
  <c r="J546" i="5"/>
  <c r="J547" i="5"/>
  <c r="J548" i="5"/>
  <c r="J549" i="5"/>
  <c r="J550" i="5"/>
  <c r="J551" i="5"/>
  <c r="J552" i="5"/>
  <c r="J553" i="5"/>
  <c r="J554" i="5"/>
  <c r="J555" i="5"/>
  <c r="J556" i="5"/>
  <c r="J557" i="5"/>
  <c r="J558" i="5"/>
  <c r="J559" i="5"/>
  <c r="J560" i="5"/>
  <c r="J561" i="5"/>
  <c r="J562" i="5"/>
  <c r="J563" i="5"/>
  <c r="J564" i="5"/>
  <c r="J565" i="5"/>
  <c r="J566" i="5"/>
  <c r="J567" i="5"/>
  <c r="J568" i="5"/>
  <c r="J569" i="5"/>
  <c r="J570" i="5"/>
  <c r="J571" i="5"/>
  <c r="J572" i="5"/>
  <c r="J573" i="5"/>
  <c r="J574" i="5"/>
  <c r="J575" i="5"/>
  <c r="J576" i="5"/>
  <c r="J577" i="5"/>
  <c r="J578" i="5"/>
  <c r="J579" i="5"/>
  <c r="J580" i="5"/>
  <c r="J581" i="5"/>
  <c r="J582" i="5"/>
  <c r="J583" i="5"/>
  <c r="J584" i="5"/>
  <c r="J585" i="5"/>
  <c r="J586" i="5"/>
  <c r="J587" i="5"/>
  <c r="J588" i="5"/>
  <c r="J589" i="5"/>
  <c r="J590" i="5"/>
  <c r="J591" i="5"/>
  <c r="J592" i="5"/>
  <c r="J593" i="5"/>
  <c r="J594" i="5"/>
  <c r="J595" i="5"/>
  <c r="J596" i="5"/>
  <c r="J597" i="5"/>
  <c r="J598" i="5"/>
  <c r="J599" i="5"/>
  <c r="J600" i="5"/>
  <c r="J601" i="5"/>
  <c r="J602" i="5"/>
  <c r="J603" i="5"/>
  <c r="J604" i="5"/>
  <c r="J605" i="5"/>
  <c r="J606" i="5"/>
  <c r="J607" i="5"/>
  <c r="J608" i="5"/>
  <c r="J609" i="5"/>
  <c r="J610" i="5"/>
  <c r="J611" i="5"/>
  <c r="J612" i="5"/>
  <c r="J613" i="5"/>
  <c r="J614" i="5"/>
  <c r="J615" i="5"/>
  <c r="J616" i="5"/>
  <c r="J617" i="5"/>
  <c r="J618" i="5"/>
  <c r="J619" i="5"/>
  <c r="J620" i="5"/>
  <c r="J621" i="5"/>
  <c r="J622" i="5"/>
  <c r="J623" i="5"/>
  <c r="J624" i="5"/>
  <c r="J625" i="5"/>
  <c r="J626" i="5"/>
  <c r="J627" i="5"/>
  <c r="J628" i="5"/>
  <c r="J629" i="5"/>
  <c r="J630" i="5"/>
  <c r="J631" i="5"/>
  <c r="J632" i="5"/>
  <c r="J633" i="5"/>
  <c r="J634" i="5"/>
  <c r="J635" i="5"/>
  <c r="J636" i="5"/>
  <c r="J637" i="5"/>
  <c r="J638" i="5"/>
  <c r="J639" i="5"/>
  <c r="J640" i="5"/>
  <c r="J641" i="5"/>
  <c r="J642" i="5"/>
  <c r="J643" i="5"/>
  <c r="J644" i="5"/>
  <c r="J645" i="5"/>
  <c r="J646" i="5"/>
  <c r="J647" i="5"/>
  <c r="J648" i="5"/>
  <c r="J649" i="5"/>
  <c r="J650" i="5"/>
  <c r="J651" i="5"/>
  <c r="J652" i="5"/>
  <c r="J653" i="5"/>
  <c r="J654" i="5"/>
  <c r="J655" i="5"/>
  <c r="J656" i="5"/>
  <c r="J657" i="5"/>
  <c r="J658" i="5"/>
  <c r="J659" i="5"/>
  <c r="J660" i="5"/>
  <c r="J661" i="5"/>
  <c r="J662" i="5"/>
  <c r="J663" i="5"/>
  <c r="J664" i="5"/>
  <c r="J665" i="5"/>
  <c r="J666" i="5"/>
  <c r="J667" i="5"/>
  <c r="J668" i="5"/>
  <c r="J669" i="5"/>
  <c r="J670" i="5"/>
  <c r="J671" i="5"/>
  <c r="J672" i="5"/>
  <c r="J673" i="5"/>
  <c r="J674" i="5"/>
  <c r="J675" i="5"/>
  <c r="J676" i="5"/>
  <c r="J677" i="5"/>
  <c r="J678" i="5"/>
  <c r="J679" i="5"/>
  <c r="J680" i="5"/>
  <c r="J681" i="5"/>
  <c r="J682" i="5"/>
  <c r="J683" i="5"/>
  <c r="J684" i="5"/>
  <c r="J685" i="5"/>
  <c r="J686" i="5"/>
  <c r="J687" i="5"/>
  <c r="J688" i="5"/>
  <c r="J689" i="5"/>
  <c r="J690" i="5"/>
  <c r="J691" i="5"/>
  <c r="J692" i="5"/>
  <c r="J693" i="5"/>
  <c r="J694" i="5"/>
  <c r="J695" i="5"/>
  <c r="J696" i="5"/>
  <c r="J697" i="5"/>
  <c r="J698" i="5"/>
  <c r="J699" i="5"/>
  <c r="J700" i="5"/>
  <c r="J701" i="5"/>
  <c r="J702" i="5"/>
  <c r="J703" i="5"/>
  <c r="J704" i="5"/>
  <c r="J705" i="5"/>
  <c r="J706" i="5"/>
  <c r="J707" i="5"/>
  <c r="J708" i="5"/>
  <c r="J709" i="5"/>
  <c r="J710" i="5"/>
  <c r="J711" i="5"/>
  <c r="J712" i="5"/>
  <c r="J713" i="5"/>
  <c r="J714" i="5"/>
  <c r="J715" i="5"/>
  <c r="J716" i="5"/>
  <c r="J717" i="5"/>
  <c r="J718" i="5"/>
  <c r="J719" i="5"/>
  <c r="J720" i="5"/>
  <c r="J721" i="5"/>
  <c r="J722" i="5"/>
  <c r="J723" i="5"/>
  <c r="J724" i="5"/>
  <c r="J725" i="5"/>
  <c r="J726" i="5"/>
  <c r="J727" i="5"/>
  <c r="J728" i="5"/>
  <c r="J729" i="5"/>
  <c r="J730" i="5"/>
  <c r="J731" i="5"/>
  <c r="J732" i="5"/>
  <c r="J733" i="5"/>
  <c r="J734" i="5"/>
  <c r="J735" i="5"/>
  <c r="J736" i="5"/>
  <c r="J737" i="5"/>
  <c r="J738" i="5"/>
  <c r="J739" i="5"/>
  <c r="J740" i="5"/>
  <c r="J741" i="5"/>
  <c r="J742" i="5"/>
  <c r="J743" i="5"/>
  <c r="J744" i="5"/>
  <c r="J745" i="5"/>
  <c r="J746" i="5"/>
  <c r="J747" i="5"/>
  <c r="J748" i="5"/>
  <c r="J749" i="5"/>
  <c r="J750" i="5"/>
  <c r="J751" i="5"/>
  <c r="J752" i="5"/>
  <c r="J753" i="5"/>
  <c r="J754" i="5"/>
  <c r="J755" i="5"/>
  <c r="J756" i="5"/>
  <c r="J757" i="5"/>
  <c r="J758" i="5"/>
  <c r="J759" i="5"/>
  <c r="J760" i="5"/>
  <c r="J761" i="5"/>
  <c r="J762" i="5"/>
  <c r="J763" i="5"/>
  <c r="J764" i="5"/>
  <c r="J765" i="5"/>
  <c r="J766" i="5"/>
  <c r="J767" i="5"/>
  <c r="J768" i="5"/>
  <c r="J769" i="5"/>
  <c r="J770" i="5"/>
  <c r="J771" i="5"/>
  <c r="J772" i="5"/>
  <c r="J773" i="5"/>
  <c r="J774" i="5"/>
  <c r="J775" i="5"/>
  <c r="J776" i="5"/>
  <c r="J777" i="5"/>
  <c r="J778" i="5"/>
  <c r="J779" i="5"/>
  <c r="J780" i="5"/>
  <c r="J781" i="5"/>
  <c r="J782" i="5"/>
  <c r="J783" i="5"/>
  <c r="J784" i="5"/>
  <c r="J785" i="5"/>
  <c r="J786" i="5"/>
  <c r="J787" i="5"/>
  <c r="J788" i="5"/>
  <c r="J789" i="5"/>
  <c r="J790" i="5"/>
  <c r="J791" i="5"/>
  <c r="J792" i="5"/>
  <c r="J793" i="5"/>
  <c r="J794" i="5"/>
  <c r="J795" i="5"/>
  <c r="J796" i="5"/>
  <c r="J797" i="5"/>
  <c r="J798" i="5"/>
  <c r="J799" i="5"/>
  <c r="J800" i="5"/>
  <c r="J801" i="5"/>
  <c r="J802" i="5"/>
  <c r="J803" i="5"/>
  <c r="J804" i="5"/>
  <c r="J805" i="5"/>
  <c r="J806" i="5"/>
  <c r="J807" i="5"/>
  <c r="J808" i="5"/>
  <c r="J809" i="5"/>
  <c r="J810" i="5"/>
  <c r="J811" i="5"/>
  <c r="J812" i="5"/>
  <c r="J813" i="5"/>
  <c r="J814" i="5"/>
  <c r="J815" i="5"/>
  <c r="J816" i="5"/>
  <c r="J817" i="5"/>
  <c r="J818" i="5"/>
  <c r="J819" i="5"/>
  <c r="J820" i="5"/>
  <c r="J821" i="5"/>
  <c r="J822" i="5"/>
  <c r="J823" i="5"/>
  <c r="J824" i="5"/>
  <c r="J825" i="5"/>
  <c r="J826" i="5"/>
  <c r="J827" i="5"/>
  <c r="J828" i="5"/>
  <c r="J829" i="5"/>
  <c r="J830" i="5"/>
  <c r="J831" i="5"/>
  <c r="J832" i="5"/>
  <c r="J833" i="5"/>
  <c r="J834" i="5"/>
  <c r="J835" i="5"/>
  <c r="J836" i="5"/>
  <c r="J837" i="5"/>
  <c r="J838" i="5"/>
  <c r="J839" i="5"/>
  <c r="J840" i="5"/>
  <c r="J841" i="5"/>
  <c r="J842" i="5"/>
  <c r="J843" i="5"/>
  <c r="J844" i="5"/>
  <c r="J845" i="5"/>
  <c r="J846" i="5"/>
  <c r="J847" i="5"/>
  <c r="J848" i="5"/>
  <c r="J849" i="5"/>
  <c r="J850" i="5"/>
  <c r="J851" i="5"/>
  <c r="J852" i="5"/>
  <c r="J853" i="5"/>
  <c r="J854" i="5"/>
  <c r="J855" i="5"/>
  <c r="J856" i="5"/>
  <c r="J857" i="5"/>
  <c r="J858" i="5"/>
  <c r="J859" i="5"/>
  <c r="J860" i="5"/>
  <c r="J861" i="5"/>
  <c r="J862" i="5"/>
  <c r="J863" i="5"/>
  <c r="J864" i="5"/>
  <c r="J865" i="5"/>
  <c r="J866" i="5"/>
  <c r="J867" i="5"/>
  <c r="J868" i="5"/>
  <c r="J869" i="5"/>
  <c r="J870" i="5"/>
  <c r="J871" i="5"/>
  <c r="J872" i="5"/>
  <c r="J873" i="5"/>
  <c r="J874" i="5"/>
  <c r="J875" i="5"/>
  <c r="J876" i="5"/>
  <c r="J877" i="5"/>
  <c r="J878" i="5"/>
  <c r="J879" i="5"/>
  <c r="J880" i="5"/>
  <c r="J2" i="5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G10" i="6"/>
  <c r="K2" i="5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60" i="5"/>
  <c r="K261" i="5"/>
  <c r="K262" i="5"/>
  <c r="K263" i="5"/>
  <c r="K264" i="5"/>
  <c r="K265" i="5"/>
  <c r="K266" i="5"/>
  <c r="K267" i="5"/>
  <c r="K268" i="5"/>
  <c r="K269" i="5"/>
  <c r="K270" i="5"/>
  <c r="K271" i="5"/>
  <c r="K272" i="5"/>
  <c r="K273" i="5"/>
  <c r="K274" i="5"/>
  <c r="K275" i="5"/>
  <c r="K276" i="5"/>
  <c r="K277" i="5"/>
  <c r="K278" i="5"/>
  <c r="K279" i="5"/>
  <c r="K280" i="5"/>
  <c r="K281" i="5"/>
  <c r="K282" i="5"/>
  <c r="K283" i="5"/>
  <c r="K284" i="5"/>
  <c r="K285" i="5"/>
  <c r="K286" i="5"/>
  <c r="K287" i="5"/>
  <c r="K288" i="5"/>
  <c r="K289" i="5"/>
  <c r="K290" i="5"/>
  <c r="K291" i="5"/>
  <c r="K292" i="5"/>
  <c r="K293" i="5"/>
  <c r="K294" i="5"/>
  <c r="K295" i="5"/>
  <c r="K296" i="5"/>
  <c r="K297" i="5"/>
  <c r="K298" i="5"/>
  <c r="K299" i="5"/>
  <c r="K300" i="5"/>
  <c r="K301" i="5"/>
  <c r="K302" i="5"/>
  <c r="K303" i="5"/>
  <c r="K304" i="5"/>
  <c r="K305" i="5"/>
  <c r="K306" i="5"/>
  <c r="K307" i="5"/>
  <c r="K308" i="5"/>
  <c r="K309" i="5"/>
  <c r="K310" i="5"/>
  <c r="K311" i="5"/>
  <c r="K312" i="5"/>
  <c r="K313" i="5"/>
  <c r="K314" i="5"/>
  <c r="K315" i="5"/>
  <c r="K316" i="5"/>
  <c r="K317" i="5"/>
  <c r="K318" i="5"/>
  <c r="K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90" i="5"/>
  <c r="K391" i="5"/>
  <c r="K392" i="5"/>
  <c r="K393" i="5"/>
  <c r="K394" i="5"/>
  <c r="K395" i="5"/>
  <c r="K396" i="5"/>
  <c r="K397" i="5"/>
  <c r="K398" i="5"/>
  <c r="K399" i="5"/>
  <c r="K400" i="5"/>
  <c r="K401" i="5"/>
  <c r="K402" i="5"/>
  <c r="K403" i="5"/>
  <c r="K404" i="5"/>
  <c r="K405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2" i="5"/>
  <c r="K423" i="5"/>
  <c r="K424" i="5"/>
  <c r="K425" i="5"/>
  <c r="K426" i="5"/>
  <c r="K427" i="5"/>
  <c r="K428" i="5"/>
  <c r="K429" i="5"/>
  <c r="K430" i="5"/>
  <c r="K431" i="5"/>
  <c r="K432" i="5"/>
  <c r="K433" i="5"/>
  <c r="K434" i="5"/>
  <c r="K435" i="5"/>
  <c r="K436" i="5"/>
  <c r="K437" i="5"/>
  <c r="K438" i="5"/>
  <c r="K439" i="5"/>
  <c r="K440" i="5"/>
  <c r="K441" i="5"/>
  <c r="K442" i="5"/>
  <c r="K443" i="5"/>
  <c r="K444" i="5"/>
  <c r="K445" i="5"/>
  <c r="K446" i="5"/>
  <c r="K447" i="5"/>
  <c r="K448" i="5"/>
  <c r="K449" i="5"/>
  <c r="K450" i="5"/>
  <c r="K451" i="5"/>
  <c r="K452" i="5"/>
  <c r="K453" i="5"/>
  <c r="K454" i="5"/>
  <c r="K455" i="5"/>
  <c r="K456" i="5"/>
  <c r="K457" i="5"/>
  <c r="K458" i="5"/>
  <c r="K459" i="5"/>
  <c r="K460" i="5"/>
  <c r="K461" i="5"/>
  <c r="K462" i="5"/>
  <c r="K463" i="5"/>
  <c r="K464" i="5"/>
  <c r="K465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K478" i="5"/>
  <c r="K479" i="5"/>
  <c r="K480" i="5"/>
  <c r="K481" i="5"/>
  <c r="K482" i="5"/>
  <c r="K483" i="5"/>
  <c r="K484" i="5"/>
  <c r="K485" i="5"/>
  <c r="K486" i="5"/>
  <c r="K487" i="5"/>
  <c r="K488" i="5"/>
  <c r="K489" i="5"/>
  <c r="K490" i="5"/>
  <c r="K491" i="5"/>
  <c r="K492" i="5"/>
  <c r="K493" i="5"/>
  <c r="K494" i="5"/>
  <c r="K495" i="5"/>
  <c r="K496" i="5"/>
  <c r="K497" i="5"/>
  <c r="K498" i="5"/>
  <c r="K499" i="5"/>
  <c r="K500" i="5"/>
  <c r="K501" i="5"/>
  <c r="K502" i="5"/>
  <c r="K503" i="5"/>
  <c r="K504" i="5"/>
  <c r="K505" i="5"/>
  <c r="K506" i="5"/>
  <c r="K507" i="5"/>
  <c r="K508" i="5"/>
  <c r="K509" i="5"/>
  <c r="K510" i="5"/>
  <c r="K511" i="5"/>
  <c r="K512" i="5"/>
  <c r="K513" i="5"/>
  <c r="K514" i="5"/>
  <c r="K515" i="5"/>
  <c r="K516" i="5"/>
  <c r="K517" i="5"/>
  <c r="K518" i="5"/>
  <c r="K519" i="5"/>
  <c r="K520" i="5"/>
  <c r="K521" i="5"/>
  <c r="K522" i="5"/>
  <c r="K523" i="5"/>
  <c r="K524" i="5"/>
  <c r="K525" i="5"/>
  <c r="K526" i="5"/>
  <c r="K527" i="5"/>
  <c r="K528" i="5"/>
  <c r="K529" i="5"/>
  <c r="K530" i="5"/>
  <c r="K531" i="5"/>
  <c r="K532" i="5"/>
  <c r="K533" i="5"/>
  <c r="K534" i="5"/>
  <c r="K535" i="5"/>
  <c r="K536" i="5"/>
  <c r="K537" i="5"/>
  <c r="K538" i="5"/>
  <c r="K539" i="5"/>
  <c r="K540" i="5"/>
  <c r="K541" i="5"/>
  <c r="K542" i="5"/>
  <c r="K543" i="5"/>
  <c r="K544" i="5"/>
  <c r="K545" i="5"/>
  <c r="K546" i="5"/>
  <c r="K547" i="5"/>
  <c r="K548" i="5"/>
  <c r="K549" i="5"/>
  <c r="K550" i="5"/>
  <c r="K551" i="5"/>
  <c r="K552" i="5"/>
  <c r="K553" i="5"/>
  <c r="K554" i="5"/>
  <c r="K555" i="5"/>
  <c r="K556" i="5"/>
  <c r="K557" i="5"/>
  <c r="K558" i="5"/>
  <c r="K559" i="5"/>
  <c r="K560" i="5"/>
  <c r="K561" i="5"/>
  <c r="K562" i="5"/>
  <c r="K563" i="5"/>
  <c r="K564" i="5"/>
  <c r="K565" i="5"/>
  <c r="K566" i="5"/>
  <c r="K567" i="5"/>
  <c r="K568" i="5"/>
  <c r="K569" i="5"/>
  <c r="K570" i="5"/>
  <c r="K571" i="5"/>
  <c r="K572" i="5"/>
  <c r="K573" i="5"/>
  <c r="K574" i="5"/>
  <c r="K575" i="5"/>
  <c r="K576" i="5"/>
  <c r="K577" i="5"/>
  <c r="K578" i="5"/>
  <c r="K579" i="5"/>
  <c r="K580" i="5"/>
  <c r="K581" i="5"/>
  <c r="K582" i="5"/>
  <c r="K583" i="5"/>
  <c r="K584" i="5"/>
  <c r="K585" i="5"/>
  <c r="K586" i="5"/>
  <c r="K587" i="5"/>
  <c r="K588" i="5"/>
  <c r="K589" i="5"/>
  <c r="K590" i="5"/>
  <c r="K591" i="5"/>
  <c r="K592" i="5"/>
  <c r="K593" i="5"/>
  <c r="K594" i="5"/>
  <c r="K595" i="5"/>
  <c r="K596" i="5"/>
  <c r="K597" i="5"/>
  <c r="K598" i="5"/>
  <c r="K599" i="5"/>
  <c r="K600" i="5"/>
  <c r="K601" i="5"/>
  <c r="K602" i="5"/>
  <c r="K603" i="5"/>
  <c r="K604" i="5"/>
  <c r="K605" i="5"/>
  <c r="K606" i="5"/>
  <c r="K607" i="5"/>
  <c r="K608" i="5"/>
  <c r="K609" i="5"/>
  <c r="K610" i="5"/>
  <c r="K611" i="5"/>
  <c r="K612" i="5"/>
  <c r="K613" i="5"/>
  <c r="K614" i="5"/>
  <c r="K615" i="5"/>
  <c r="K616" i="5"/>
  <c r="K617" i="5"/>
  <c r="K618" i="5"/>
  <c r="K619" i="5"/>
  <c r="K620" i="5"/>
  <c r="K621" i="5"/>
  <c r="K622" i="5"/>
  <c r="K623" i="5"/>
  <c r="K624" i="5"/>
  <c r="K625" i="5"/>
  <c r="K626" i="5"/>
  <c r="K627" i="5"/>
  <c r="K628" i="5"/>
  <c r="K629" i="5"/>
  <c r="K630" i="5"/>
  <c r="K631" i="5"/>
  <c r="K632" i="5"/>
  <c r="K633" i="5"/>
  <c r="K634" i="5"/>
  <c r="K635" i="5"/>
  <c r="K636" i="5"/>
  <c r="K637" i="5"/>
  <c r="K638" i="5"/>
  <c r="K639" i="5"/>
  <c r="K640" i="5"/>
  <c r="K641" i="5"/>
  <c r="K642" i="5"/>
  <c r="K643" i="5"/>
  <c r="K644" i="5"/>
  <c r="K645" i="5"/>
  <c r="K646" i="5"/>
  <c r="K647" i="5"/>
  <c r="K648" i="5"/>
  <c r="K649" i="5"/>
  <c r="K650" i="5"/>
  <c r="K651" i="5"/>
  <c r="K652" i="5"/>
  <c r="K653" i="5"/>
  <c r="K654" i="5"/>
  <c r="K655" i="5"/>
  <c r="K656" i="5"/>
  <c r="K657" i="5"/>
  <c r="K658" i="5"/>
  <c r="K659" i="5"/>
  <c r="K660" i="5"/>
  <c r="K661" i="5"/>
  <c r="K662" i="5"/>
  <c r="K663" i="5"/>
  <c r="K664" i="5"/>
  <c r="K665" i="5"/>
  <c r="K666" i="5"/>
  <c r="K667" i="5"/>
  <c r="K668" i="5"/>
  <c r="K669" i="5"/>
  <c r="K670" i="5"/>
  <c r="K671" i="5"/>
  <c r="K672" i="5"/>
  <c r="K673" i="5"/>
  <c r="K674" i="5"/>
  <c r="K675" i="5"/>
  <c r="K676" i="5"/>
  <c r="K677" i="5"/>
  <c r="K678" i="5"/>
  <c r="K679" i="5"/>
  <c r="K680" i="5"/>
  <c r="K681" i="5"/>
  <c r="K682" i="5"/>
  <c r="K683" i="5"/>
  <c r="K684" i="5"/>
  <c r="K685" i="5"/>
  <c r="K686" i="5"/>
  <c r="K687" i="5"/>
  <c r="K688" i="5"/>
  <c r="K689" i="5"/>
  <c r="K690" i="5"/>
  <c r="K691" i="5"/>
  <c r="K692" i="5"/>
  <c r="K693" i="5"/>
  <c r="K694" i="5"/>
  <c r="K695" i="5"/>
  <c r="K696" i="5"/>
  <c r="K697" i="5"/>
  <c r="K698" i="5"/>
  <c r="K699" i="5"/>
  <c r="K700" i="5"/>
  <c r="K701" i="5"/>
  <c r="K702" i="5"/>
  <c r="K703" i="5"/>
  <c r="K704" i="5"/>
  <c r="K705" i="5"/>
  <c r="K706" i="5"/>
  <c r="K707" i="5"/>
  <c r="K708" i="5"/>
  <c r="K709" i="5"/>
  <c r="K710" i="5"/>
  <c r="K711" i="5"/>
  <c r="K712" i="5"/>
  <c r="K713" i="5"/>
  <c r="K714" i="5"/>
  <c r="K715" i="5"/>
  <c r="K716" i="5"/>
  <c r="K717" i="5"/>
  <c r="K718" i="5"/>
  <c r="K719" i="5"/>
  <c r="K720" i="5"/>
  <c r="K721" i="5"/>
  <c r="K722" i="5"/>
  <c r="K723" i="5"/>
  <c r="K724" i="5"/>
  <c r="K725" i="5"/>
  <c r="K726" i="5"/>
  <c r="K727" i="5"/>
  <c r="K728" i="5"/>
  <c r="K729" i="5"/>
  <c r="K730" i="5"/>
  <c r="K731" i="5"/>
  <c r="K732" i="5"/>
  <c r="K733" i="5"/>
  <c r="K734" i="5"/>
  <c r="K735" i="5"/>
  <c r="K736" i="5"/>
  <c r="K737" i="5"/>
  <c r="K738" i="5"/>
  <c r="K739" i="5"/>
  <c r="K740" i="5"/>
  <c r="K741" i="5"/>
  <c r="K742" i="5"/>
  <c r="K743" i="5"/>
  <c r="K744" i="5"/>
  <c r="K745" i="5"/>
  <c r="K746" i="5"/>
  <c r="K747" i="5"/>
  <c r="K748" i="5"/>
  <c r="K749" i="5"/>
  <c r="K750" i="5"/>
  <c r="K751" i="5"/>
  <c r="K752" i="5"/>
  <c r="K753" i="5"/>
  <c r="K754" i="5"/>
  <c r="K755" i="5"/>
  <c r="K756" i="5"/>
  <c r="K757" i="5"/>
  <c r="K758" i="5"/>
  <c r="K759" i="5"/>
  <c r="K760" i="5"/>
  <c r="K761" i="5"/>
  <c r="K762" i="5"/>
  <c r="K763" i="5"/>
  <c r="K764" i="5"/>
  <c r="K765" i="5"/>
  <c r="K766" i="5"/>
  <c r="K767" i="5"/>
  <c r="K768" i="5"/>
  <c r="K769" i="5"/>
  <c r="K770" i="5"/>
  <c r="K771" i="5"/>
  <c r="K772" i="5"/>
  <c r="K773" i="5"/>
  <c r="K774" i="5"/>
  <c r="K775" i="5"/>
  <c r="K776" i="5"/>
  <c r="K777" i="5"/>
  <c r="K778" i="5"/>
  <c r="K779" i="5"/>
  <c r="K780" i="5"/>
  <c r="K781" i="5"/>
  <c r="K782" i="5"/>
  <c r="K783" i="5"/>
  <c r="K784" i="5"/>
  <c r="K785" i="5"/>
  <c r="K786" i="5"/>
  <c r="K787" i="5"/>
  <c r="K788" i="5"/>
  <c r="K789" i="5"/>
  <c r="K790" i="5"/>
  <c r="K791" i="5"/>
  <c r="K792" i="5"/>
  <c r="K793" i="5"/>
  <c r="K794" i="5"/>
  <c r="K795" i="5"/>
  <c r="K796" i="5"/>
  <c r="K797" i="5"/>
  <c r="K798" i="5"/>
  <c r="K799" i="5"/>
  <c r="K800" i="5"/>
  <c r="K801" i="5"/>
  <c r="K802" i="5"/>
  <c r="K803" i="5"/>
  <c r="K804" i="5"/>
  <c r="K805" i="5"/>
  <c r="K806" i="5"/>
  <c r="K807" i="5"/>
  <c r="K808" i="5"/>
  <c r="K809" i="5"/>
  <c r="K810" i="5"/>
  <c r="K811" i="5"/>
  <c r="K812" i="5"/>
  <c r="K813" i="5"/>
  <c r="K814" i="5"/>
  <c r="K815" i="5"/>
  <c r="K816" i="5"/>
  <c r="K817" i="5"/>
  <c r="K818" i="5"/>
  <c r="K819" i="5"/>
  <c r="K820" i="5"/>
  <c r="K821" i="5"/>
  <c r="K822" i="5"/>
  <c r="K823" i="5"/>
  <c r="K824" i="5"/>
  <c r="K825" i="5"/>
  <c r="K826" i="5"/>
  <c r="K827" i="5"/>
  <c r="K828" i="5"/>
  <c r="K829" i="5"/>
  <c r="K830" i="5"/>
  <c r="K831" i="5"/>
  <c r="K832" i="5"/>
  <c r="K833" i="5"/>
  <c r="K834" i="5"/>
  <c r="K835" i="5"/>
  <c r="K836" i="5"/>
  <c r="K837" i="5"/>
  <c r="K838" i="5"/>
  <c r="K839" i="5"/>
  <c r="K840" i="5"/>
  <c r="K841" i="5"/>
  <c r="K842" i="5"/>
  <c r="K843" i="5"/>
  <c r="K844" i="5"/>
  <c r="K845" i="5"/>
  <c r="K846" i="5"/>
  <c r="K847" i="5"/>
  <c r="K848" i="5"/>
  <c r="K849" i="5"/>
  <c r="K850" i="5"/>
  <c r="K851" i="5"/>
  <c r="K852" i="5"/>
  <c r="K853" i="5"/>
  <c r="K854" i="5"/>
  <c r="K855" i="5"/>
  <c r="K856" i="5"/>
  <c r="K857" i="5"/>
  <c r="K858" i="5"/>
  <c r="K859" i="5"/>
  <c r="K860" i="5"/>
  <c r="K861" i="5"/>
  <c r="K862" i="5"/>
  <c r="K863" i="5"/>
  <c r="K864" i="5"/>
  <c r="K865" i="5"/>
  <c r="K866" i="5"/>
  <c r="K867" i="5"/>
  <c r="K868" i="5"/>
  <c r="K869" i="5"/>
  <c r="K870" i="5"/>
  <c r="K871" i="5"/>
  <c r="K872" i="5"/>
  <c r="K873" i="5"/>
  <c r="K874" i="5"/>
  <c r="K875" i="5"/>
  <c r="K876" i="5"/>
  <c r="K877" i="5"/>
  <c r="K878" i="5"/>
  <c r="K879" i="5"/>
  <c r="K880" i="5"/>
  <c r="D8" i="6"/>
  <c r="N2" i="5"/>
  <c r="N3" i="5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7" i="5"/>
  <c r="N478" i="5"/>
  <c r="N479" i="5"/>
  <c r="N480" i="5"/>
  <c r="N481" i="5"/>
  <c r="N482" i="5"/>
  <c r="N483" i="5"/>
  <c r="N484" i="5"/>
  <c r="N485" i="5"/>
  <c r="N486" i="5"/>
  <c r="N487" i="5"/>
  <c r="N488" i="5"/>
  <c r="N489" i="5"/>
  <c r="N490" i="5"/>
  <c r="N491" i="5"/>
  <c r="N492" i="5"/>
  <c r="N493" i="5"/>
  <c r="N494" i="5"/>
  <c r="N495" i="5"/>
  <c r="N496" i="5"/>
  <c r="N497" i="5"/>
  <c r="N498" i="5"/>
  <c r="N499" i="5"/>
  <c r="N500" i="5"/>
  <c r="N501" i="5"/>
  <c r="N502" i="5"/>
  <c r="N503" i="5"/>
  <c r="N504" i="5"/>
  <c r="N505" i="5"/>
  <c r="N506" i="5"/>
  <c r="N507" i="5"/>
  <c r="N508" i="5"/>
  <c r="N509" i="5"/>
  <c r="N510" i="5"/>
  <c r="N511" i="5"/>
  <c r="N512" i="5"/>
  <c r="N513" i="5"/>
  <c r="N514" i="5"/>
  <c r="N515" i="5"/>
  <c r="N516" i="5"/>
  <c r="N517" i="5"/>
  <c r="N518" i="5"/>
  <c r="N519" i="5"/>
  <c r="N520" i="5"/>
  <c r="N521" i="5"/>
  <c r="N522" i="5"/>
  <c r="N523" i="5"/>
  <c r="N524" i="5"/>
  <c r="N525" i="5"/>
  <c r="N526" i="5"/>
  <c r="N527" i="5"/>
  <c r="N528" i="5"/>
  <c r="N529" i="5"/>
  <c r="N530" i="5"/>
  <c r="N531" i="5"/>
  <c r="N532" i="5"/>
  <c r="N533" i="5"/>
  <c r="N534" i="5"/>
  <c r="N535" i="5"/>
  <c r="N536" i="5"/>
  <c r="N537" i="5"/>
  <c r="N538" i="5"/>
  <c r="N539" i="5"/>
  <c r="N540" i="5"/>
  <c r="N541" i="5"/>
  <c r="N542" i="5"/>
  <c r="N543" i="5"/>
  <c r="N544" i="5"/>
  <c r="N545" i="5"/>
  <c r="N546" i="5"/>
  <c r="N547" i="5"/>
  <c r="N548" i="5"/>
  <c r="N549" i="5"/>
  <c r="N550" i="5"/>
  <c r="N551" i="5"/>
  <c r="N552" i="5"/>
  <c r="N553" i="5"/>
  <c r="N554" i="5"/>
  <c r="N555" i="5"/>
  <c r="N556" i="5"/>
  <c r="N557" i="5"/>
  <c r="N558" i="5"/>
  <c r="N559" i="5"/>
  <c r="N560" i="5"/>
  <c r="N561" i="5"/>
  <c r="N562" i="5"/>
  <c r="N563" i="5"/>
  <c r="N564" i="5"/>
  <c r="N565" i="5"/>
  <c r="N566" i="5"/>
  <c r="N567" i="5"/>
  <c r="N568" i="5"/>
  <c r="N569" i="5"/>
  <c r="N570" i="5"/>
  <c r="N571" i="5"/>
  <c r="N572" i="5"/>
  <c r="N573" i="5"/>
  <c r="N574" i="5"/>
  <c r="N575" i="5"/>
  <c r="N576" i="5"/>
  <c r="N577" i="5"/>
  <c r="N578" i="5"/>
  <c r="N579" i="5"/>
  <c r="N580" i="5"/>
  <c r="N581" i="5"/>
  <c r="N582" i="5"/>
  <c r="N583" i="5"/>
  <c r="N584" i="5"/>
  <c r="N585" i="5"/>
  <c r="N586" i="5"/>
  <c r="N587" i="5"/>
  <c r="N588" i="5"/>
  <c r="N589" i="5"/>
  <c r="N590" i="5"/>
  <c r="N591" i="5"/>
  <c r="N592" i="5"/>
  <c r="N593" i="5"/>
  <c r="N594" i="5"/>
  <c r="N595" i="5"/>
  <c r="N596" i="5"/>
  <c r="N597" i="5"/>
  <c r="N598" i="5"/>
  <c r="N599" i="5"/>
  <c r="N600" i="5"/>
  <c r="N601" i="5"/>
  <c r="N602" i="5"/>
  <c r="N603" i="5"/>
  <c r="N604" i="5"/>
  <c r="N605" i="5"/>
  <c r="N606" i="5"/>
  <c r="N607" i="5"/>
  <c r="N608" i="5"/>
  <c r="N609" i="5"/>
  <c r="N610" i="5"/>
  <c r="N611" i="5"/>
  <c r="N612" i="5"/>
  <c r="N613" i="5"/>
  <c r="N614" i="5"/>
  <c r="N615" i="5"/>
  <c r="N616" i="5"/>
  <c r="N617" i="5"/>
  <c r="N618" i="5"/>
  <c r="N619" i="5"/>
  <c r="N620" i="5"/>
  <c r="N621" i="5"/>
  <c r="N622" i="5"/>
  <c r="N623" i="5"/>
  <c r="N624" i="5"/>
  <c r="N625" i="5"/>
  <c r="N626" i="5"/>
  <c r="N627" i="5"/>
  <c r="N628" i="5"/>
  <c r="N629" i="5"/>
  <c r="N630" i="5"/>
  <c r="N631" i="5"/>
  <c r="N632" i="5"/>
  <c r="N633" i="5"/>
  <c r="N634" i="5"/>
  <c r="N635" i="5"/>
  <c r="N636" i="5"/>
  <c r="N637" i="5"/>
  <c r="N638" i="5"/>
  <c r="N639" i="5"/>
  <c r="N640" i="5"/>
  <c r="N641" i="5"/>
  <c r="N642" i="5"/>
  <c r="N643" i="5"/>
  <c r="N644" i="5"/>
  <c r="N645" i="5"/>
  <c r="N646" i="5"/>
  <c r="N647" i="5"/>
  <c r="N648" i="5"/>
  <c r="N649" i="5"/>
  <c r="N650" i="5"/>
  <c r="N651" i="5"/>
  <c r="N652" i="5"/>
  <c r="N653" i="5"/>
  <c r="N654" i="5"/>
  <c r="N655" i="5"/>
  <c r="N656" i="5"/>
  <c r="N657" i="5"/>
  <c r="N658" i="5"/>
  <c r="N659" i="5"/>
  <c r="N660" i="5"/>
  <c r="N661" i="5"/>
  <c r="N662" i="5"/>
  <c r="N663" i="5"/>
  <c r="N664" i="5"/>
  <c r="N665" i="5"/>
  <c r="N666" i="5"/>
  <c r="N667" i="5"/>
  <c r="N668" i="5"/>
  <c r="N669" i="5"/>
  <c r="N670" i="5"/>
  <c r="N671" i="5"/>
  <c r="N672" i="5"/>
  <c r="N673" i="5"/>
  <c r="N674" i="5"/>
  <c r="N675" i="5"/>
  <c r="N676" i="5"/>
  <c r="N677" i="5"/>
  <c r="N678" i="5"/>
  <c r="N679" i="5"/>
  <c r="N680" i="5"/>
  <c r="N681" i="5"/>
  <c r="N682" i="5"/>
  <c r="N683" i="5"/>
  <c r="N684" i="5"/>
  <c r="N685" i="5"/>
  <c r="N686" i="5"/>
  <c r="N687" i="5"/>
  <c r="N688" i="5"/>
  <c r="N689" i="5"/>
  <c r="N690" i="5"/>
  <c r="N691" i="5"/>
  <c r="N692" i="5"/>
  <c r="N693" i="5"/>
  <c r="N694" i="5"/>
  <c r="N695" i="5"/>
  <c r="N696" i="5"/>
  <c r="N697" i="5"/>
  <c r="N698" i="5"/>
  <c r="N699" i="5"/>
  <c r="N700" i="5"/>
  <c r="N701" i="5"/>
  <c r="N702" i="5"/>
  <c r="N703" i="5"/>
  <c r="N704" i="5"/>
  <c r="N705" i="5"/>
  <c r="N706" i="5"/>
  <c r="N707" i="5"/>
  <c r="N708" i="5"/>
  <c r="N709" i="5"/>
  <c r="N710" i="5"/>
  <c r="N711" i="5"/>
  <c r="N712" i="5"/>
  <c r="N713" i="5"/>
  <c r="N714" i="5"/>
  <c r="N715" i="5"/>
  <c r="N716" i="5"/>
  <c r="N717" i="5"/>
  <c r="N718" i="5"/>
  <c r="N719" i="5"/>
  <c r="N720" i="5"/>
  <c r="N721" i="5"/>
  <c r="N722" i="5"/>
  <c r="N723" i="5"/>
  <c r="N724" i="5"/>
  <c r="N725" i="5"/>
  <c r="N726" i="5"/>
  <c r="N727" i="5"/>
  <c r="N728" i="5"/>
  <c r="N729" i="5"/>
  <c r="N730" i="5"/>
  <c r="N731" i="5"/>
  <c r="N732" i="5"/>
  <c r="N733" i="5"/>
  <c r="N734" i="5"/>
  <c r="N735" i="5"/>
  <c r="N736" i="5"/>
  <c r="N737" i="5"/>
  <c r="N738" i="5"/>
  <c r="N739" i="5"/>
  <c r="N740" i="5"/>
  <c r="N741" i="5"/>
  <c r="N742" i="5"/>
  <c r="N743" i="5"/>
  <c r="N744" i="5"/>
  <c r="N745" i="5"/>
  <c r="N746" i="5"/>
  <c r="N747" i="5"/>
  <c r="N748" i="5"/>
  <c r="N749" i="5"/>
  <c r="N750" i="5"/>
  <c r="N751" i="5"/>
  <c r="N752" i="5"/>
  <c r="N753" i="5"/>
  <c r="N754" i="5"/>
  <c r="N755" i="5"/>
  <c r="N756" i="5"/>
  <c r="N757" i="5"/>
  <c r="N758" i="5"/>
  <c r="N759" i="5"/>
  <c r="N760" i="5"/>
  <c r="N761" i="5"/>
  <c r="N762" i="5"/>
  <c r="N763" i="5"/>
  <c r="N764" i="5"/>
  <c r="N765" i="5"/>
  <c r="N766" i="5"/>
  <c r="N767" i="5"/>
  <c r="N768" i="5"/>
  <c r="N769" i="5"/>
  <c r="N770" i="5"/>
  <c r="N771" i="5"/>
  <c r="N772" i="5"/>
  <c r="N773" i="5"/>
  <c r="N774" i="5"/>
  <c r="N775" i="5"/>
  <c r="N776" i="5"/>
  <c r="N777" i="5"/>
  <c r="N778" i="5"/>
  <c r="N779" i="5"/>
  <c r="N780" i="5"/>
  <c r="N781" i="5"/>
  <c r="N782" i="5"/>
  <c r="N783" i="5"/>
  <c r="N784" i="5"/>
  <c r="N785" i="5"/>
  <c r="N786" i="5"/>
  <c r="N787" i="5"/>
  <c r="N788" i="5"/>
  <c r="N789" i="5"/>
  <c r="N790" i="5"/>
  <c r="N791" i="5"/>
  <c r="N792" i="5"/>
  <c r="N793" i="5"/>
  <c r="N794" i="5"/>
  <c r="N795" i="5"/>
  <c r="N796" i="5"/>
  <c r="N797" i="5"/>
  <c r="N798" i="5"/>
  <c r="N799" i="5"/>
  <c r="N800" i="5"/>
  <c r="N801" i="5"/>
  <c r="N802" i="5"/>
  <c r="N803" i="5"/>
  <c r="N804" i="5"/>
  <c r="N805" i="5"/>
  <c r="N806" i="5"/>
  <c r="N807" i="5"/>
  <c r="N808" i="5"/>
  <c r="N809" i="5"/>
  <c r="N810" i="5"/>
  <c r="N811" i="5"/>
  <c r="N812" i="5"/>
  <c r="N813" i="5"/>
  <c r="N814" i="5"/>
  <c r="N815" i="5"/>
  <c r="N816" i="5"/>
  <c r="N817" i="5"/>
  <c r="N818" i="5"/>
  <c r="N819" i="5"/>
  <c r="N820" i="5"/>
  <c r="N821" i="5"/>
  <c r="N822" i="5"/>
  <c r="N823" i="5"/>
  <c r="N824" i="5"/>
  <c r="N825" i="5"/>
  <c r="N826" i="5"/>
  <c r="N827" i="5"/>
  <c r="N828" i="5"/>
  <c r="N829" i="5"/>
  <c r="N830" i="5"/>
  <c r="N831" i="5"/>
  <c r="N832" i="5"/>
  <c r="N833" i="5"/>
  <c r="N834" i="5"/>
  <c r="N835" i="5"/>
  <c r="N836" i="5"/>
  <c r="N837" i="5"/>
  <c r="N838" i="5"/>
  <c r="N839" i="5"/>
  <c r="N840" i="5"/>
  <c r="N841" i="5"/>
  <c r="N842" i="5"/>
  <c r="N843" i="5"/>
  <c r="N844" i="5"/>
  <c r="N845" i="5"/>
  <c r="N846" i="5"/>
  <c r="N847" i="5"/>
  <c r="N848" i="5"/>
  <c r="N849" i="5"/>
  <c r="N850" i="5"/>
  <c r="N851" i="5"/>
  <c r="N852" i="5"/>
  <c r="N853" i="5"/>
  <c r="N854" i="5"/>
  <c r="N855" i="5"/>
  <c r="N856" i="5"/>
  <c r="N857" i="5"/>
  <c r="N858" i="5"/>
  <c r="N859" i="5"/>
  <c r="N860" i="5"/>
  <c r="N861" i="5"/>
  <c r="N862" i="5"/>
  <c r="N863" i="5"/>
  <c r="N864" i="5"/>
  <c r="N865" i="5"/>
  <c r="N866" i="5"/>
  <c r="N867" i="5"/>
  <c r="N868" i="5"/>
  <c r="N869" i="5"/>
  <c r="N870" i="5"/>
  <c r="N871" i="5"/>
  <c r="N872" i="5"/>
  <c r="N873" i="5"/>
  <c r="N874" i="5"/>
  <c r="N875" i="5"/>
  <c r="N876" i="5"/>
  <c r="N877" i="5"/>
  <c r="N878" i="5"/>
  <c r="N879" i="5"/>
  <c r="N880" i="5"/>
  <c r="G8" i="6"/>
  <c r="M2" i="5"/>
  <c r="M3" i="5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11" i="5"/>
  <c r="M512" i="5"/>
  <c r="M513" i="5"/>
  <c r="M514" i="5"/>
  <c r="M515" i="5"/>
  <c r="M516" i="5"/>
  <c r="M517" i="5"/>
  <c r="M518" i="5"/>
  <c r="M519" i="5"/>
  <c r="M520" i="5"/>
  <c r="M521" i="5"/>
  <c r="M522" i="5"/>
  <c r="M523" i="5"/>
  <c r="M524" i="5"/>
  <c r="M525" i="5"/>
  <c r="M526" i="5"/>
  <c r="M527" i="5"/>
  <c r="M528" i="5"/>
  <c r="M529" i="5"/>
  <c r="M530" i="5"/>
  <c r="M531" i="5"/>
  <c r="M532" i="5"/>
  <c r="M533" i="5"/>
  <c r="M534" i="5"/>
  <c r="M535" i="5"/>
  <c r="M536" i="5"/>
  <c r="M537" i="5"/>
  <c r="M538" i="5"/>
  <c r="M539" i="5"/>
  <c r="M540" i="5"/>
  <c r="M541" i="5"/>
  <c r="M542" i="5"/>
  <c r="M543" i="5"/>
  <c r="M544" i="5"/>
  <c r="M545" i="5"/>
  <c r="M546" i="5"/>
  <c r="M547" i="5"/>
  <c r="M548" i="5"/>
  <c r="M549" i="5"/>
  <c r="M550" i="5"/>
  <c r="M551" i="5"/>
  <c r="M552" i="5"/>
  <c r="M553" i="5"/>
  <c r="M554" i="5"/>
  <c r="M555" i="5"/>
  <c r="M556" i="5"/>
  <c r="M557" i="5"/>
  <c r="M558" i="5"/>
  <c r="M559" i="5"/>
  <c r="M560" i="5"/>
  <c r="M561" i="5"/>
  <c r="M562" i="5"/>
  <c r="M563" i="5"/>
  <c r="M564" i="5"/>
  <c r="M565" i="5"/>
  <c r="M566" i="5"/>
  <c r="M567" i="5"/>
  <c r="M568" i="5"/>
  <c r="M569" i="5"/>
  <c r="M570" i="5"/>
  <c r="M571" i="5"/>
  <c r="M572" i="5"/>
  <c r="M573" i="5"/>
  <c r="M574" i="5"/>
  <c r="M575" i="5"/>
  <c r="M576" i="5"/>
  <c r="M577" i="5"/>
  <c r="M578" i="5"/>
  <c r="M579" i="5"/>
  <c r="M580" i="5"/>
  <c r="M581" i="5"/>
  <c r="M582" i="5"/>
  <c r="M583" i="5"/>
  <c r="M584" i="5"/>
  <c r="M585" i="5"/>
  <c r="M586" i="5"/>
  <c r="M587" i="5"/>
  <c r="M588" i="5"/>
  <c r="M589" i="5"/>
  <c r="M590" i="5"/>
  <c r="M591" i="5"/>
  <c r="M592" i="5"/>
  <c r="M593" i="5"/>
  <c r="M594" i="5"/>
  <c r="M595" i="5"/>
  <c r="M596" i="5"/>
  <c r="M597" i="5"/>
  <c r="M598" i="5"/>
  <c r="M599" i="5"/>
  <c r="M600" i="5"/>
  <c r="M601" i="5"/>
  <c r="M602" i="5"/>
  <c r="M603" i="5"/>
  <c r="M604" i="5"/>
  <c r="M605" i="5"/>
  <c r="M606" i="5"/>
  <c r="M607" i="5"/>
  <c r="M608" i="5"/>
  <c r="M609" i="5"/>
  <c r="M610" i="5"/>
  <c r="M611" i="5"/>
  <c r="M612" i="5"/>
  <c r="M613" i="5"/>
  <c r="M614" i="5"/>
  <c r="M615" i="5"/>
  <c r="M616" i="5"/>
  <c r="M617" i="5"/>
  <c r="M618" i="5"/>
  <c r="M619" i="5"/>
  <c r="M620" i="5"/>
  <c r="M621" i="5"/>
  <c r="M622" i="5"/>
  <c r="M623" i="5"/>
  <c r="M624" i="5"/>
  <c r="M625" i="5"/>
  <c r="M626" i="5"/>
  <c r="M627" i="5"/>
  <c r="M628" i="5"/>
  <c r="M629" i="5"/>
  <c r="M630" i="5"/>
  <c r="M631" i="5"/>
  <c r="M632" i="5"/>
  <c r="M633" i="5"/>
  <c r="M634" i="5"/>
  <c r="M635" i="5"/>
  <c r="M636" i="5"/>
  <c r="M637" i="5"/>
  <c r="M638" i="5"/>
  <c r="M639" i="5"/>
  <c r="M640" i="5"/>
  <c r="M641" i="5"/>
  <c r="M642" i="5"/>
  <c r="M643" i="5"/>
  <c r="M644" i="5"/>
  <c r="M645" i="5"/>
  <c r="M646" i="5"/>
  <c r="M647" i="5"/>
  <c r="M648" i="5"/>
  <c r="M649" i="5"/>
  <c r="M650" i="5"/>
  <c r="M651" i="5"/>
  <c r="M652" i="5"/>
  <c r="M653" i="5"/>
  <c r="M654" i="5"/>
  <c r="M655" i="5"/>
  <c r="M656" i="5"/>
  <c r="M657" i="5"/>
  <c r="M658" i="5"/>
  <c r="M659" i="5"/>
  <c r="M660" i="5"/>
  <c r="M661" i="5"/>
  <c r="M662" i="5"/>
  <c r="M663" i="5"/>
  <c r="M664" i="5"/>
  <c r="M665" i="5"/>
  <c r="M666" i="5"/>
  <c r="M667" i="5"/>
  <c r="M668" i="5"/>
  <c r="M669" i="5"/>
  <c r="M670" i="5"/>
  <c r="M671" i="5"/>
  <c r="M672" i="5"/>
  <c r="M673" i="5"/>
  <c r="M674" i="5"/>
  <c r="M675" i="5"/>
  <c r="M676" i="5"/>
  <c r="M677" i="5"/>
  <c r="M678" i="5"/>
  <c r="M679" i="5"/>
  <c r="M680" i="5"/>
  <c r="M681" i="5"/>
  <c r="M682" i="5"/>
  <c r="M683" i="5"/>
  <c r="M684" i="5"/>
  <c r="M685" i="5"/>
  <c r="M686" i="5"/>
  <c r="M687" i="5"/>
  <c r="M688" i="5"/>
  <c r="M689" i="5"/>
  <c r="M690" i="5"/>
  <c r="M691" i="5"/>
  <c r="M692" i="5"/>
  <c r="M693" i="5"/>
  <c r="M694" i="5"/>
  <c r="M695" i="5"/>
  <c r="M696" i="5"/>
  <c r="M697" i="5"/>
  <c r="M698" i="5"/>
  <c r="M699" i="5"/>
  <c r="M700" i="5"/>
  <c r="M701" i="5"/>
  <c r="M702" i="5"/>
  <c r="M703" i="5"/>
  <c r="M704" i="5"/>
  <c r="M705" i="5"/>
  <c r="M706" i="5"/>
  <c r="M707" i="5"/>
  <c r="M708" i="5"/>
  <c r="M709" i="5"/>
  <c r="M710" i="5"/>
  <c r="M711" i="5"/>
  <c r="M712" i="5"/>
  <c r="M713" i="5"/>
  <c r="M714" i="5"/>
  <c r="M715" i="5"/>
  <c r="M716" i="5"/>
  <c r="M717" i="5"/>
  <c r="M718" i="5"/>
  <c r="M719" i="5"/>
  <c r="M720" i="5"/>
  <c r="M721" i="5"/>
  <c r="M722" i="5"/>
  <c r="M723" i="5"/>
  <c r="M724" i="5"/>
  <c r="M725" i="5"/>
  <c r="M726" i="5"/>
  <c r="M727" i="5"/>
  <c r="M728" i="5"/>
  <c r="M729" i="5"/>
  <c r="M730" i="5"/>
  <c r="M731" i="5"/>
  <c r="M732" i="5"/>
  <c r="M733" i="5"/>
  <c r="M734" i="5"/>
  <c r="M735" i="5"/>
  <c r="M736" i="5"/>
  <c r="M737" i="5"/>
  <c r="M738" i="5"/>
  <c r="M739" i="5"/>
  <c r="M740" i="5"/>
  <c r="M741" i="5"/>
  <c r="M742" i="5"/>
  <c r="M743" i="5"/>
  <c r="M744" i="5"/>
  <c r="M745" i="5"/>
  <c r="M746" i="5"/>
  <c r="M747" i="5"/>
  <c r="M748" i="5"/>
  <c r="M749" i="5"/>
  <c r="M750" i="5"/>
  <c r="M751" i="5"/>
  <c r="M752" i="5"/>
  <c r="M753" i="5"/>
  <c r="M754" i="5"/>
  <c r="M755" i="5"/>
  <c r="M756" i="5"/>
  <c r="M757" i="5"/>
  <c r="M758" i="5"/>
  <c r="M759" i="5"/>
  <c r="M760" i="5"/>
  <c r="M761" i="5"/>
  <c r="M762" i="5"/>
  <c r="M763" i="5"/>
  <c r="M764" i="5"/>
  <c r="M765" i="5"/>
  <c r="M766" i="5"/>
  <c r="M767" i="5"/>
  <c r="M768" i="5"/>
  <c r="M769" i="5"/>
  <c r="M770" i="5"/>
  <c r="M771" i="5"/>
  <c r="M772" i="5"/>
  <c r="M773" i="5"/>
  <c r="M774" i="5"/>
  <c r="M775" i="5"/>
  <c r="M776" i="5"/>
  <c r="M777" i="5"/>
  <c r="M778" i="5"/>
  <c r="M779" i="5"/>
  <c r="M780" i="5"/>
  <c r="M781" i="5"/>
  <c r="M782" i="5"/>
  <c r="M783" i="5"/>
  <c r="M784" i="5"/>
  <c r="M785" i="5"/>
  <c r="M786" i="5"/>
  <c r="M787" i="5"/>
  <c r="M788" i="5"/>
  <c r="M789" i="5"/>
  <c r="M790" i="5"/>
  <c r="M791" i="5"/>
  <c r="M792" i="5"/>
  <c r="M793" i="5"/>
  <c r="M794" i="5"/>
  <c r="M795" i="5"/>
  <c r="M796" i="5"/>
  <c r="M797" i="5"/>
  <c r="M798" i="5"/>
  <c r="M799" i="5"/>
  <c r="M800" i="5"/>
  <c r="M801" i="5"/>
  <c r="M802" i="5"/>
  <c r="M803" i="5"/>
  <c r="M804" i="5"/>
  <c r="M805" i="5"/>
  <c r="M806" i="5"/>
  <c r="M807" i="5"/>
  <c r="M808" i="5"/>
  <c r="M809" i="5"/>
  <c r="M810" i="5"/>
  <c r="M811" i="5"/>
  <c r="M812" i="5"/>
  <c r="M813" i="5"/>
  <c r="M814" i="5"/>
  <c r="M815" i="5"/>
  <c r="M816" i="5"/>
  <c r="M817" i="5"/>
  <c r="M818" i="5"/>
  <c r="M819" i="5"/>
  <c r="M820" i="5"/>
  <c r="M821" i="5"/>
  <c r="M822" i="5"/>
  <c r="M823" i="5"/>
  <c r="M824" i="5"/>
  <c r="M825" i="5"/>
  <c r="M826" i="5"/>
  <c r="M827" i="5"/>
  <c r="M828" i="5"/>
  <c r="M829" i="5"/>
  <c r="M830" i="5"/>
  <c r="M831" i="5"/>
  <c r="M832" i="5"/>
  <c r="M833" i="5"/>
  <c r="M834" i="5"/>
  <c r="M835" i="5"/>
  <c r="M836" i="5"/>
  <c r="M837" i="5"/>
  <c r="M838" i="5"/>
  <c r="M839" i="5"/>
  <c r="M840" i="5"/>
  <c r="M841" i="5"/>
  <c r="M842" i="5"/>
  <c r="M843" i="5"/>
  <c r="M844" i="5"/>
  <c r="M845" i="5"/>
  <c r="M846" i="5"/>
  <c r="M847" i="5"/>
  <c r="M848" i="5"/>
  <c r="M849" i="5"/>
  <c r="M850" i="5"/>
  <c r="M851" i="5"/>
  <c r="M852" i="5"/>
  <c r="M853" i="5"/>
  <c r="M854" i="5"/>
  <c r="M855" i="5"/>
  <c r="M856" i="5"/>
  <c r="M857" i="5"/>
  <c r="M858" i="5"/>
  <c r="M859" i="5"/>
  <c r="M860" i="5"/>
  <c r="M861" i="5"/>
  <c r="M862" i="5"/>
  <c r="M863" i="5"/>
  <c r="M864" i="5"/>
  <c r="M865" i="5"/>
  <c r="M866" i="5"/>
  <c r="M867" i="5"/>
  <c r="M868" i="5"/>
  <c r="M869" i="5"/>
  <c r="M870" i="5"/>
  <c r="M871" i="5"/>
  <c r="M872" i="5"/>
  <c r="M873" i="5"/>
  <c r="M874" i="5"/>
  <c r="M875" i="5"/>
  <c r="M876" i="5"/>
  <c r="M877" i="5"/>
  <c r="M878" i="5"/>
  <c r="M879" i="5"/>
  <c r="M880" i="5"/>
  <c r="F8" i="6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05" i="5"/>
  <c r="L306" i="5"/>
  <c r="L307" i="5"/>
  <c r="L308" i="5"/>
  <c r="L309" i="5"/>
  <c r="L310" i="5"/>
  <c r="L311" i="5"/>
  <c r="L312" i="5"/>
  <c r="L313" i="5"/>
  <c r="L314" i="5"/>
  <c r="L315" i="5"/>
  <c r="L316" i="5"/>
  <c r="L317" i="5"/>
  <c r="L318" i="5"/>
  <c r="L319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90" i="5"/>
  <c r="L391" i="5"/>
  <c r="L392" i="5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L477" i="5"/>
  <c r="L478" i="5"/>
  <c r="L479" i="5"/>
  <c r="L480" i="5"/>
  <c r="L481" i="5"/>
  <c r="L482" i="5"/>
  <c r="L483" i="5"/>
  <c r="L484" i="5"/>
  <c r="L485" i="5"/>
  <c r="L486" i="5"/>
  <c r="L487" i="5"/>
  <c r="L488" i="5"/>
  <c r="L489" i="5"/>
  <c r="L490" i="5"/>
  <c r="L491" i="5"/>
  <c r="L492" i="5"/>
  <c r="L493" i="5"/>
  <c r="L494" i="5"/>
  <c r="L495" i="5"/>
  <c r="L496" i="5"/>
  <c r="L497" i="5"/>
  <c r="L498" i="5"/>
  <c r="L499" i="5"/>
  <c r="L500" i="5"/>
  <c r="L501" i="5"/>
  <c r="L502" i="5"/>
  <c r="L503" i="5"/>
  <c r="L504" i="5"/>
  <c r="L505" i="5"/>
  <c r="L506" i="5"/>
  <c r="L507" i="5"/>
  <c r="L508" i="5"/>
  <c r="L509" i="5"/>
  <c r="L510" i="5"/>
  <c r="L511" i="5"/>
  <c r="L512" i="5"/>
  <c r="L513" i="5"/>
  <c r="L514" i="5"/>
  <c r="L515" i="5"/>
  <c r="L516" i="5"/>
  <c r="L517" i="5"/>
  <c r="L518" i="5"/>
  <c r="L519" i="5"/>
  <c r="L520" i="5"/>
  <c r="L521" i="5"/>
  <c r="L522" i="5"/>
  <c r="L523" i="5"/>
  <c r="L524" i="5"/>
  <c r="L525" i="5"/>
  <c r="L526" i="5"/>
  <c r="L527" i="5"/>
  <c r="L528" i="5"/>
  <c r="L529" i="5"/>
  <c r="L530" i="5"/>
  <c r="L531" i="5"/>
  <c r="L532" i="5"/>
  <c r="L533" i="5"/>
  <c r="L534" i="5"/>
  <c r="L535" i="5"/>
  <c r="L536" i="5"/>
  <c r="L537" i="5"/>
  <c r="L538" i="5"/>
  <c r="L539" i="5"/>
  <c r="L540" i="5"/>
  <c r="L541" i="5"/>
  <c r="L542" i="5"/>
  <c r="L543" i="5"/>
  <c r="L544" i="5"/>
  <c r="L545" i="5"/>
  <c r="L546" i="5"/>
  <c r="L547" i="5"/>
  <c r="L548" i="5"/>
  <c r="L549" i="5"/>
  <c r="L550" i="5"/>
  <c r="L551" i="5"/>
  <c r="L552" i="5"/>
  <c r="L553" i="5"/>
  <c r="L554" i="5"/>
  <c r="L555" i="5"/>
  <c r="L556" i="5"/>
  <c r="L557" i="5"/>
  <c r="L558" i="5"/>
  <c r="L559" i="5"/>
  <c r="L560" i="5"/>
  <c r="L561" i="5"/>
  <c r="L562" i="5"/>
  <c r="L563" i="5"/>
  <c r="L564" i="5"/>
  <c r="L565" i="5"/>
  <c r="L566" i="5"/>
  <c r="L567" i="5"/>
  <c r="L568" i="5"/>
  <c r="L569" i="5"/>
  <c r="L570" i="5"/>
  <c r="L571" i="5"/>
  <c r="L572" i="5"/>
  <c r="L573" i="5"/>
  <c r="L574" i="5"/>
  <c r="L575" i="5"/>
  <c r="L576" i="5"/>
  <c r="L577" i="5"/>
  <c r="L578" i="5"/>
  <c r="L579" i="5"/>
  <c r="L580" i="5"/>
  <c r="L581" i="5"/>
  <c r="L582" i="5"/>
  <c r="L583" i="5"/>
  <c r="L584" i="5"/>
  <c r="L585" i="5"/>
  <c r="L586" i="5"/>
  <c r="L587" i="5"/>
  <c r="L588" i="5"/>
  <c r="L589" i="5"/>
  <c r="L590" i="5"/>
  <c r="L591" i="5"/>
  <c r="L592" i="5"/>
  <c r="L593" i="5"/>
  <c r="L594" i="5"/>
  <c r="L595" i="5"/>
  <c r="L596" i="5"/>
  <c r="L597" i="5"/>
  <c r="L598" i="5"/>
  <c r="L599" i="5"/>
  <c r="L600" i="5"/>
  <c r="L601" i="5"/>
  <c r="L602" i="5"/>
  <c r="L603" i="5"/>
  <c r="L604" i="5"/>
  <c r="L605" i="5"/>
  <c r="L606" i="5"/>
  <c r="L607" i="5"/>
  <c r="L608" i="5"/>
  <c r="L609" i="5"/>
  <c r="L610" i="5"/>
  <c r="L611" i="5"/>
  <c r="L612" i="5"/>
  <c r="L613" i="5"/>
  <c r="L614" i="5"/>
  <c r="L615" i="5"/>
  <c r="L616" i="5"/>
  <c r="L617" i="5"/>
  <c r="L618" i="5"/>
  <c r="L619" i="5"/>
  <c r="L620" i="5"/>
  <c r="L621" i="5"/>
  <c r="L622" i="5"/>
  <c r="L623" i="5"/>
  <c r="L624" i="5"/>
  <c r="L625" i="5"/>
  <c r="L626" i="5"/>
  <c r="L627" i="5"/>
  <c r="L628" i="5"/>
  <c r="L629" i="5"/>
  <c r="L630" i="5"/>
  <c r="L631" i="5"/>
  <c r="L632" i="5"/>
  <c r="L633" i="5"/>
  <c r="L634" i="5"/>
  <c r="L635" i="5"/>
  <c r="L636" i="5"/>
  <c r="L637" i="5"/>
  <c r="L638" i="5"/>
  <c r="L639" i="5"/>
  <c r="L640" i="5"/>
  <c r="L641" i="5"/>
  <c r="L642" i="5"/>
  <c r="L643" i="5"/>
  <c r="L644" i="5"/>
  <c r="L645" i="5"/>
  <c r="L646" i="5"/>
  <c r="L647" i="5"/>
  <c r="L648" i="5"/>
  <c r="L649" i="5"/>
  <c r="L650" i="5"/>
  <c r="L651" i="5"/>
  <c r="L652" i="5"/>
  <c r="L653" i="5"/>
  <c r="L654" i="5"/>
  <c r="L655" i="5"/>
  <c r="L656" i="5"/>
  <c r="L657" i="5"/>
  <c r="L658" i="5"/>
  <c r="L659" i="5"/>
  <c r="L660" i="5"/>
  <c r="L661" i="5"/>
  <c r="L662" i="5"/>
  <c r="L663" i="5"/>
  <c r="L664" i="5"/>
  <c r="L665" i="5"/>
  <c r="L666" i="5"/>
  <c r="L667" i="5"/>
  <c r="L668" i="5"/>
  <c r="L669" i="5"/>
  <c r="L670" i="5"/>
  <c r="L671" i="5"/>
  <c r="L672" i="5"/>
  <c r="L673" i="5"/>
  <c r="L674" i="5"/>
  <c r="L675" i="5"/>
  <c r="L676" i="5"/>
  <c r="L677" i="5"/>
  <c r="L678" i="5"/>
  <c r="L679" i="5"/>
  <c r="L680" i="5"/>
  <c r="L681" i="5"/>
  <c r="L682" i="5"/>
  <c r="L683" i="5"/>
  <c r="L684" i="5"/>
  <c r="L685" i="5"/>
  <c r="L686" i="5"/>
  <c r="L687" i="5"/>
  <c r="L688" i="5"/>
  <c r="L689" i="5"/>
  <c r="L690" i="5"/>
  <c r="L691" i="5"/>
  <c r="L692" i="5"/>
  <c r="L693" i="5"/>
  <c r="L694" i="5"/>
  <c r="L695" i="5"/>
  <c r="L696" i="5"/>
  <c r="L697" i="5"/>
  <c r="L698" i="5"/>
  <c r="L699" i="5"/>
  <c r="L700" i="5"/>
  <c r="L701" i="5"/>
  <c r="L702" i="5"/>
  <c r="L703" i="5"/>
  <c r="L704" i="5"/>
  <c r="L705" i="5"/>
  <c r="L706" i="5"/>
  <c r="L707" i="5"/>
  <c r="L708" i="5"/>
  <c r="L709" i="5"/>
  <c r="L710" i="5"/>
  <c r="L711" i="5"/>
  <c r="L712" i="5"/>
  <c r="L713" i="5"/>
  <c r="L714" i="5"/>
  <c r="L715" i="5"/>
  <c r="L716" i="5"/>
  <c r="L717" i="5"/>
  <c r="L718" i="5"/>
  <c r="L719" i="5"/>
  <c r="L720" i="5"/>
  <c r="L721" i="5"/>
  <c r="L722" i="5"/>
  <c r="L723" i="5"/>
  <c r="L724" i="5"/>
  <c r="L725" i="5"/>
  <c r="L726" i="5"/>
  <c r="L727" i="5"/>
  <c r="L728" i="5"/>
  <c r="L729" i="5"/>
  <c r="L730" i="5"/>
  <c r="L731" i="5"/>
  <c r="L732" i="5"/>
  <c r="L733" i="5"/>
  <c r="L734" i="5"/>
  <c r="L735" i="5"/>
  <c r="L736" i="5"/>
  <c r="L737" i="5"/>
  <c r="L738" i="5"/>
  <c r="L739" i="5"/>
  <c r="L740" i="5"/>
  <c r="L741" i="5"/>
  <c r="L742" i="5"/>
  <c r="L743" i="5"/>
  <c r="L744" i="5"/>
  <c r="L745" i="5"/>
  <c r="L746" i="5"/>
  <c r="L747" i="5"/>
  <c r="L748" i="5"/>
  <c r="L749" i="5"/>
  <c r="L750" i="5"/>
  <c r="L751" i="5"/>
  <c r="L752" i="5"/>
  <c r="L753" i="5"/>
  <c r="L754" i="5"/>
  <c r="L755" i="5"/>
  <c r="L756" i="5"/>
  <c r="L757" i="5"/>
  <c r="L758" i="5"/>
  <c r="L759" i="5"/>
  <c r="L760" i="5"/>
  <c r="L761" i="5"/>
  <c r="L762" i="5"/>
  <c r="L763" i="5"/>
  <c r="L764" i="5"/>
  <c r="L765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38" i="5"/>
  <c r="L839" i="5"/>
  <c r="L840" i="5"/>
  <c r="L841" i="5"/>
  <c r="L842" i="5"/>
  <c r="L843" i="5"/>
  <c r="L844" i="5"/>
  <c r="L845" i="5"/>
  <c r="L846" i="5"/>
  <c r="L847" i="5"/>
  <c r="L848" i="5"/>
  <c r="L849" i="5"/>
  <c r="L850" i="5"/>
  <c r="L851" i="5"/>
  <c r="L852" i="5"/>
  <c r="L853" i="5"/>
  <c r="L854" i="5"/>
  <c r="L855" i="5"/>
  <c r="L856" i="5"/>
  <c r="L857" i="5"/>
  <c r="L858" i="5"/>
  <c r="L859" i="5"/>
  <c r="L860" i="5"/>
  <c r="L861" i="5"/>
  <c r="L862" i="5"/>
  <c r="L863" i="5"/>
  <c r="L864" i="5"/>
  <c r="L865" i="5"/>
  <c r="L866" i="5"/>
  <c r="L867" i="5"/>
  <c r="L868" i="5"/>
  <c r="L869" i="5"/>
  <c r="L870" i="5"/>
  <c r="L871" i="5"/>
  <c r="L872" i="5"/>
  <c r="L873" i="5"/>
  <c r="L874" i="5"/>
  <c r="L875" i="5"/>
  <c r="L876" i="5"/>
  <c r="L877" i="5"/>
  <c r="L878" i="5"/>
  <c r="L879" i="5"/>
  <c r="L880" i="5"/>
  <c r="E8" i="6"/>
  <c r="I2" i="5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I703" i="5"/>
  <c r="I704" i="5"/>
  <c r="I705" i="5"/>
  <c r="I706" i="5"/>
  <c r="I707" i="5"/>
  <c r="I708" i="5"/>
  <c r="I709" i="5"/>
  <c r="I710" i="5"/>
  <c r="I711" i="5"/>
  <c r="I712" i="5"/>
  <c r="I713" i="5"/>
  <c r="I714" i="5"/>
  <c r="I715" i="5"/>
  <c r="I716" i="5"/>
  <c r="I717" i="5"/>
  <c r="I718" i="5"/>
  <c r="I719" i="5"/>
  <c r="I720" i="5"/>
  <c r="I721" i="5"/>
  <c r="I722" i="5"/>
  <c r="I723" i="5"/>
  <c r="I724" i="5"/>
  <c r="I725" i="5"/>
  <c r="I726" i="5"/>
  <c r="I727" i="5"/>
  <c r="I728" i="5"/>
  <c r="I729" i="5"/>
  <c r="I730" i="5"/>
  <c r="I731" i="5"/>
  <c r="I732" i="5"/>
  <c r="I733" i="5"/>
  <c r="I734" i="5"/>
  <c r="I735" i="5"/>
  <c r="I736" i="5"/>
  <c r="I737" i="5"/>
  <c r="I738" i="5"/>
  <c r="I739" i="5"/>
  <c r="I740" i="5"/>
  <c r="I741" i="5"/>
  <c r="I742" i="5"/>
  <c r="I743" i="5"/>
  <c r="I744" i="5"/>
  <c r="I745" i="5"/>
  <c r="I746" i="5"/>
  <c r="I747" i="5"/>
  <c r="I748" i="5"/>
  <c r="I749" i="5"/>
  <c r="I750" i="5"/>
  <c r="I751" i="5"/>
  <c r="I752" i="5"/>
  <c r="I753" i="5"/>
  <c r="I754" i="5"/>
  <c r="I755" i="5"/>
  <c r="I756" i="5"/>
  <c r="I757" i="5"/>
  <c r="I758" i="5"/>
  <c r="I759" i="5"/>
  <c r="I760" i="5"/>
  <c r="I761" i="5"/>
  <c r="I762" i="5"/>
  <c r="I763" i="5"/>
  <c r="I764" i="5"/>
  <c r="I765" i="5"/>
  <c r="I766" i="5"/>
  <c r="I767" i="5"/>
  <c r="I768" i="5"/>
  <c r="I769" i="5"/>
  <c r="I770" i="5"/>
  <c r="I771" i="5"/>
  <c r="I772" i="5"/>
  <c r="I773" i="5"/>
  <c r="I774" i="5"/>
  <c r="I775" i="5"/>
  <c r="I776" i="5"/>
  <c r="I777" i="5"/>
  <c r="I778" i="5"/>
  <c r="I779" i="5"/>
  <c r="I780" i="5"/>
  <c r="I781" i="5"/>
  <c r="I782" i="5"/>
  <c r="I783" i="5"/>
  <c r="I784" i="5"/>
  <c r="I785" i="5"/>
  <c r="I786" i="5"/>
  <c r="I787" i="5"/>
  <c r="I788" i="5"/>
  <c r="I789" i="5"/>
  <c r="I790" i="5"/>
  <c r="I791" i="5"/>
  <c r="I792" i="5"/>
  <c r="I793" i="5"/>
  <c r="I794" i="5"/>
  <c r="I795" i="5"/>
  <c r="I796" i="5"/>
  <c r="I797" i="5"/>
  <c r="I798" i="5"/>
  <c r="I799" i="5"/>
  <c r="I800" i="5"/>
  <c r="I801" i="5"/>
  <c r="I802" i="5"/>
  <c r="I803" i="5"/>
  <c r="I804" i="5"/>
  <c r="I805" i="5"/>
  <c r="I806" i="5"/>
  <c r="I807" i="5"/>
  <c r="I808" i="5"/>
  <c r="I809" i="5"/>
  <c r="I810" i="5"/>
  <c r="I811" i="5"/>
  <c r="I812" i="5"/>
  <c r="I813" i="5"/>
  <c r="I814" i="5"/>
  <c r="I815" i="5"/>
  <c r="I816" i="5"/>
  <c r="I817" i="5"/>
  <c r="I818" i="5"/>
  <c r="I819" i="5"/>
  <c r="I820" i="5"/>
  <c r="I821" i="5"/>
  <c r="I822" i="5"/>
  <c r="I823" i="5"/>
  <c r="I824" i="5"/>
  <c r="I825" i="5"/>
  <c r="I826" i="5"/>
  <c r="I827" i="5"/>
  <c r="I828" i="5"/>
  <c r="I829" i="5"/>
  <c r="I830" i="5"/>
  <c r="I831" i="5"/>
  <c r="I832" i="5"/>
  <c r="I833" i="5"/>
  <c r="I834" i="5"/>
  <c r="I835" i="5"/>
  <c r="I836" i="5"/>
  <c r="I837" i="5"/>
  <c r="I838" i="5"/>
  <c r="I839" i="5"/>
  <c r="I840" i="5"/>
  <c r="I841" i="5"/>
  <c r="I842" i="5"/>
  <c r="I843" i="5"/>
  <c r="I844" i="5"/>
  <c r="I845" i="5"/>
  <c r="I846" i="5"/>
  <c r="I847" i="5"/>
  <c r="I848" i="5"/>
  <c r="I849" i="5"/>
  <c r="I850" i="5"/>
  <c r="I851" i="5"/>
  <c r="I852" i="5"/>
  <c r="I853" i="5"/>
  <c r="I854" i="5"/>
  <c r="I855" i="5"/>
  <c r="I856" i="5"/>
  <c r="I857" i="5"/>
  <c r="I858" i="5"/>
  <c r="I859" i="5"/>
  <c r="I860" i="5"/>
  <c r="I861" i="5"/>
  <c r="I862" i="5"/>
  <c r="I863" i="5"/>
  <c r="I864" i="5"/>
  <c r="I865" i="5"/>
  <c r="I866" i="5"/>
  <c r="I867" i="5"/>
  <c r="I868" i="5"/>
  <c r="I869" i="5"/>
  <c r="I870" i="5"/>
  <c r="I871" i="5"/>
  <c r="I872" i="5"/>
  <c r="I873" i="5"/>
  <c r="I874" i="5"/>
  <c r="I875" i="5"/>
  <c r="I876" i="5"/>
  <c r="I877" i="5"/>
  <c r="I878" i="5"/>
  <c r="I879" i="5"/>
  <c r="I880" i="5"/>
  <c r="C8" i="6"/>
  <c r="H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H703" i="5"/>
  <c r="H704" i="5"/>
  <c r="H705" i="5"/>
  <c r="H706" i="5"/>
  <c r="H707" i="5"/>
  <c r="H708" i="5"/>
  <c r="H709" i="5"/>
  <c r="H710" i="5"/>
  <c r="H711" i="5"/>
  <c r="H712" i="5"/>
  <c r="H713" i="5"/>
  <c r="H714" i="5"/>
  <c r="H715" i="5"/>
  <c r="H716" i="5"/>
  <c r="H717" i="5"/>
  <c r="H718" i="5"/>
  <c r="H719" i="5"/>
  <c r="H720" i="5"/>
  <c r="H721" i="5"/>
  <c r="H722" i="5"/>
  <c r="H723" i="5"/>
  <c r="H724" i="5"/>
  <c r="H725" i="5"/>
  <c r="H726" i="5"/>
  <c r="H727" i="5"/>
  <c r="H728" i="5"/>
  <c r="H729" i="5"/>
  <c r="H730" i="5"/>
  <c r="H731" i="5"/>
  <c r="H732" i="5"/>
  <c r="H733" i="5"/>
  <c r="H734" i="5"/>
  <c r="H735" i="5"/>
  <c r="H736" i="5"/>
  <c r="H737" i="5"/>
  <c r="H738" i="5"/>
  <c r="H739" i="5"/>
  <c r="H740" i="5"/>
  <c r="H741" i="5"/>
  <c r="H742" i="5"/>
  <c r="H743" i="5"/>
  <c r="H744" i="5"/>
  <c r="H745" i="5"/>
  <c r="H746" i="5"/>
  <c r="H747" i="5"/>
  <c r="H748" i="5"/>
  <c r="H749" i="5"/>
  <c r="H750" i="5"/>
  <c r="H751" i="5"/>
  <c r="H752" i="5"/>
  <c r="H753" i="5"/>
  <c r="H754" i="5"/>
  <c r="H755" i="5"/>
  <c r="H756" i="5"/>
  <c r="H757" i="5"/>
  <c r="H758" i="5"/>
  <c r="H759" i="5"/>
  <c r="H760" i="5"/>
  <c r="H761" i="5"/>
  <c r="H762" i="5"/>
  <c r="H763" i="5"/>
  <c r="H764" i="5"/>
  <c r="H765" i="5"/>
  <c r="H766" i="5"/>
  <c r="H767" i="5"/>
  <c r="H768" i="5"/>
  <c r="H769" i="5"/>
  <c r="H770" i="5"/>
  <c r="H771" i="5"/>
  <c r="H772" i="5"/>
  <c r="H773" i="5"/>
  <c r="H774" i="5"/>
  <c r="H775" i="5"/>
  <c r="H776" i="5"/>
  <c r="H777" i="5"/>
  <c r="H778" i="5"/>
  <c r="H779" i="5"/>
  <c r="H780" i="5"/>
  <c r="H781" i="5"/>
  <c r="H782" i="5"/>
  <c r="H783" i="5"/>
  <c r="H784" i="5"/>
  <c r="H785" i="5"/>
  <c r="H786" i="5"/>
  <c r="H787" i="5"/>
  <c r="H788" i="5"/>
  <c r="H789" i="5"/>
  <c r="H790" i="5"/>
  <c r="H791" i="5"/>
  <c r="H792" i="5"/>
  <c r="H793" i="5"/>
  <c r="H794" i="5"/>
  <c r="H795" i="5"/>
  <c r="H796" i="5"/>
  <c r="H797" i="5"/>
  <c r="H798" i="5"/>
  <c r="H799" i="5"/>
  <c r="H800" i="5"/>
  <c r="H801" i="5"/>
  <c r="H802" i="5"/>
  <c r="H803" i="5"/>
  <c r="H804" i="5"/>
  <c r="H805" i="5"/>
  <c r="H806" i="5"/>
  <c r="H807" i="5"/>
  <c r="H808" i="5"/>
  <c r="H809" i="5"/>
  <c r="H810" i="5"/>
  <c r="H811" i="5"/>
  <c r="H812" i="5"/>
  <c r="H813" i="5"/>
  <c r="H814" i="5"/>
  <c r="H815" i="5"/>
  <c r="H816" i="5"/>
  <c r="H817" i="5"/>
  <c r="H818" i="5"/>
  <c r="H819" i="5"/>
  <c r="H820" i="5"/>
  <c r="H821" i="5"/>
  <c r="H822" i="5"/>
  <c r="H823" i="5"/>
  <c r="H824" i="5"/>
  <c r="H825" i="5"/>
  <c r="H826" i="5"/>
  <c r="H827" i="5"/>
  <c r="H828" i="5"/>
  <c r="H829" i="5"/>
  <c r="H830" i="5"/>
  <c r="H831" i="5"/>
  <c r="H832" i="5"/>
  <c r="H833" i="5"/>
  <c r="H834" i="5"/>
  <c r="H835" i="5"/>
  <c r="H836" i="5"/>
  <c r="H837" i="5"/>
  <c r="H838" i="5"/>
  <c r="H839" i="5"/>
  <c r="H840" i="5"/>
  <c r="H841" i="5"/>
  <c r="H842" i="5"/>
  <c r="H843" i="5"/>
  <c r="H844" i="5"/>
  <c r="H845" i="5"/>
  <c r="H846" i="5"/>
  <c r="H847" i="5"/>
  <c r="H848" i="5"/>
  <c r="H849" i="5"/>
  <c r="H850" i="5"/>
  <c r="H851" i="5"/>
  <c r="H852" i="5"/>
  <c r="H853" i="5"/>
  <c r="H854" i="5"/>
  <c r="H855" i="5"/>
  <c r="H856" i="5"/>
  <c r="H857" i="5"/>
  <c r="H858" i="5"/>
  <c r="H859" i="5"/>
  <c r="H860" i="5"/>
  <c r="H861" i="5"/>
  <c r="H862" i="5"/>
  <c r="H863" i="5"/>
  <c r="H864" i="5"/>
  <c r="H865" i="5"/>
  <c r="H866" i="5"/>
  <c r="H867" i="5"/>
  <c r="H868" i="5"/>
  <c r="H869" i="5"/>
  <c r="H870" i="5"/>
  <c r="H871" i="5"/>
  <c r="H872" i="5"/>
  <c r="H873" i="5"/>
  <c r="H874" i="5"/>
  <c r="H875" i="5"/>
  <c r="H876" i="5"/>
  <c r="H877" i="5"/>
  <c r="H878" i="5"/>
  <c r="H879" i="5"/>
  <c r="H880" i="5"/>
  <c r="B8" i="6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B21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C21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F21" i="5"/>
  <c r="G21" i="5"/>
  <c r="O21" i="5"/>
  <c r="P21" i="5"/>
  <c r="Q21" i="5"/>
  <c r="R21" i="5"/>
  <c r="S21" i="5"/>
  <c r="T21" i="5"/>
  <c r="U21" i="5"/>
  <c r="V21" i="5"/>
  <c r="W21" i="5"/>
  <c r="X21" i="5"/>
  <c r="A22" i="5"/>
  <c r="B22" i="5"/>
  <c r="C22" i="5"/>
  <c r="E22" i="5"/>
  <c r="F22" i="5"/>
  <c r="G22" i="5"/>
  <c r="O22" i="5"/>
  <c r="P22" i="5"/>
  <c r="Q22" i="5"/>
  <c r="R22" i="5"/>
  <c r="S22" i="5"/>
  <c r="T22" i="5"/>
  <c r="U22" i="5"/>
  <c r="V22" i="5"/>
  <c r="W22" i="5"/>
  <c r="X22" i="5"/>
  <c r="A23" i="5"/>
  <c r="B23" i="5"/>
  <c r="C23" i="5"/>
  <c r="E23" i="5"/>
  <c r="F23" i="5"/>
  <c r="G23" i="5"/>
  <c r="O23" i="5"/>
  <c r="P23" i="5"/>
  <c r="Q23" i="5"/>
  <c r="R23" i="5"/>
  <c r="S23" i="5"/>
  <c r="T23" i="5"/>
  <c r="U23" i="5"/>
  <c r="V23" i="5"/>
  <c r="W23" i="5"/>
  <c r="X23" i="5"/>
  <c r="A24" i="5"/>
  <c r="B24" i="5"/>
  <c r="C24" i="5"/>
  <c r="E24" i="5"/>
  <c r="F24" i="5"/>
  <c r="G24" i="5"/>
  <c r="O24" i="5"/>
  <c r="P24" i="5"/>
  <c r="Q24" i="5"/>
  <c r="R24" i="5"/>
  <c r="S24" i="5"/>
  <c r="T24" i="5"/>
  <c r="U24" i="5"/>
  <c r="V24" i="5"/>
  <c r="W24" i="5"/>
  <c r="X24" i="5"/>
  <c r="A25" i="5"/>
  <c r="B25" i="5"/>
  <c r="C25" i="5"/>
  <c r="E25" i="5"/>
  <c r="F25" i="5"/>
  <c r="G25" i="5"/>
  <c r="O25" i="5"/>
  <c r="P25" i="5"/>
  <c r="Q25" i="5"/>
  <c r="R25" i="5"/>
  <c r="S25" i="5"/>
  <c r="T25" i="5"/>
  <c r="U25" i="5"/>
  <c r="V25" i="5"/>
  <c r="W25" i="5"/>
  <c r="X25" i="5"/>
  <c r="A26" i="5"/>
  <c r="B26" i="5"/>
  <c r="C26" i="5"/>
  <c r="E26" i="5"/>
  <c r="F26" i="5"/>
  <c r="G26" i="5"/>
  <c r="O26" i="5"/>
  <c r="P26" i="5"/>
  <c r="Q26" i="5"/>
  <c r="R26" i="5"/>
  <c r="S26" i="5"/>
  <c r="T26" i="5"/>
  <c r="U26" i="5"/>
  <c r="V26" i="5"/>
  <c r="W26" i="5"/>
  <c r="X26" i="5"/>
  <c r="A27" i="5"/>
  <c r="B27" i="5"/>
  <c r="C27" i="5"/>
  <c r="E27" i="5"/>
  <c r="F27" i="5"/>
  <c r="G27" i="5"/>
  <c r="O27" i="5"/>
  <c r="P27" i="5"/>
  <c r="Q27" i="5"/>
  <c r="R27" i="5"/>
  <c r="S27" i="5"/>
  <c r="T27" i="5"/>
  <c r="U27" i="5"/>
  <c r="V27" i="5"/>
  <c r="W27" i="5"/>
  <c r="X27" i="5"/>
  <c r="A28" i="5"/>
  <c r="B28" i="5"/>
  <c r="C28" i="5"/>
  <c r="E28" i="5"/>
  <c r="F28" i="5"/>
  <c r="G28" i="5"/>
  <c r="O28" i="5"/>
  <c r="P28" i="5"/>
  <c r="Q28" i="5"/>
  <c r="R28" i="5"/>
  <c r="S28" i="5"/>
  <c r="T28" i="5"/>
  <c r="U28" i="5"/>
  <c r="V28" i="5"/>
  <c r="W28" i="5"/>
  <c r="X28" i="5"/>
  <c r="A29" i="5"/>
  <c r="B29" i="5"/>
  <c r="C29" i="5"/>
  <c r="E29" i="5"/>
  <c r="F29" i="5"/>
  <c r="G29" i="5"/>
  <c r="O29" i="5"/>
  <c r="P29" i="5"/>
  <c r="Q29" i="5"/>
  <c r="R29" i="5"/>
  <c r="S29" i="5"/>
  <c r="T29" i="5"/>
  <c r="U29" i="5"/>
  <c r="V29" i="5"/>
  <c r="W29" i="5"/>
  <c r="X29" i="5"/>
  <c r="A30" i="5"/>
  <c r="B30" i="5"/>
  <c r="C30" i="5"/>
  <c r="E30" i="5"/>
  <c r="F30" i="5"/>
  <c r="G30" i="5"/>
  <c r="O30" i="5"/>
  <c r="P30" i="5"/>
  <c r="Q30" i="5"/>
  <c r="R30" i="5"/>
  <c r="S30" i="5"/>
  <c r="T30" i="5"/>
  <c r="U30" i="5"/>
  <c r="V30" i="5"/>
  <c r="W30" i="5"/>
  <c r="X30" i="5"/>
  <c r="A31" i="5"/>
  <c r="B31" i="5"/>
  <c r="C31" i="5"/>
  <c r="E31" i="5"/>
  <c r="F31" i="5"/>
  <c r="G31" i="5"/>
  <c r="O31" i="5"/>
  <c r="P31" i="5"/>
  <c r="Q31" i="5"/>
  <c r="R31" i="5"/>
  <c r="S31" i="5"/>
  <c r="T31" i="5"/>
  <c r="U31" i="5"/>
  <c r="V31" i="5"/>
  <c r="W31" i="5"/>
  <c r="X31" i="5"/>
  <c r="A32" i="5"/>
  <c r="B32" i="5"/>
  <c r="C32" i="5"/>
  <c r="E32" i="5"/>
  <c r="F32" i="5"/>
  <c r="G32" i="5"/>
  <c r="O32" i="5"/>
  <c r="P32" i="5"/>
  <c r="Q32" i="5"/>
  <c r="R32" i="5"/>
  <c r="S32" i="5"/>
  <c r="T32" i="5"/>
  <c r="U32" i="5"/>
  <c r="V32" i="5"/>
  <c r="W32" i="5"/>
  <c r="X32" i="5"/>
  <c r="A33" i="5"/>
  <c r="B33" i="5"/>
  <c r="C33" i="5"/>
  <c r="E33" i="5"/>
  <c r="F33" i="5"/>
  <c r="G33" i="5"/>
  <c r="O33" i="5"/>
  <c r="P33" i="5"/>
  <c r="Q33" i="5"/>
  <c r="R33" i="5"/>
  <c r="S33" i="5"/>
  <c r="T33" i="5"/>
  <c r="U33" i="5"/>
  <c r="V33" i="5"/>
  <c r="W33" i="5"/>
  <c r="X33" i="5"/>
  <c r="A34" i="5"/>
  <c r="B34" i="5"/>
  <c r="C34" i="5"/>
  <c r="E34" i="5"/>
  <c r="F34" i="5"/>
  <c r="G34" i="5"/>
  <c r="O34" i="5"/>
  <c r="P34" i="5"/>
  <c r="Q34" i="5"/>
  <c r="R34" i="5"/>
  <c r="S34" i="5"/>
  <c r="T34" i="5"/>
  <c r="U34" i="5"/>
  <c r="V34" i="5"/>
  <c r="W34" i="5"/>
  <c r="X34" i="5"/>
  <c r="A35" i="5"/>
  <c r="B35" i="5"/>
  <c r="C35" i="5"/>
  <c r="E35" i="5"/>
  <c r="F35" i="5"/>
  <c r="G35" i="5"/>
  <c r="O35" i="5"/>
  <c r="P35" i="5"/>
  <c r="Q35" i="5"/>
  <c r="R35" i="5"/>
  <c r="S35" i="5"/>
  <c r="T35" i="5"/>
  <c r="U35" i="5"/>
  <c r="V35" i="5"/>
  <c r="W35" i="5"/>
  <c r="X35" i="5"/>
  <c r="A36" i="5"/>
  <c r="B36" i="5"/>
  <c r="C36" i="5"/>
  <c r="E36" i="5"/>
  <c r="F36" i="5"/>
  <c r="G36" i="5"/>
  <c r="O36" i="5"/>
  <c r="P36" i="5"/>
  <c r="Q36" i="5"/>
  <c r="R36" i="5"/>
  <c r="S36" i="5"/>
  <c r="T36" i="5"/>
  <c r="U36" i="5"/>
  <c r="V36" i="5"/>
  <c r="W36" i="5"/>
  <c r="X36" i="5"/>
  <c r="A37" i="5"/>
  <c r="B37" i="5"/>
  <c r="C37" i="5"/>
  <c r="E37" i="5"/>
  <c r="F37" i="5"/>
  <c r="G37" i="5"/>
  <c r="O37" i="5"/>
  <c r="P37" i="5"/>
  <c r="Q37" i="5"/>
  <c r="R37" i="5"/>
  <c r="S37" i="5"/>
  <c r="T37" i="5"/>
  <c r="U37" i="5"/>
  <c r="V37" i="5"/>
  <c r="W37" i="5"/>
  <c r="X37" i="5"/>
  <c r="A38" i="5"/>
  <c r="B38" i="5"/>
  <c r="C38" i="5"/>
  <c r="E38" i="5"/>
  <c r="F38" i="5"/>
  <c r="G38" i="5"/>
  <c r="O38" i="5"/>
  <c r="P38" i="5"/>
  <c r="Q38" i="5"/>
  <c r="R38" i="5"/>
  <c r="S38" i="5"/>
  <c r="T38" i="5"/>
  <c r="U38" i="5"/>
  <c r="V38" i="5"/>
  <c r="W38" i="5"/>
  <c r="X38" i="5"/>
  <c r="A39" i="5"/>
  <c r="B39" i="5"/>
  <c r="C39" i="5"/>
  <c r="E39" i="5"/>
  <c r="F39" i="5"/>
  <c r="G39" i="5"/>
  <c r="O39" i="5"/>
  <c r="P39" i="5"/>
  <c r="Q39" i="5"/>
  <c r="R39" i="5"/>
  <c r="S39" i="5"/>
  <c r="T39" i="5"/>
  <c r="U39" i="5"/>
  <c r="V39" i="5"/>
  <c r="W39" i="5"/>
  <c r="X39" i="5"/>
  <c r="A40" i="5"/>
  <c r="B40" i="5"/>
  <c r="C40" i="5"/>
  <c r="E40" i="5"/>
  <c r="F40" i="5"/>
  <c r="G40" i="5"/>
  <c r="O40" i="5"/>
  <c r="P40" i="5"/>
  <c r="Q40" i="5"/>
  <c r="R40" i="5"/>
  <c r="S40" i="5"/>
  <c r="T40" i="5"/>
  <c r="U40" i="5"/>
  <c r="V40" i="5"/>
  <c r="W40" i="5"/>
  <c r="X40" i="5"/>
  <c r="A41" i="5"/>
  <c r="B41" i="5"/>
  <c r="C41" i="5"/>
  <c r="E41" i="5"/>
  <c r="F41" i="5"/>
  <c r="G41" i="5"/>
  <c r="O41" i="5"/>
  <c r="P41" i="5"/>
  <c r="Q41" i="5"/>
  <c r="R41" i="5"/>
  <c r="S41" i="5"/>
  <c r="T41" i="5"/>
  <c r="U41" i="5"/>
  <c r="V41" i="5"/>
  <c r="W41" i="5"/>
  <c r="X41" i="5"/>
  <c r="A42" i="5"/>
  <c r="B42" i="5"/>
  <c r="C42" i="5"/>
  <c r="E42" i="5"/>
  <c r="F42" i="5"/>
  <c r="G42" i="5"/>
  <c r="O42" i="5"/>
  <c r="P42" i="5"/>
  <c r="Q42" i="5"/>
  <c r="R42" i="5"/>
  <c r="S42" i="5"/>
  <c r="T42" i="5"/>
  <c r="U42" i="5"/>
  <c r="V42" i="5"/>
  <c r="W42" i="5"/>
  <c r="X42" i="5"/>
  <c r="A43" i="5"/>
  <c r="B43" i="5"/>
  <c r="C43" i="5"/>
  <c r="E43" i="5"/>
  <c r="F43" i="5"/>
  <c r="G43" i="5"/>
  <c r="O43" i="5"/>
  <c r="P43" i="5"/>
  <c r="Q43" i="5"/>
  <c r="R43" i="5"/>
  <c r="S43" i="5"/>
  <c r="T43" i="5"/>
  <c r="U43" i="5"/>
  <c r="V43" i="5"/>
  <c r="W43" i="5"/>
  <c r="X43" i="5"/>
  <c r="A44" i="5"/>
  <c r="B44" i="5"/>
  <c r="C44" i="5"/>
  <c r="E44" i="5"/>
  <c r="F44" i="5"/>
  <c r="G44" i="5"/>
  <c r="O44" i="5"/>
  <c r="P44" i="5"/>
  <c r="Q44" i="5"/>
  <c r="R44" i="5"/>
  <c r="S44" i="5"/>
  <c r="T44" i="5"/>
  <c r="U44" i="5"/>
  <c r="V44" i="5"/>
  <c r="W44" i="5"/>
  <c r="X44" i="5"/>
  <c r="A45" i="5"/>
  <c r="B45" i="5"/>
  <c r="C45" i="5"/>
  <c r="E45" i="5"/>
  <c r="F45" i="5"/>
  <c r="G45" i="5"/>
  <c r="O45" i="5"/>
  <c r="P45" i="5"/>
  <c r="Q45" i="5"/>
  <c r="R45" i="5"/>
  <c r="S45" i="5"/>
  <c r="T45" i="5"/>
  <c r="U45" i="5"/>
  <c r="V45" i="5"/>
  <c r="W45" i="5"/>
  <c r="X45" i="5"/>
  <c r="A46" i="5"/>
  <c r="B46" i="5"/>
  <c r="C46" i="5"/>
  <c r="E46" i="5"/>
  <c r="F46" i="5"/>
  <c r="G46" i="5"/>
  <c r="O46" i="5"/>
  <c r="P46" i="5"/>
  <c r="Q46" i="5"/>
  <c r="R46" i="5"/>
  <c r="S46" i="5"/>
  <c r="T46" i="5"/>
  <c r="U46" i="5"/>
  <c r="V46" i="5"/>
  <c r="W46" i="5"/>
  <c r="X46" i="5"/>
  <c r="A47" i="5"/>
  <c r="B47" i="5"/>
  <c r="C47" i="5"/>
  <c r="E47" i="5"/>
  <c r="F47" i="5"/>
  <c r="G47" i="5"/>
  <c r="O47" i="5"/>
  <c r="P47" i="5"/>
  <c r="Q47" i="5"/>
  <c r="R47" i="5"/>
  <c r="S47" i="5"/>
  <c r="T47" i="5"/>
  <c r="U47" i="5"/>
  <c r="V47" i="5"/>
  <c r="W47" i="5"/>
  <c r="X47" i="5"/>
  <c r="A48" i="5"/>
  <c r="B48" i="5"/>
  <c r="C48" i="5"/>
  <c r="E48" i="5"/>
  <c r="F48" i="5"/>
  <c r="G48" i="5"/>
  <c r="O48" i="5"/>
  <c r="P48" i="5"/>
  <c r="Q48" i="5"/>
  <c r="R48" i="5"/>
  <c r="S48" i="5"/>
  <c r="T48" i="5"/>
  <c r="U48" i="5"/>
  <c r="V48" i="5"/>
  <c r="W48" i="5"/>
  <c r="X48" i="5"/>
  <c r="A49" i="5"/>
  <c r="B49" i="5"/>
  <c r="C49" i="5"/>
  <c r="E49" i="5"/>
  <c r="F49" i="5"/>
  <c r="G49" i="5"/>
  <c r="O49" i="5"/>
  <c r="P49" i="5"/>
  <c r="Q49" i="5"/>
  <c r="R49" i="5"/>
  <c r="S49" i="5"/>
  <c r="T49" i="5"/>
  <c r="U49" i="5"/>
  <c r="V49" i="5"/>
  <c r="W49" i="5"/>
  <c r="X49" i="5"/>
  <c r="A50" i="5"/>
  <c r="B50" i="5"/>
  <c r="C50" i="5"/>
  <c r="E50" i="5"/>
  <c r="F50" i="5"/>
  <c r="G50" i="5"/>
  <c r="O50" i="5"/>
  <c r="P50" i="5"/>
  <c r="Q50" i="5"/>
  <c r="R50" i="5"/>
  <c r="S50" i="5"/>
  <c r="T50" i="5"/>
  <c r="U50" i="5"/>
  <c r="V50" i="5"/>
  <c r="W50" i="5"/>
  <c r="X50" i="5"/>
  <c r="A51" i="5"/>
  <c r="B51" i="5"/>
  <c r="C51" i="5"/>
  <c r="E51" i="5"/>
  <c r="F51" i="5"/>
  <c r="G51" i="5"/>
  <c r="O51" i="5"/>
  <c r="P51" i="5"/>
  <c r="Q51" i="5"/>
  <c r="R51" i="5"/>
  <c r="S51" i="5"/>
  <c r="T51" i="5"/>
  <c r="U51" i="5"/>
  <c r="V51" i="5"/>
  <c r="W51" i="5"/>
  <c r="X51" i="5"/>
  <c r="A52" i="5"/>
  <c r="B52" i="5"/>
  <c r="C52" i="5"/>
  <c r="E52" i="5"/>
  <c r="F52" i="5"/>
  <c r="G52" i="5"/>
  <c r="O52" i="5"/>
  <c r="P52" i="5"/>
  <c r="Q52" i="5"/>
  <c r="R52" i="5"/>
  <c r="S52" i="5"/>
  <c r="T52" i="5"/>
  <c r="U52" i="5"/>
  <c r="V52" i="5"/>
  <c r="W52" i="5"/>
  <c r="X52" i="5"/>
  <c r="A53" i="5"/>
  <c r="B53" i="5"/>
  <c r="C53" i="5"/>
  <c r="E53" i="5"/>
  <c r="F53" i="5"/>
  <c r="G53" i="5"/>
  <c r="O53" i="5"/>
  <c r="P53" i="5"/>
  <c r="Q53" i="5"/>
  <c r="R53" i="5"/>
  <c r="S53" i="5"/>
  <c r="T53" i="5"/>
  <c r="U53" i="5"/>
  <c r="V53" i="5"/>
  <c r="W53" i="5"/>
  <c r="X53" i="5"/>
  <c r="A54" i="5"/>
  <c r="B54" i="5"/>
  <c r="C54" i="5"/>
  <c r="E54" i="5"/>
  <c r="F54" i="5"/>
  <c r="G54" i="5"/>
  <c r="O54" i="5"/>
  <c r="P54" i="5"/>
  <c r="Q54" i="5"/>
  <c r="R54" i="5"/>
  <c r="S54" i="5"/>
  <c r="T54" i="5"/>
  <c r="U54" i="5"/>
  <c r="V54" i="5"/>
  <c r="W54" i="5"/>
  <c r="X54" i="5"/>
  <c r="A55" i="5"/>
  <c r="B55" i="5"/>
  <c r="C55" i="5"/>
  <c r="E55" i="5"/>
  <c r="F55" i="5"/>
  <c r="G55" i="5"/>
  <c r="O55" i="5"/>
  <c r="P55" i="5"/>
  <c r="Q55" i="5"/>
  <c r="R55" i="5"/>
  <c r="S55" i="5"/>
  <c r="T55" i="5"/>
  <c r="U55" i="5"/>
  <c r="V55" i="5"/>
  <c r="W55" i="5"/>
  <c r="X55" i="5"/>
  <c r="A56" i="5"/>
  <c r="B56" i="5"/>
  <c r="C56" i="5"/>
  <c r="E56" i="5"/>
  <c r="F56" i="5"/>
  <c r="G56" i="5"/>
  <c r="O56" i="5"/>
  <c r="P56" i="5"/>
  <c r="Q56" i="5"/>
  <c r="R56" i="5"/>
  <c r="S56" i="5"/>
  <c r="T56" i="5"/>
  <c r="U56" i="5"/>
  <c r="V56" i="5"/>
  <c r="W56" i="5"/>
  <c r="X56" i="5"/>
  <c r="A57" i="5"/>
  <c r="B57" i="5"/>
  <c r="C57" i="5"/>
  <c r="E57" i="5"/>
  <c r="F57" i="5"/>
  <c r="G57" i="5"/>
  <c r="O57" i="5"/>
  <c r="P57" i="5"/>
  <c r="Q57" i="5"/>
  <c r="R57" i="5"/>
  <c r="S57" i="5"/>
  <c r="T57" i="5"/>
  <c r="U57" i="5"/>
  <c r="V57" i="5"/>
  <c r="W57" i="5"/>
  <c r="X57" i="5"/>
  <c r="A58" i="5"/>
  <c r="B58" i="5"/>
  <c r="C58" i="5"/>
  <c r="E58" i="5"/>
  <c r="F58" i="5"/>
  <c r="G58" i="5"/>
  <c r="O58" i="5"/>
  <c r="P58" i="5"/>
  <c r="Q58" i="5"/>
  <c r="R58" i="5"/>
  <c r="S58" i="5"/>
  <c r="T58" i="5"/>
  <c r="U58" i="5"/>
  <c r="V58" i="5"/>
  <c r="W58" i="5"/>
  <c r="X58" i="5"/>
  <c r="A59" i="5"/>
  <c r="B59" i="5"/>
  <c r="C59" i="5"/>
  <c r="E59" i="5"/>
  <c r="F59" i="5"/>
  <c r="G59" i="5"/>
  <c r="O59" i="5"/>
  <c r="P59" i="5"/>
  <c r="Q59" i="5"/>
  <c r="R59" i="5"/>
  <c r="S59" i="5"/>
  <c r="T59" i="5"/>
  <c r="U59" i="5"/>
  <c r="V59" i="5"/>
  <c r="W59" i="5"/>
  <c r="X59" i="5"/>
  <c r="A60" i="5"/>
  <c r="B60" i="5"/>
  <c r="C60" i="5"/>
  <c r="E60" i="5"/>
  <c r="F60" i="5"/>
  <c r="G60" i="5"/>
  <c r="O60" i="5"/>
  <c r="P60" i="5"/>
  <c r="Q60" i="5"/>
  <c r="R60" i="5"/>
  <c r="S60" i="5"/>
  <c r="T60" i="5"/>
  <c r="U60" i="5"/>
  <c r="V60" i="5"/>
  <c r="W60" i="5"/>
  <c r="X60" i="5"/>
  <c r="A61" i="5"/>
  <c r="B61" i="5"/>
  <c r="C61" i="5"/>
  <c r="E61" i="5"/>
  <c r="F61" i="5"/>
  <c r="G61" i="5"/>
  <c r="O61" i="5"/>
  <c r="P61" i="5"/>
  <c r="Q61" i="5"/>
  <c r="R61" i="5"/>
  <c r="S61" i="5"/>
  <c r="T61" i="5"/>
  <c r="U61" i="5"/>
  <c r="V61" i="5"/>
  <c r="W61" i="5"/>
  <c r="X61" i="5"/>
  <c r="A62" i="5"/>
  <c r="B62" i="5"/>
  <c r="C62" i="5"/>
  <c r="E62" i="5"/>
  <c r="F62" i="5"/>
  <c r="G62" i="5"/>
  <c r="O62" i="5"/>
  <c r="P62" i="5"/>
  <c r="Q62" i="5"/>
  <c r="R62" i="5"/>
  <c r="S62" i="5"/>
  <c r="T62" i="5"/>
  <c r="U62" i="5"/>
  <c r="V62" i="5"/>
  <c r="W62" i="5"/>
  <c r="X62" i="5"/>
  <c r="A63" i="5"/>
  <c r="B63" i="5"/>
  <c r="C63" i="5"/>
  <c r="E63" i="5"/>
  <c r="F63" i="5"/>
  <c r="G63" i="5"/>
  <c r="O63" i="5"/>
  <c r="P63" i="5"/>
  <c r="Q63" i="5"/>
  <c r="R63" i="5"/>
  <c r="S63" i="5"/>
  <c r="T63" i="5"/>
  <c r="U63" i="5"/>
  <c r="V63" i="5"/>
  <c r="W63" i="5"/>
  <c r="X63" i="5"/>
  <c r="A64" i="5"/>
  <c r="B64" i="5"/>
  <c r="C64" i="5"/>
  <c r="E64" i="5"/>
  <c r="F64" i="5"/>
  <c r="G64" i="5"/>
  <c r="O64" i="5"/>
  <c r="P64" i="5"/>
  <c r="Q64" i="5"/>
  <c r="R64" i="5"/>
  <c r="S64" i="5"/>
  <c r="T64" i="5"/>
  <c r="U64" i="5"/>
  <c r="V64" i="5"/>
  <c r="W64" i="5"/>
  <c r="X64" i="5"/>
  <c r="A65" i="5"/>
  <c r="B65" i="5"/>
  <c r="C65" i="5"/>
  <c r="E65" i="5"/>
  <c r="F65" i="5"/>
  <c r="G65" i="5"/>
  <c r="O65" i="5"/>
  <c r="P65" i="5"/>
  <c r="Q65" i="5"/>
  <c r="R65" i="5"/>
  <c r="S65" i="5"/>
  <c r="T65" i="5"/>
  <c r="U65" i="5"/>
  <c r="V65" i="5"/>
  <c r="W65" i="5"/>
  <c r="X65" i="5"/>
  <c r="A66" i="5"/>
  <c r="B66" i="5"/>
  <c r="C66" i="5"/>
  <c r="E66" i="5"/>
  <c r="F66" i="5"/>
  <c r="G66" i="5"/>
  <c r="O66" i="5"/>
  <c r="P66" i="5"/>
  <c r="Q66" i="5"/>
  <c r="R66" i="5"/>
  <c r="S66" i="5"/>
  <c r="T66" i="5"/>
  <c r="U66" i="5"/>
  <c r="V66" i="5"/>
  <c r="W66" i="5"/>
  <c r="X66" i="5"/>
  <c r="A67" i="5"/>
  <c r="B67" i="5"/>
  <c r="C67" i="5"/>
  <c r="E67" i="5"/>
  <c r="F67" i="5"/>
  <c r="G67" i="5"/>
  <c r="O67" i="5"/>
  <c r="P67" i="5"/>
  <c r="Q67" i="5"/>
  <c r="R67" i="5"/>
  <c r="S67" i="5"/>
  <c r="T67" i="5"/>
  <c r="U67" i="5"/>
  <c r="V67" i="5"/>
  <c r="W67" i="5"/>
  <c r="X67" i="5"/>
  <c r="A68" i="5"/>
  <c r="B68" i="5"/>
  <c r="C68" i="5"/>
  <c r="E68" i="5"/>
  <c r="F68" i="5"/>
  <c r="G68" i="5"/>
  <c r="O68" i="5"/>
  <c r="P68" i="5"/>
  <c r="Q68" i="5"/>
  <c r="R68" i="5"/>
  <c r="S68" i="5"/>
  <c r="T68" i="5"/>
  <c r="U68" i="5"/>
  <c r="V68" i="5"/>
  <c r="W68" i="5"/>
  <c r="X68" i="5"/>
  <c r="A69" i="5"/>
  <c r="B69" i="5"/>
  <c r="C69" i="5"/>
  <c r="E69" i="5"/>
  <c r="F69" i="5"/>
  <c r="G69" i="5"/>
  <c r="O69" i="5"/>
  <c r="P69" i="5"/>
  <c r="Q69" i="5"/>
  <c r="R69" i="5"/>
  <c r="S69" i="5"/>
  <c r="T69" i="5"/>
  <c r="U69" i="5"/>
  <c r="V69" i="5"/>
  <c r="W69" i="5"/>
  <c r="X69" i="5"/>
  <c r="A70" i="5"/>
  <c r="B70" i="5"/>
  <c r="C70" i="5"/>
  <c r="E70" i="5"/>
  <c r="F70" i="5"/>
  <c r="G70" i="5"/>
  <c r="O70" i="5"/>
  <c r="P70" i="5"/>
  <c r="Q70" i="5"/>
  <c r="R70" i="5"/>
  <c r="S70" i="5"/>
  <c r="T70" i="5"/>
  <c r="U70" i="5"/>
  <c r="V70" i="5"/>
  <c r="W70" i="5"/>
  <c r="X70" i="5"/>
  <c r="A71" i="5"/>
  <c r="B71" i="5"/>
  <c r="C71" i="5"/>
  <c r="E71" i="5"/>
  <c r="F71" i="5"/>
  <c r="G71" i="5"/>
  <c r="O71" i="5"/>
  <c r="P71" i="5"/>
  <c r="Q71" i="5"/>
  <c r="R71" i="5"/>
  <c r="S71" i="5"/>
  <c r="T71" i="5"/>
  <c r="U71" i="5"/>
  <c r="V71" i="5"/>
  <c r="W71" i="5"/>
  <c r="X71" i="5"/>
  <c r="A72" i="5"/>
  <c r="B72" i="5"/>
  <c r="C72" i="5"/>
  <c r="E72" i="5"/>
  <c r="F72" i="5"/>
  <c r="G72" i="5"/>
  <c r="O72" i="5"/>
  <c r="P72" i="5"/>
  <c r="Q72" i="5"/>
  <c r="R72" i="5"/>
  <c r="S72" i="5"/>
  <c r="T72" i="5"/>
  <c r="U72" i="5"/>
  <c r="V72" i="5"/>
  <c r="W72" i="5"/>
  <c r="X72" i="5"/>
  <c r="A73" i="5"/>
  <c r="B73" i="5"/>
  <c r="C73" i="5"/>
  <c r="E73" i="5"/>
  <c r="F73" i="5"/>
  <c r="G73" i="5"/>
  <c r="O73" i="5"/>
  <c r="P73" i="5"/>
  <c r="Q73" i="5"/>
  <c r="R73" i="5"/>
  <c r="S73" i="5"/>
  <c r="T73" i="5"/>
  <c r="U73" i="5"/>
  <c r="V73" i="5"/>
  <c r="W73" i="5"/>
  <c r="X73" i="5"/>
  <c r="A74" i="5"/>
  <c r="B74" i="5"/>
  <c r="C74" i="5"/>
  <c r="E74" i="5"/>
  <c r="F74" i="5"/>
  <c r="G74" i="5"/>
  <c r="O74" i="5"/>
  <c r="P74" i="5"/>
  <c r="Q74" i="5"/>
  <c r="R74" i="5"/>
  <c r="S74" i="5"/>
  <c r="T74" i="5"/>
  <c r="U74" i="5"/>
  <c r="V74" i="5"/>
  <c r="W74" i="5"/>
  <c r="X74" i="5"/>
  <c r="A75" i="5"/>
  <c r="B75" i="5"/>
  <c r="C75" i="5"/>
  <c r="E75" i="5"/>
  <c r="F75" i="5"/>
  <c r="G75" i="5"/>
  <c r="O75" i="5"/>
  <c r="P75" i="5"/>
  <c r="Q75" i="5"/>
  <c r="R75" i="5"/>
  <c r="S75" i="5"/>
  <c r="T75" i="5"/>
  <c r="U75" i="5"/>
  <c r="V75" i="5"/>
  <c r="W75" i="5"/>
  <c r="X75" i="5"/>
  <c r="A76" i="5"/>
  <c r="B76" i="5"/>
  <c r="C76" i="5"/>
  <c r="E76" i="5"/>
  <c r="F76" i="5"/>
  <c r="G76" i="5"/>
  <c r="O76" i="5"/>
  <c r="P76" i="5"/>
  <c r="Q76" i="5"/>
  <c r="R76" i="5"/>
  <c r="S76" i="5"/>
  <c r="T76" i="5"/>
  <c r="U76" i="5"/>
  <c r="V76" i="5"/>
  <c r="W76" i="5"/>
  <c r="X76" i="5"/>
  <c r="A77" i="5"/>
  <c r="B77" i="5"/>
  <c r="C77" i="5"/>
  <c r="E77" i="5"/>
  <c r="F77" i="5"/>
  <c r="G77" i="5"/>
  <c r="O77" i="5"/>
  <c r="P77" i="5"/>
  <c r="Q77" i="5"/>
  <c r="R77" i="5"/>
  <c r="S77" i="5"/>
  <c r="T77" i="5"/>
  <c r="U77" i="5"/>
  <c r="V77" i="5"/>
  <c r="W77" i="5"/>
  <c r="X77" i="5"/>
  <c r="A78" i="5"/>
  <c r="B78" i="5"/>
  <c r="C78" i="5"/>
  <c r="E78" i="5"/>
  <c r="F78" i="5"/>
  <c r="G78" i="5"/>
  <c r="O78" i="5"/>
  <c r="P78" i="5"/>
  <c r="Q78" i="5"/>
  <c r="R78" i="5"/>
  <c r="S78" i="5"/>
  <c r="T78" i="5"/>
  <c r="U78" i="5"/>
  <c r="V78" i="5"/>
  <c r="W78" i="5"/>
  <c r="X78" i="5"/>
  <c r="A79" i="5"/>
  <c r="B79" i="5"/>
  <c r="C79" i="5"/>
  <c r="E79" i="5"/>
  <c r="F79" i="5"/>
  <c r="G79" i="5"/>
  <c r="O79" i="5"/>
  <c r="P79" i="5"/>
  <c r="Q79" i="5"/>
  <c r="R79" i="5"/>
  <c r="S79" i="5"/>
  <c r="T79" i="5"/>
  <c r="U79" i="5"/>
  <c r="V79" i="5"/>
  <c r="W79" i="5"/>
  <c r="X79" i="5"/>
  <c r="A80" i="5"/>
  <c r="B80" i="5"/>
  <c r="C80" i="5"/>
  <c r="E80" i="5"/>
  <c r="F80" i="5"/>
  <c r="G80" i="5"/>
  <c r="O80" i="5"/>
  <c r="P80" i="5"/>
  <c r="Q80" i="5"/>
  <c r="R80" i="5"/>
  <c r="S80" i="5"/>
  <c r="T80" i="5"/>
  <c r="U80" i="5"/>
  <c r="V80" i="5"/>
  <c r="W80" i="5"/>
  <c r="X80" i="5"/>
  <c r="A81" i="5"/>
  <c r="B81" i="5"/>
  <c r="C81" i="5"/>
  <c r="E81" i="5"/>
  <c r="F81" i="5"/>
  <c r="G81" i="5"/>
  <c r="O81" i="5"/>
  <c r="P81" i="5"/>
  <c r="Q81" i="5"/>
  <c r="R81" i="5"/>
  <c r="S81" i="5"/>
  <c r="T81" i="5"/>
  <c r="U81" i="5"/>
  <c r="V81" i="5"/>
  <c r="W81" i="5"/>
  <c r="X81" i="5"/>
  <c r="A82" i="5"/>
  <c r="B82" i="5"/>
  <c r="C82" i="5"/>
  <c r="E82" i="5"/>
  <c r="F82" i="5"/>
  <c r="G82" i="5"/>
  <c r="O82" i="5"/>
  <c r="P82" i="5"/>
  <c r="Q82" i="5"/>
  <c r="R82" i="5"/>
  <c r="S82" i="5"/>
  <c r="T82" i="5"/>
  <c r="U82" i="5"/>
  <c r="V82" i="5"/>
  <c r="W82" i="5"/>
  <c r="X82" i="5"/>
  <c r="A83" i="5"/>
  <c r="B83" i="5"/>
  <c r="C83" i="5"/>
  <c r="E83" i="5"/>
  <c r="F83" i="5"/>
  <c r="G83" i="5"/>
  <c r="O83" i="5"/>
  <c r="P83" i="5"/>
  <c r="Q83" i="5"/>
  <c r="R83" i="5"/>
  <c r="S83" i="5"/>
  <c r="T83" i="5"/>
  <c r="U83" i="5"/>
  <c r="V83" i="5"/>
  <c r="W83" i="5"/>
  <c r="X83" i="5"/>
  <c r="A84" i="5"/>
  <c r="B84" i="5"/>
  <c r="C84" i="5"/>
  <c r="E84" i="5"/>
  <c r="F84" i="5"/>
  <c r="G84" i="5"/>
  <c r="O84" i="5"/>
  <c r="P84" i="5"/>
  <c r="Q84" i="5"/>
  <c r="R84" i="5"/>
  <c r="S84" i="5"/>
  <c r="T84" i="5"/>
  <c r="U84" i="5"/>
  <c r="V84" i="5"/>
  <c r="W84" i="5"/>
  <c r="X84" i="5"/>
  <c r="A85" i="5"/>
  <c r="B85" i="5"/>
  <c r="C85" i="5"/>
  <c r="E85" i="5"/>
  <c r="F85" i="5"/>
  <c r="G85" i="5"/>
  <c r="O85" i="5"/>
  <c r="P85" i="5"/>
  <c r="Q85" i="5"/>
  <c r="R85" i="5"/>
  <c r="S85" i="5"/>
  <c r="T85" i="5"/>
  <c r="U85" i="5"/>
  <c r="V85" i="5"/>
  <c r="W85" i="5"/>
  <c r="X85" i="5"/>
  <c r="A86" i="5"/>
  <c r="B86" i="5"/>
  <c r="C86" i="5"/>
  <c r="E86" i="5"/>
  <c r="F86" i="5"/>
  <c r="G86" i="5"/>
  <c r="O86" i="5"/>
  <c r="P86" i="5"/>
  <c r="Q86" i="5"/>
  <c r="R86" i="5"/>
  <c r="S86" i="5"/>
  <c r="T86" i="5"/>
  <c r="U86" i="5"/>
  <c r="V86" i="5"/>
  <c r="W86" i="5"/>
  <c r="X86" i="5"/>
  <c r="A87" i="5"/>
  <c r="B87" i="5"/>
  <c r="C87" i="5"/>
  <c r="E87" i="5"/>
  <c r="F87" i="5"/>
  <c r="G87" i="5"/>
  <c r="O87" i="5"/>
  <c r="P87" i="5"/>
  <c r="Q87" i="5"/>
  <c r="R87" i="5"/>
  <c r="S87" i="5"/>
  <c r="T87" i="5"/>
  <c r="U87" i="5"/>
  <c r="V87" i="5"/>
  <c r="W87" i="5"/>
  <c r="X87" i="5"/>
  <c r="A88" i="5"/>
  <c r="B88" i="5"/>
  <c r="C88" i="5"/>
  <c r="E88" i="5"/>
  <c r="F88" i="5"/>
  <c r="G88" i="5"/>
  <c r="O88" i="5"/>
  <c r="P88" i="5"/>
  <c r="Q88" i="5"/>
  <c r="R88" i="5"/>
  <c r="S88" i="5"/>
  <c r="T88" i="5"/>
  <c r="U88" i="5"/>
  <c r="V88" i="5"/>
  <c r="W88" i="5"/>
  <c r="X88" i="5"/>
  <c r="A89" i="5"/>
  <c r="B89" i="5"/>
  <c r="C89" i="5"/>
  <c r="E89" i="5"/>
  <c r="F89" i="5"/>
  <c r="G89" i="5"/>
  <c r="O89" i="5"/>
  <c r="P89" i="5"/>
  <c r="Q89" i="5"/>
  <c r="R89" i="5"/>
  <c r="S89" i="5"/>
  <c r="T89" i="5"/>
  <c r="U89" i="5"/>
  <c r="V89" i="5"/>
  <c r="W89" i="5"/>
  <c r="X89" i="5"/>
  <c r="A90" i="5"/>
  <c r="B90" i="5"/>
  <c r="C90" i="5"/>
  <c r="E90" i="5"/>
  <c r="F90" i="5"/>
  <c r="G90" i="5"/>
  <c r="O90" i="5"/>
  <c r="P90" i="5"/>
  <c r="Q90" i="5"/>
  <c r="R90" i="5"/>
  <c r="S90" i="5"/>
  <c r="T90" i="5"/>
  <c r="U90" i="5"/>
  <c r="V90" i="5"/>
  <c r="W90" i="5"/>
  <c r="X90" i="5"/>
  <c r="A91" i="5"/>
  <c r="B91" i="5"/>
  <c r="C91" i="5"/>
  <c r="E91" i="5"/>
  <c r="F91" i="5"/>
  <c r="G91" i="5"/>
  <c r="O91" i="5"/>
  <c r="P91" i="5"/>
  <c r="Q91" i="5"/>
  <c r="R91" i="5"/>
  <c r="S91" i="5"/>
  <c r="T91" i="5"/>
  <c r="U91" i="5"/>
  <c r="V91" i="5"/>
  <c r="W91" i="5"/>
  <c r="X91" i="5"/>
  <c r="A92" i="5"/>
  <c r="B92" i="5"/>
  <c r="C92" i="5"/>
  <c r="E92" i="5"/>
  <c r="F92" i="5"/>
  <c r="G92" i="5"/>
  <c r="O92" i="5"/>
  <c r="P92" i="5"/>
  <c r="Q92" i="5"/>
  <c r="R92" i="5"/>
  <c r="S92" i="5"/>
  <c r="T92" i="5"/>
  <c r="U92" i="5"/>
  <c r="V92" i="5"/>
  <c r="W92" i="5"/>
  <c r="X92" i="5"/>
  <c r="A93" i="5"/>
  <c r="B93" i="5"/>
  <c r="C93" i="5"/>
  <c r="E93" i="5"/>
  <c r="F93" i="5"/>
  <c r="G93" i="5"/>
  <c r="O93" i="5"/>
  <c r="P93" i="5"/>
  <c r="Q93" i="5"/>
  <c r="R93" i="5"/>
  <c r="S93" i="5"/>
  <c r="T93" i="5"/>
  <c r="U93" i="5"/>
  <c r="V93" i="5"/>
  <c r="W93" i="5"/>
  <c r="X93" i="5"/>
  <c r="A94" i="5"/>
  <c r="B94" i="5"/>
  <c r="C94" i="5"/>
  <c r="E94" i="5"/>
  <c r="F94" i="5"/>
  <c r="G94" i="5"/>
  <c r="O94" i="5"/>
  <c r="P94" i="5"/>
  <c r="Q94" i="5"/>
  <c r="R94" i="5"/>
  <c r="S94" i="5"/>
  <c r="T94" i="5"/>
  <c r="U94" i="5"/>
  <c r="V94" i="5"/>
  <c r="W94" i="5"/>
  <c r="X94" i="5"/>
  <c r="A95" i="5"/>
  <c r="B95" i="5"/>
  <c r="C95" i="5"/>
  <c r="E95" i="5"/>
  <c r="F95" i="5"/>
  <c r="G95" i="5"/>
  <c r="O95" i="5"/>
  <c r="P95" i="5"/>
  <c r="Q95" i="5"/>
  <c r="R95" i="5"/>
  <c r="S95" i="5"/>
  <c r="T95" i="5"/>
  <c r="U95" i="5"/>
  <c r="V95" i="5"/>
  <c r="W95" i="5"/>
  <c r="X95" i="5"/>
  <c r="A96" i="5"/>
  <c r="B96" i="5"/>
  <c r="C96" i="5"/>
  <c r="E96" i="5"/>
  <c r="F96" i="5"/>
  <c r="G96" i="5"/>
  <c r="O96" i="5"/>
  <c r="P96" i="5"/>
  <c r="Q96" i="5"/>
  <c r="R96" i="5"/>
  <c r="S96" i="5"/>
  <c r="T96" i="5"/>
  <c r="U96" i="5"/>
  <c r="V96" i="5"/>
  <c r="W96" i="5"/>
  <c r="X96" i="5"/>
  <c r="A97" i="5"/>
  <c r="B97" i="5"/>
  <c r="C97" i="5"/>
  <c r="E97" i="5"/>
  <c r="F97" i="5"/>
  <c r="G97" i="5"/>
  <c r="O97" i="5"/>
  <c r="P97" i="5"/>
  <c r="Q97" i="5"/>
  <c r="R97" i="5"/>
  <c r="S97" i="5"/>
  <c r="T97" i="5"/>
  <c r="U97" i="5"/>
  <c r="V97" i="5"/>
  <c r="W97" i="5"/>
  <c r="X97" i="5"/>
  <c r="A98" i="5"/>
  <c r="B98" i="5"/>
  <c r="C98" i="5"/>
  <c r="E98" i="5"/>
  <c r="F98" i="5"/>
  <c r="G98" i="5"/>
  <c r="O98" i="5"/>
  <c r="P98" i="5"/>
  <c r="Q98" i="5"/>
  <c r="R98" i="5"/>
  <c r="S98" i="5"/>
  <c r="T98" i="5"/>
  <c r="U98" i="5"/>
  <c r="V98" i="5"/>
  <c r="W98" i="5"/>
  <c r="X98" i="5"/>
  <c r="A99" i="5"/>
  <c r="B99" i="5"/>
  <c r="C99" i="5"/>
  <c r="E99" i="5"/>
  <c r="F99" i="5"/>
  <c r="G99" i="5"/>
  <c r="O99" i="5"/>
  <c r="P99" i="5"/>
  <c r="Q99" i="5"/>
  <c r="R99" i="5"/>
  <c r="S99" i="5"/>
  <c r="T99" i="5"/>
  <c r="U99" i="5"/>
  <c r="V99" i="5"/>
  <c r="W99" i="5"/>
  <c r="X99" i="5"/>
  <c r="A100" i="5"/>
  <c r="B100" i="5"/>
  <c r="C100" i="5"/>
  <c r="E100" i="5"/>
  <c r="F100" i="5"/>
  <c r="G100" i="5"/>
  <c r="O100" i="5"/>
  <c r="P100" i="5"/>
  <c r="Q100" i="5"/>
  <c r="R100" i="5"/>
  <c r="S100" i="5"/>
  <c r="T100" i="5"/>
  <c r="U100" i="5"/>
  <c r="V100" i="5"/>
  <c r="W100" i="5"/>
  <c r="X100" i="5"/>
  <c r="A101" i="5"/>
  <c r="B101" i="5"/>
  <c r="C101" i="5"/>
  <c r="E101" i="5"/>
  <c r="F101" i="5"/>
  <c r="G101" i="5"/>
  <c r="O101" i="5"/>
  <c r="P101" i="5"/>
  <c r="Q101" i="5"/>
  <c r="R101" i="5"/>
  <c r="S101" i="5"/>
  <c r="T101" i="5"/>
  <c r="U101" i="5"/>
  <c r="V101" i="5"/>
  <c r="W101" i="5"/>
  <c r="X101" i="5"/>
  <c r="A102" i="5"/>
  <c r="B102" i="5"/>
  <c r="C102" i="5"/>
  <c r="E102" i="5"/>
  <c r="F102" i="5"/>
  <c r="G102" i="5"/>
  <c r="O102" i="5"/>
  <c r="P102" i="5"/>
  <c r="Q102" i="5"/>
  <c r="R102" i="5"/>
  <c r="S102" i="5"/>
  <c r="T102" i="5"/>
  <c r="U102" i="5"/>
  <c r="V102" i="5"/>
  <c r="W102" i="5"/>
  <c r="X102" i="5"/>
  <c r="A103" i="5"/>
  <c r="B103" i="5"/>
  <c r="C103" i="5"/>
  <c r="E103" i="5"/>
  <c r="F103" i="5"/>
  <c r="G103" i="5"/>
  <c r="O103" i="5"/>
  <c r="P103" i="5"/>
  <c r="Q103" i="5"/>
  <c r="R103" i="5"/>
  <c r="S103" i="5"/>
  <c r="T103" i="5"/>
  <c r="U103" i="5"/>
  <c r="V103" i="5"/>
  <c r="W103" i="5"/>
  <c r="X103" i="5"/>
  <c r="A104" i="5"/>
  <c r="B104" i="5"/>
  <c r="C104" i="5"/>
  <c r="E104" i="5"/>
  <c r="F104" i="5"/>
  <c r="G104" i="5"/>
  <c r="O104" i="5"/>
  <c r="P104" i="5"/>
  <c r="Q104" i="5"/>
  <c r="R104" i="5"/>
  <c r="S104" i="5"/>
  <c r="T104" i="5"/>
  <c r="U104" i="5"/>
  <c r="V104" i="5"/>
  <c r="W104" i="5"/>
  <c r="X104" i="5"/>
  <c r="A105" i="5"/>
  <c r="B105" i="5"/>
  <c r="C105" i="5"/>
  <c r="E105" i="5"/>
  <c r="F105" i="5"/>
  <c r="G105" i="5"/>
  <c r="O105" i="5"/>
  <c r="P105" i="5"/>
  <c r="Q105" i="5"/>
  <c r="R105" i="5"/>
  <c r="S105" i="5"/>
  <c r="T105" i="5"/>
  <c r="U105" i="5"/>
  <c r="V105" i="5"/>
  <c r="W105" i="5"/>
  <c r="X105" i="5"/>
  <c r="A106" i="5"/>
  <c r="B106" i="5"/>
  <c r="C106" i="5"/>
  <c r="E106" i="5"/>
  <c r="F106" i="5"/>
  <c r="G106" i="5"/>
  <c r="O106" i="5"/>
  <c r="P106" i="5"/>
  <c r="Q106" i="5"/>
  <c r="R106" i="5"/>
  <c r="S106" i="5"/>
  <c r="T106" i="5"/>
  <c r="U106" i="5"/>
  <c r="V106" i="5"/>
  <c r="W106" i="5"/>
  <c r="X106" i="5"/>
  <c r="A107" i="5"/>
  <c r="B107" i="5"/>
  <c r="C107" i="5"/>
  <c r="E107" i="5"/>
  <c r="F107" i="5"/>
  <c r="G107" i="5"/>
  <c r="O107" i="5"/>
  <c r="P107" i="5"/>
  <c r="Q107" i="5"/>
  <c r="R107" i="5"/>
  <c r="S107" i="5"/>
  <c r="T107" i="5"/>
  <c r="U107" i="5"/>
  <c r="V107" i="5"/>
  <c r="W107" i="5"/>
  <c r="X107" i="5"/>
  <c r="A108" i="5"/>
  <c r="B108" i="5"/>
  <c r="C108" i="5"/>
  <c r="E108" i="5"/>
  <c r="F108" i="5"/>
  <c r="G108" i="5"/>
  <c r="O108" i="5"/>
  <c r="P108" i="5"/>
  <c r="Q108" i="5"/>
  <c r="R108" i="5"/>
  <c r="S108" i="5"/>
  <c r="T108" i="5"/>
  <c r="U108" i="5"/>
  <c r="V108" i="5"/>
  <c r="W108" i="5"/>
  <c r="X108" i="5"/>
  <c r="A109" i="5"/>
  <c r="B109" i="5"/>
  <c r="C109" i="5"/>
  <c r="E109" i="5"/>
  <c r="F109" i="5"/>
  <c r="G109" i="5"/>
  <c r="O109" i="5"/>
  <c r="P109" i="5"/>
  <c r="Q109" i="5"/>
  <c r="R109" i="5"/>
  <c r="S109" i="5"/>
  <c r="T109" i="5"/>
  <c r="U109" i="5"/>
  <c r="V109" i="5"/>
  <c r="W109" i="5"/>
  <c r="X109" i="5"/>
  <c r="A110" i="5"/>
  <c r="B110" i="5"/>
  <c r="C110" i="5"/>
  <c r="E110" i="5"/>
  <c r="F110" i="5"/>
  <c r="G110" i="5"/>
  <c r="O110" i="5"/>
  <c r="P110" i="5"/>
  <c r="Q110" i="5"/>
  <c r="R110" i="5"/>
  <c r="S110" i="5"/>
  <c r="T110" i="5"/>
  <c r="U110" i="5"/>
  <c r="V110" i="5"/>
  <c r="W110" i="5"/>
  <c r="X110" i="5"/>
  <c r="A111" i="5"/>
  <c r="B111" i="5"/>
  <c r="C111" i="5"/>
  <c r="E111" i="5"/>
  <c r="F111" i="5"/>
  <c r="G111" i="5"/>
  <c r="O111" i="5"/>
  <c r="P111" i="5"/>
  <c r="Q111" i="5"/>
  <c r="R111" i="5"/>
  <c r="S111" i="5"/>
  <c r="T111" i="5"/>
  <c r="U111" i="5"/>
  <c r="V111" i="5"/>
  <c r="W111" i="5"/>
  <c r="X111" i="5"/>
  <c r="A112" i="5"/>
  <c r="B112" i="5"/>
  <c r="C112" i="5"/>
  <c r="E112" i="5"/>
  <c r="F112" i="5"/>
  <c r="G112" i="5"/>
  <c r="O112" i="5"/>
  <c r="P112" i="5"/>
  <c r="Q112" i="5"/>
  <c r="R112" i="5"/>
  <c r="S112" i="5"/>
  <c r="T112" i="5"/>
  <c r="U112" i="5"/>
  <c r="V112" i="5"/>
  <c r="W112" i="5"/>
  <c r="X112" i="5"/>
  <c r="A113" i="5"/>
  <c r="B113" i="5"/>
  <c r="C113" i="5"/>
  <c r="E113" i="5"/>
  <c r="F113" i="5"/>
  <c r="G113" i="5"/>
  <c r="O113" i="5"/>
  <c r="P113" i="5"/>
  <c r="Q113" i="5"/>
  <c r="R113" i="5"/>
  <c r="S113" i="5"/>
  <c r="T113" i="5"/>
  <c r="U113" i="5"/>
  <c r="V113" i="5"/>
  <c r="W113" i="5"/>
  <c r="X113" i="5"/>
  <c r="A114" i="5"/>
  <c r="B114" i="5"/>
  <c r="C114" i="5"/>
  <c r="E114" i="5"/>
  <c r="F114" i="5"/>
  <c r="G114" i="5"/>
  <c r="O114" i="5"/>
  <c r="P114" i="5"/>
  <c r="Q114" i="5"/>
  <c r="R114" i="5"/>
  <c r="S114" i="5"/>
  <c r="T114" i="5"/>
  <c r="U114" i="5"/>
  <c r="V114" i="5"/>
  <c r="W114" i="5"/>
  <c r="X114" i="5"/>
  <c r="A115" i="5"/>
  <c r="B115" i="5"/>
  <c r="C115" i="5"/>
  <c r="E115" i="5"/>
  <c r="F115" i="5"/>
  <c r="G115" i="5"/>
  <c r="O115" i="5"/>
  <c r="P115" i="5"/>
  <c r="Q115" i="5"/>
  <c r="R115" i="5"/>
  <c r="S115" i="5"/>
  <c r="T115" i="5"/>
  <c r="U115" i="5"/>
  <c r="V115" i="5"/>
  <c r="W115" i="5"/>
  <c r="X115" i="5"/>
  <c r="A116" i="5"/>
  <c r="B116" i="5"/>
  <c r="C116" i="5"/>
  <c r="E116" i="5"/>
  <c r="F116" i="5"/>
  <c r="G116" i="5"/>
  <c r="O116" i="5"/>
  <c r="P116" i="5"/>
  <c r="Q116" i="5"/>
  <c r="R116" i="5"/>
  <c r="S116" i="5"/>
  <c r="T116" i="5"/>
  <c r="U116" i="5"/>
  <c r="V116" i="5"/>
  <c r="W116" i="5"/>
  <c r="X116" i="5"/>
  <c r="A117" i="5"/>
  <c r="B117" i="5"/>
  <c r="C117" i="5"/>
  <c r="E117" i="5"/>
  <c r="F117" i="5"/>
  <c r="G117" i="5"/>
  <c r="O117" i="5"/>
  <c r="P117" i="5"/>
  <c r="Q117" i="5"/>
  <c r="R117" i="5"/>
  <c r="S117" i="5"/>
  <c r="T117" i="5"/>
  <c r="U117" i="5"/>
  <c r="V117" i="5"/>
  <c r="W117" i="5"/>
  <c r="X117" i="5"/>
  <c r="A118" i="5"/>
  <c r="B118" i="5"/>
  <c r="C118" i="5"/>
  <c r="E118" i="5"/>
  <c r="F118" i="5"/>
  <c r="G118" i="5"/>
  <c r="O118" i="5"/>
  <c r="P118" i="5"/>
  <c r="Q118" i="5"/>
  <c r="R118" i="5"/>
  <c r="S118" i="5"/>
  <c r="T118" i="5"/>
  <c r="U118" i="5"/>
  <c r="V118" i="5"/>
  <c r="W118" i="5"/>
  <c r="X118" i="5"/>
  <c r="A119" i="5"/>
  <c r="B119" i="5"/>
  <c r="C119" i="5"/>
  <c r="E119" i="5"/>
  <c r="F119" i="5"/>
  <c r="G119" i="5"/>
  <c r="O119" i="5"/>
  <c r="P119" i="5"/>
  <c r="Q119" i="5"/>
  <c r="R119" i="5"/>
  <c r="S119" i="5"/>
  <c r="T119" i="5"/>
  <c r="U119" i="5"/>
  <c r="V119" i="5"/>
  <c r="W119" i="5"/>
  <c r="X119" i="5"/>
  <c r="A120" i="5"/>
  <c r="B120" i="5"/>
  <c r="C120" i="5"/>
  <c r="E120" i="5"/>
  <c r="F120" i="5"/>
  <c r="G120" i="5"/>
  <c r="O120" i="5"/>
  <c r="P120" i="5"/>
  <c r="Q120" i="5"/>
  <c r="R120" i="5"/>
  <c r="S120" i="5"/>
  <c r="T120" i="5"/>
  <c r="U120" i="5"/>
  <c r="V120" i="5"/>
  <c r="W120" i="5"/>
  <c r="X120" i="5"/>
  <c r="A121" i="5"/>
  <c r="B121" i="5"/>
  <c r="C121" i="5"/>
  <c r="E121" i="5"/>
  <c r="F121" i="5"/>
  <c r="G121" i="5"/>
  <c r="O121" i="5"/>
  <c r="P121" i="5"/>
  <c r="Q121" i="5"/>
  <c r="R121" i="5"/>
  <c r="S121" i="5"/>
  <c r="T121" i="5"/>
  <c r="U121" i="5"/>
  <c r="V121" i="5"/>
  <c r="W121" i="5"/>
  <c r="X121" i="5"/>
  <c r="A122" i="5"/>
  <c r="B122" i="5"/>
  <c r="C122" i="5"/>
  <c r="E122" i="5"/>
  <c r="F122" i="5"/>
  <c r="G122" i="5"/>
  <c r="O122" i="5"/>
  <c r="P122" i="5"/>
  <c r="Q122" i="5"/>
  <c r="R122" i="5"/>
  <c r="S122" i="5"/>
  <c r="T122" i="5"/>
  <c r="U122" i="5"/>
  <c r="V122" i="5"/>
  <c r="W122" i="5"/>
  <c r="X122" i="5"/>
  <c r="A123" i="5"/>
  <c r="B123" i="5"/>
  <c r="C123" i="5"/>
  <c r="E123" i="5"/>
  <c r="F123" i="5"/>
  <c r="G123" i="5"/>
  <c r="O123" i="5"/>
  <c r="P123" i="5"/>
  <c r="Q123" i="5"/>
  <c r="R123" i="5"/>
  <c r="S123" i="5"/>
  <c r="T123" i="5"/>
  <c r="U123" i="5"/>
  <c r="V123" i="5"/>
  <c r="W123" i="5"/>
  <c r="X123" i="5"/>
  <c r="A124" i="5"/>
  <c r="B124" i="5"/>
  <c r="C124" i="5"/>
  <c r="E124" i="5"/>
  <c r="F124" i="5"/>
  <c r="G124" i="5"/>
  <c r="O124" i="5"/>
  <c r="P124" i="5"/>
  <c r="Q124" i="5"/>
  <c r="R124" i="5"/>
  <c r="S124" i="5"/>
  <c r="T124" i="5"/>
  <c r="U124" i="5"/>
  <c r="V124" i="5"/>
  <c r="W124" i="5"/>
  <c r="X124" i="5"/>
  <c r="A125" i="5"/>
  <c r="B125" i="5"/>
  <c r="C125" i="5"/>
  <c r="E125" i="5"/>
  <c r="F125" i="5"/>
  <c r="G125" i="5"/>
  <c r="O125" i="5"/>
  <c r="P125" i="5"/>
  <c r="Q125" i="5"/>
  <c r="R125" i="5"/>
  <c r="S125" i="5"/>
  <c r="T125" i="5"/>
  <c r="U125" i="5"/>
  <c r="V125" i="5"/>
  <c r="W125" i="5"/>
  <c r="X125" i="5"/>
  <c r="A126" i="5"/>
  <c r="B126" i="5"/>
  <c r="C126" i="5"/>
  <c r="E126" i="5"/>
  <c r="F126" i="5"/>
  <c r="G126" i="5"/>
  <c r="O126" i="5"/>
  <c r="P126" i="5"/>
  <c r="Q126" i="5"/>
  <c r="R126" i="5"/>
  <c r="S126" i="5"/>
  <c r="T126" i="5"/>
  <c r="U126" i="5"/>
  <c r="V126" i="5"/>
  <c r="W126" i="5"/>
  <c r="X126" i="5"/>
  <c r="A127" i="5"/>
  <c r="B127" i="5"/>
  <c r="C127" i="5"/>
  <c r="E127" i="5"/>
  <c r="F127" i="5"/>
  <c r="G127" i="5"/>
  <c r="O127" i="5"/>
  <c r="P127" i="5"/>
  <c r="Q127" i="5"/>
  <c r="R127" i="5"/>
  <c r="S127" i="5"/>
  <c r="T127" i="5"/>
  <c r="U127" i="5"/>
  <c r="V127" i="5"/>
  <c r="W127" i="5"/>
  <c r="X127" i="5"/>
  <c r="A128" i="5"/>
  <c r="B128" i="5"/>
  <c r="C128" i="5"/>
  <c r="E128" i="5"/>
  <c r="F128" i="5"/>
  <c r="G128" i="5"/>
  <c r="O128" i="5"/>
  <c r="P128" i="5"/>
  <c r="Q128" i="5"/>
  <c r="R128" i="5"/>
  <c r="S128" i="5"/>
  <c r="T128" i="5"/>
  <c r="U128" i="5"/>
  <c r="V128" i="5"/>
  <c r="W128" i="5"/>
  <c r="X128" i="5"/>
  <c r="A129" i="5"/>
  <c r="B129" i="5"/>
  <c r="C129" i="5"/>
  <c r="E129" i="5"/>
  <c r="F129" i="5"/>
  <c r="G129" i="5"/>
  <c r="O129" i="5"/>
  <c r="P129" i="5"/>
  <c r="Q129" i="5"/>
  <c r="R129" i="5"/>
  <c r="S129" i="5"/>
  <c r="T129" i="5"/>
  <c r="U129" i="5"/>
  <c r="V129" i="5"/>
  <c r="W129" i="5"/>
  <c r="X129" i="5"/>
  <c r="A130" i="5"/>
  <c r="B130" i="5"/>
  <c r="C130" i="5"/>
  <c r="E130" i="5"/>
  <c r="F130" i="5"/>
  <c r="G130" i="5"/>
  <c r="O130" i="5"/>
  <c r="P130" i="5"/>
  <c r="Q130" i="5"/>
  <c r="R130" i="5"/>
  <c r="S130" i="5"/>
  <c r="T130" i="5"/>
  <c r="U130" i="5"/>
  <c r="V130" i="5"/>
  <c r="W130" i="5"/>
  <c r="X130" i="5"/>
  <c r="A131" i="5"/>
  <c r="B131" i="5"/>
  <c r="C131" i="5"/>
  <c r="E131" i="5"/>
  <c r="F131" i="5"/>
  <c r="G131" i="5"/>
  <c r="O131" i="5"/>
  <c r="P131" i="5"/>
  <c r="Q131" i="5"/>
  <c r="R131" i="5"/>
  <c r="S131" i="5"/>
  <c r="T131" i="5"/>
  <c r="U131" i="5"/>
  <c r="V131" i="5"/>
  <c r="W131" i="5"/>
  <c r="X131" i="5"/>
  <c r="A132" i="5"/>
  <c r="B132" i="5"/>
  <c r="C132" i="5"/>
  <c r="E132" i="5"/>
  <c r="F132" i="5"/>
  <c r="G132" i="5"/>
  <c r="O132" i="5"/>
  <c r="P132" i="5"/>
  <c r="Q132" i="5"/>
  <c r="R132" i="5"/>
  <c r="S132" i="5"/>
  <c r="T132" i="5"/>
  <c r="U132" i="5"/>
  <c r="V132" i="5"/>
  <c r="W132" i="5"/>
  <c r="X132" i="5"/>
  <c r="A133" i="5"/>
  <c r="B133" i="5"/>
  <c r="C133" i="5"/>
  <c r="E133" i="5"/>
  <c r="F133" i="5"/>
  <c r="G133" i="5"/>
  <c r="O133" i="5"/>
  <c r="P133" i="5"/>
  <c r="Q133" i="5"/>
  <c r="R133" i="5"/>
  <c r="S133" i="5"/>
  <c r="T133" i="5"/>
  <c r="U133" i="5"/>
  <c r="V133" i="5"/>
  <c r="W133" i="5"/>
  <c r="X133" i="5"/>
  <c r="A134" i="5"/>
  <c r="B134" i="5"/>
  <c r="C134" i="5"/>
  <c r="E134" i="5"/>
  <c r="F134" i="5"/>
  <c r="G134" i="5"/>
  <c r="O134" i="5"/>
  <c r="P134" i="5"/>
  <c r="Q134" i="5"/>
  <c r="R134" i="5"/>
  <c r="S134" i="5"/>
  <c r="T134" i="5"/>
  <c r="U134" i="5"/>
  <c r="V134" i="5"/>
  <c r="W134" i="5"/>
  <c r="X134" i="5"/>
  <c r="A135" i="5"/>
  <c r="B135" i="5"/>
  <c r="C135" i="5"/>
  <c r="E135" i="5"/>
  <c r="F135" i="5"/>
  <c r="G135" i="5"/>
  <c r="O135" i="5"/>
  <c r="P135" i="5"/>
  <c r="Q135" i="5"/>
  <c r="R135" i="5"/>
  <c r="S135" i="5"/>
  <c r="T135" i="5"/>
  <c r="U135" i="5"/>
  <c r="V135" i="5"/>
  <c r="W135" i="5"/>
  <c r="X135" i="5"/>
  <c r="A136" i="5"/>
  <c r="B136" i="5"/>
  <c r="C136" i="5"/>
  <c r="E136" i="5"/>
  <c r="F136" i="5"/>
  <c r="G136" i="5"/>
  <c r="O136" i="5"/>
  <c r="P136" i="5"/>
  <c r="Q136" i="5"/>
  <c r="R136" i="5"/>
  <c r="S136" i="5"/>
  <c r="T136" i="5"/>
  <c r="U136" i="5"/>
  <c r="V136" i="5"/>
  <c r="W136" i="5"/>
  <c r="X136" i="5"/>
  <c r="A137" i="5"/>
  <c r="B137" i="5"/>
  <c r="C137" i="5"/>
  <c r="E137" i="5"/>
  <c r="F137" i="5"/>
  <c r="G137" i="5"/>
  <c r="O137" i="5"/>
  <c r="P137" i="5"/>
  <c r="Q137" i="5"/>
  <c r="R137" i="5"/>
  <c r="S137" i="5"/>
  <c r="T137" i="5"/>
  <c r="U137" i="5"/>
  <c r="V137" i="5"/>
  <c r="W137" i="5"/>
  <c r="X137" i="5"/>
  <c r="A138" i="5"/>
  <c r="B138" i="5"/>
  <c r="C138" i="5"/>
  <c r="E138" i="5"/>
  <c r="F138" i="5"/>
  <c r="G138" i="5"/>
  <c r="O138" i="5"/>
  <c r="P138" i="5"/>
  <c r="Q138" i="5"/>
  <c r="R138" i="5"/>
  <c r="S138" i="5"/>
  <c r="T138" i="5"/>
  <c r="U138" i="5"/>
  <c r="V138" i="5"/>
  <c r="W138" i="5"/>
  <c r="X138" i="5"/>
  <c r="A139" i="5"/>
  <c r="B139" i="5"/>
  <c r="C139" i="5"/>
  <c r="E139" i="5"/>
  <c r="F139" i="5"/>
  <c r="G139" i="5"/>
  <c r="O139" i="5"/>
  <c r="P139" i="5"/>
  <c r="Q139" i="5"/>
  <c r="R139" i="5"/>
  <c r="S139" i="5"/>
  <c r="T139" i="5"/>
  <c r="U139" i="5"/>
  <c r="V139" i="5"/>
  <c r="W139" i="5"/>
  <c r="X139" i="5"/>
  <c r="A140" i="5"/>
  <c r="B140" i="5"/>
  <c r="C140" i="5"/>
  <c r="E140" i="5"/>
  <c r="F140" i="5"/>
  <c r="G140" i="5"/>
  <c r="O140" i="5"/>
  <c r="P140" i="5"/>
  <c r="Q140" i="5"/>
  <c r="R140" i="5"/>
  <c r="S140" i="5"/>
  <c r="T140" i="5"/>
  <c r="U140" i="5"/>
  <c r="V140" i="5"/>
  <c r="W140" i="5"/>
  <c r="X140" i="5"/>
  <c r="A141" i="5"/>
  <c r="B141" i="5"/>
  <c r="C141" i="5"/>
  <c r="E141" i="5"/>
  <c r="F141" i="5"/>
  <c r="G141" i="5"/>
  <c r="O141" i="5"/>
  <c r="P141" i="5"/>
  <c r="Q141" i="5"/>
  <c r="R141" i="5"/>
  <c r="S141" i="5"/>
  <c r="T141" i="5"/>
  <c r="U141" i="5"/>
  <c r="V141" i="5"/>
  <c r="W141" i="5"/>
  <c r="X141" i="5"/>
  <c r="A142" i="5"/>
  <c r="B142" i="5"/>
  <c r="C142" i="5"/>
  <c r="E142" i="5"/>
  <c r="F142" i="5"/>
  <c r="G142" i="5"/>
  <c r="O142" i="5"/>
  <c r="P142" i="5"/>
  <c r="Q142" i="5"/>
  <c r="R142" i="5"/>
  <c r="S142" i="5"/>
  <c r="T142" i="5"/>
  <c r="U142" i="5"/>
  <c r="V142" i="5"/>
  <c r="W142" i="5"/>
  <c r="X142" i="5"/>
  <c r="A143" i="5"/>
  <c r="B143" i="5"/>
  <c r="C143" i="5"/>
  <c r="E143" i="5"/>
  <c r="F143" i="5"/>
  <c r="G143" i="5"/>
  <c r="O143" i="5"/>
  <c r="P143" i="5"/>
  <c r="Q143" i="5"/>
  <c r="R143" i="5"/>
  <c r="S143" i="5"/>
  <c r="T143" i="5"/>
  <c r="U143" i="5"/>
  <c r="V143" i="5"/>
  <c r="W143" i="5"/>
  <c r="X143" i="5"/>
  <c r="A144" i="5"/>
  <c r="B144" i="5"/>
  <c r="C144" i="5"/>
  <c r="E144" i="5"/>
  <c r="F144" i="5"/>
  <c r="G144" i="5"/>
  <c r="O144" i="5"/>
  <c r="P144" i="5"/>
  <c r="Q144" i="5"/>
  <c r="R144" i="5"/>
  <c r="S144" i="5"/>
  <c r="T144" i="5"/>
  <c r="U144" i="5"/>
  <c r="V144" i="5"/>
  <c r="W144" i="5"/>
  <c r="X144" i="5"/>
  <c r="A145" i="5"/>
  <c r="B145" i="5"/>
  <c r="C145" i="5"/>
  <c r="E145" i="5"/>
  <c r="F145" i="5"/>
  <c r="G145" i="5"/>
  <c r="O145" i="5"/>
  <c r="P145" i="5"/>
  <c r="Q145" i="5"/>
  <c r="R145" i="5"/>
  <c r="S145" i="5"/>
  <c r="T145" i="5"/>
  <c r="U145" i="5"/>
  <c r="V145" i="5"/>
  <c r="W145" i="5"/>
  <c r="X145" i="5"/>
  <c r="A146" i="5"/>
  <c r="B146" i="5"/>
  <c r="C146" i="5"/>
  <c r="E146" i="5"/>
  <c r="F146" i="5"/>
  <c r="G146" i="5"/>
  <c r="O146" i="5"/>
  <c r="P146" i="5"/>
  <c r="Q146" i="5"/>
  <c r="R146" i="5"/>
  <c r="S146" i="5"/>
  <c r="T146" i="5"/>
  <c r="U146" i="5"/>
  <c r="V146" i="5"/>
  <c r="W146" i="5"/>
  <c r="X146" i="5"/>
  <c r="A147" i="5"/>
  <c r="B147" i="5"/>
  <c r="C147" i="5"/>
  <c r="E147" i="5"/>
  <c r="F147" i="5"/>
  <c r="G147" i="5"/>
  <c r="O147" i="5"/>
  <c r="P147" i="5"/>
  <c r="Q147" i="5"/>
  <c r="R147" i="5"/>
  <c r="S147" i="5"/>
  <c r="T147" i="5"/>
  <c r="U147" i="5"/>
  <c r="V147" i="5"/>
  <c r="W147" i="5"/>
  <c r="X147" i="5"/>
  <c r="A148" i="5"/>
  <c r="B148" i="5"/>
  <c r="C148" i="5"/>
  <c r="E148" i="5"/>
  <c r="F148" i="5"/>
  <c r="G148" i="5"/>
  <c r="O148" i="5"/>
  <c r="P148" i="5"/>
  <c r="Q148" i="5"/>
  <c r="R148" i="5"/>
  <c r="S148" i="5"/>
  <c r="T148" i="5"/>
  <c r="U148" i="5"/>
  <c r="V148" i="5"/>
  <c r="W148" i="5"/>
  <c r="X148" i="5"/>
  <c r="A149" i="5"/>
  <c r="B149" i="5"/>
  <c r="C149" i="5"/>
  <c r="E149" i="5"/>
  <c r="F149" i="5"/>
  <c r="G149" i="5"/>
  <c r="O149" i="5"/>
  <c r="P149" i="5"/>
  <c r="Q149" i="5"/>
  <c r="R149" i="5"/>
  <c r="S149" i="5"/>
  <c r="T149" i="5"/>
  <c r="U149" i="5"/>
  <c r="V149" i="5"/>
  <c r="W149" i="5"/>
  <c r="X149" i="5"/>
  <c r="A150" i="5"/>
  <c r="B150" i="5"/>
  <c r="C150" i="5"/>
  <c r="E150" i="5"/>
  <c r="F150" i="5"/>
  <c r="G150" i="5"/>
  <c r="O150" i="5"/>
  <c r="P150" i="5"/>
  <c r="Q150" i="5"/>
  <c r="R150" i="5"/>
  <c r="S150" i="5"/>
  <c r="T150" i="5"/>
  <c r="U150" i="5"/>
  <c r="V150" i="5"/>
  <c r="W150" i="5"/>
  <c r="X150" i="5"/>
  <c r="A151" i="5"/>
  <c r="B151" i="5"/>
  <c r="C151" i="5"/>
  <c r="E151" i="5"/>
  <c r="F151" i="5"/>
  <c r="G151" i="5"/>
  <c r="O151" i="5"/>
  <c r="P151" i="5"/>
  <c r="Q151" i="5"/>
  <c r="R151" i="5"/>
  <c r="S151" i="5"/>
  <c r="T151" i="5"/>
  <c r="U151" i="5"/>
  <c r="V151" i="5"/>
  <c r="W151" i="5"/>
  <c r="X151" i="5"/>
  <c r="A152" i="5"/>
  <c r="B152" i="5"/>
  <c r="C152" i="5"/>
  <c r="E152" i="5"/>
  <c r="F152" i="5"/>
  <c r="G152" i="5"/>
  <c r="O152" i="5"/>
  <c r="P152" i="5"/>
  <c r="Q152" i="5"/>
  <c r="R152" i="5"/>
  <c r="S152" i="5"/>
  <c r="T152" i="5"/>
  <c r="U152" i="5"/>
  <c r="V152" i="5"/>
  <c r="W152" i="5"/>
  <c r="X152" i="5"/>
  <c r="A153" i="5"/>
  <c r="B153" i="5"/>
  <c r="C153" i="5"/>
  <c r="E153" i="5"/>
  <c r="F153" i="5"/>
  <c r="G153" i="5"/>
  <c r="O153" i="5"/>
  <c r="P153" i="5"/>
  <c r="Q153" i="5"/>
  <c r="R153" i="5"/>
  <c r="S153" i="5"/>
  <c r="T153" i="5"/>
  <c r="U153" i="5"/>
  <c r="V153" i="5"/>
  <c r="W153" i="5"/>
  <c r="X153" i="5"/>
  <c r="A154" i="5"/>
  <c r="B154" i="5"/>
  <c r="C154" i="5"/>
  <c r="E154" i="5"/>
  <c r="F154" i="5"/>
  <c r="G154" i="5"/>
  <c r="O154" i="5"/>
  <c r="P154" i="5"/>
  <c r="Q154" i="5"/>
  <c r="R154" i="5"/>
  <c r="S154" i="5"/>
  <c r="T154" i="5"/>
  <c r="U154" i="5"/>
  <c r="V154" i="5"/>
  <c r="W154" i="5"/>
  <c r="X154" i="5"/>
  <c r="A155" i="5"/>
  <c r="B155" i="5"/>
  <c r="C155" i="5"/>
  <c r="E155" i="5"/>
  <c r="F155" i="5"/>
  <c r="G155" i="5"/>
  <c r="O155" i="5"/>
  <c r="P155" i="5"/>
  <c r="Q155" i="5"/>
  <c r="R155" i="5"/>
  <c r="S155" i="5"/>
  <c r="T155" i="5"/>
  <c r="U155" i="5"/>
  <c r="V155" i="5"/>
  <c r="W155" i="5"/>
  <c r="X155" i="5"/>
  <c r="A156" i="5"/>
  <c r="B156" i="5"/>
  <c r="C156" i="5"/>
  <c r="E156" i="5"/>
  <c r="F156" i="5"/>
  <c r="G156" i="5"/>
  <c r="O156" i="5"/>
  <c r="P156" i="5"/>
  <c r="Q156" i="5"/>
  <c r="R156" i="5"/>
  <c r="S156" i="5"/>
  <c r="T156" i="5"/>
  <c r="U156" i="5"/>
  <c r="V156" i="5"/>
  <c r="W156" i="5"/>
  <c r="X156" i="5"/>
  <c r="A157" i="5"/>
  <c r="B157" i="5"/>
  <c r="C157" i="5"/>
  <c r="E157" i="5"/>
  <c r="F157" i="5"/>
  <c r="G157" i="5"/>
  <c r="O157" i="5"/>
  <c r="P157" i="5"/>
  <c r="Q157" i="5"/>
  <c r="R157" i="5"/>
  <c r="S157" i="5"/>
  <c r="T157" i="5"/>
  <c r="U157" i="5"/>
  <c r="V157" i="5"/>
  <c r="W157" i="5"/>
  <c r="X157" i="5"/>
  <c r="A158" i="5"/>
  <c r="B158" i="5"/>
  <c r="C158" i="5"/>
  <c r="E158" i="5"/>
  <c r="F158" i="5"/>
  <c r="G158" i="5"/>
  <c r="O158" i="5"/>
  <c r="P158" i="5"/>
  <c r="Q158" i="5"/>
  <c r="R158" i="5"/>
  <c r="S158" i="5"/>
  <c r="T158" i="5"/>
  <c r="U158" i="5"/>
  <c r="V158" i="5"/>
  <c r="W158" i="5"/>
  <c r="X158" i="5"/>
  <c r="A159" i="5"/>
  <c r="B159" i="5"/>
  <c r="C159" i="5"/>
  <c r="E159" i="5"/>
  <c r="F159" i="5"/>
  <c r="G159" i="5"/>
  <c r="O159" i="5"/>
  <c r="P159" i="5"/>
  <c r="Q159" i="5"/>
  <c r="R159" i="5"/>
  <c r="S159" i="5"/>
  <c r="T159" i="5"/>
  <c r="U159" i="5"/>
  <c r="V159" i="5"/>
  <c r="W159" i="5"/>
  <c r="X159" i="5"/>
  <c r="A160" i="5"/>
  <c r="B160" i="5"/>
  <c r="C160" i="5"/>
  <c r="E160" i="5"/>
  <c r="F160" i="5"/>
  <c r="G160" i="5"/>
  <c r="O160" i="5"/>
  <c r="P160" i="5"/>
  <c r="Q160" i="5"/>
  <c r="R160" i="5"/>
  <c r="S160" i="5"/>
  <c r="T160" i="5"/>
  <c r="U160" i="5"/>
  <c r="V160" i="5"/>
  <c r="W160" i="5"/>
  <c r="X160" i="5"/>
  <c r="A161" i="5"/>
  <c r="B161" i="5"/>
  <c r="C161" i="5"/>
  <c r="E161" i="5"/>
  <c r="F161" i="5"/>
  <c r="G161" i="5"/>
  <c r="O161" i="5"/>
  <c r="P161" i="5"/>
  <c r="Q161" i="5"/>
  <c r="R161" i="5"/>
  <c r="S161" i="5"/>
  <c r="T161" i="5"/>
  <c r="U161" i="5"/>
  <c r="V161" i="5"/>
  <c r="W161" i="5"/>
  <c r="X161" i="5"/>
  <c r="A162" i="5"/>
  <c r="B162" i="5"/>
  <c r="C162" i="5"/>
  <c r="E162" i="5"/>
  <c r="F162" i="5"/>
  <c r="G162" i="5"/>
  <c r="O162" i="5"/>
  <c r="P162" i="5"/>
  <c r="Q162" i="5"/>
  <c r="R162" i="5"/>
  <c r="S162" i="5"/>
  <c r="T162" i="5"/>
  <c r="U162" i="5"/>
  <c r="V162" i="5"/>
  <c r="W162" i="5"/>
  <c r="X162" i="5"/>
  <c r="A163" i="5"/>
  <c r="B163" i="5"/>
  <c r="C163" i="5"/>
  <c r="E163" i="5"/>
  <c r="F163" i="5"/>
  <c r="G163" i="5"/>
  <c r="O163" i="5"/>
  <c r="P163" i="5"/>
  <c r="Q163" i="5"/>
  <c r="R163" i="5"/>
  <c r="S163" i="5"/>
  <c r="T163" i="5"/>
  <c r="U163" i="5"/>
  <c r="V163" i="5"/>
  <c r="W163" i="5"/>
  <c r="X163" i="5"/>
  <c r="A164" i="5"/>
  <c r="B164" i="5"/>
  <c r="C164" i="5"/>
  <c r="E164" i="5"/>
  <c r="F164" i="5"/>
  <c r="G164" i="5"/>
  <c r="O164" i="5"/>
  <c r="P164" i="5"/>
  <c r="Q164" i="5"/>
  <c r="R164" i="5"/>
  <c r="S164" i="5"/>
  <c r="T164" i="5"/>
  <c r="U164" i="5"/>
  <c r="V164" i="5"/>
  <c r="W164" i="5"/>
  <c r="X164" i="5"/>
  <c r="A165" i="5"/>
  <c r="B165" i="5"/>
  <c r="C165" i="5"/>
  <c r="E165" i="5"/>
  <c r="F165" i="5"/>
  <c r="G165" i="5"/>
  <c r="O165" i="5"/>
  <c r="P165" i="5"/>
  <c r="Q165" i="5"/>
  <c r="R165" i="5"/>
  <c r="S165" i="5"/>
  <c r="T165" i="5"/>
  <c r="U165" i="5"/>
  <c r="V165" i="5"/>
  <c r="W165" i="5"/>
  <c r="X165" i="5"/>
  <c r="A166" i="5"/>
  <c r="B166" i="5"/>
  <c r="C166" i="5"/>
  <c r="E166" i="5"/>
  <c r="F166" i="5"/>
  <c r="G166" i="5"/>
  <c r="O166" i="5"/>
  <c r="P166" i="5"/>
  <c r="Q166" i="5"/>
  <c r="R166" i="5"/>
  <c r="S166" i="5"/>
  <c r="T166" i="5"/>
  <c r="U166" i="5"/>
  <c r="V166" i="5"/>
  <c r="W166" i="5"/>
  <c r="X166" i="5"/>
  <c r="A167" i="5"/>
  <c r="B167" i="5"/>
  <c r="C167" i="5"/>
  <c r="E167" i="5"/>
  <c r="F167" i="5"/>
  <c r="G167" i="5"/>
  <c r="O167" i="5"/>
  <c r="P167" i="5"/>
  <c r="Q167" i="5"/>
  <c r="R167" i="5"/>
  <c r="S167" i="5"/>
  <c r="T167" i="5"/>
  <c r="U167" i="5"/>
  <c r="V167" i="5"/>
  <c r="W167" i="5"/>
  <c r="X167" i="5"/>
  <c r="A168" i="5"/>
  <c r="B168" i="5"/>
  <c r="C168" i="5"/>
  <c r="E168" i="5"/>
  <c r="F168" i="5"/>
  <c r="G168" i="5"/>
  <c r="O168" i="5"/>
  <c r="P168" i="5"/>
  <c r="Q168" i="5"/>
  <c r="R168" i="5"/>
  <c r="S168" i="5"/>
  <c r="T168" i="5"/>
  <c r="U168" i="5"/>
  <c r="V168" i="5"/>
  <c r="W168" i="5"/>
  <c r="X168" i="5"/>
  <c r="A169" i="5"/>
  <c r="B169" i="5"/>
  <c r="C169" i="5"/>
  <c r="E169" i="5"/>
  <c r="F169" i="5"/>
  <c r="G169" i="5"/>
  <c r="O169" i="5"/>
  <c r="P169" i="5"/>
  <c r="Q169" i="5"/>
  <c r="R169" i="5"/>
  <c r="S169" i="5"/>
  <c r="T169" i="5"/>
  <c r="U169" i="5"/>
  <c r="V169" i="5"/>
  <c r="W169" i="5"/>
  <c r="X169" i="5"/>
  <c r="A170" i="5"/>
  <c r="B170" i="5"/>
  <c r="C170" i="5"/>
  <c r="E170" i="5"/>
  <c r="F170" i="5"/>
  <c r="G170" i="5"/>
  <c r="O170" i="5"/>
  <c r="P170" i="5"/>
  <c r="Q170" i="5"/>
  <c r="R170" i="5"/>
  <c r="S170" i="5"/>
  <c r="T170" i="5"/>
  <c r="U170" i="5"/>
  <c r="V170" i="5"/>
  <c r="W170" i="5"/>
  <c r="X170" i="5"/>
  <c r="A171" i="5"/>
  <c r="B171" i="5"/>
  <c r="C171" i="5"/>
  <c r="E171" i="5"/>
  <c r="F171" i="5"/>
  <c r="G171" i="5"/>
  <c r="O171" i="5"/>
  <c r="P171" i="5"/>
  <c r="Q171" i="5"/>
  <c r="R171" i="5"/>
  <c r="S171" i="5"/>
  <c r="T171" i="5"/>
  <c r="U171" i="5"/>
  <c r="V171" i="5"/>
  <c r="W171" i="5"/>
  <c r="X171" i="5"/>
  <c r="A172" i="5"/>
  <c r="B172" i="5"/>
  <c r="C172" i="5"/>
  <c r="E172" i="5"/>
  <c r="F172" i="5"/>
  <c r="G172" i="5"/>
  <c r="O172" i="5"/>
  <c r="P172" i="5"/>
  <c r="Q172" i="5"/>
  <c r="R172" i="5"/>
  <c r="S172" i="5"/>
  <c r="T172" i="5"/>
  <c r="U172" i="5"/>
  <c r="V172" i="5"/>
  <c r="W172" i="5"/>
  <c r="X172" i="5"/>
  <c r="A173" i="5"/>
  <c r="B173" i="5"/>
  <c r="C173" i="5"/>
  <c r="E173" i="5"/>
  <c r="F173" i="5"/>
  <c r="G173" i="5"/>
  <c r="O173" i="5"/>
  <c r="P173" i="5"/>
  <c r="Q173" i="5"/>
  <c r="R173" i="5"/>
  <c r="S173" i="5"/>
  <c r="T173" i="5"/>
  <c r="U173" i="5"/>
  <c r="V173" i="5"/>
  <c r="W173" i="5"/>
  <c r="X173" i="5"/>
  <c r="A174" i="5"/>
  <c r="B174" i="5"/>
  <c r="C174" i="5"/>
  <c r="E174" i="5"/>
  <c r="F174" i="5"/>
  <c r="G174" i="5"/>
  <c r="O174" i="5"/>
  <c r="P174" i="5"/>
  <c r="Q174" i="5"/>
  <c r="R174" i="5"/>
  <c r="S174" i="5"/>
  <c r="T174" i="5"/>
  <c r="U174" i="5"/>
  <c r="V174" i="5"/>
  <c r="W174" i="5"/>
  <c r="X174" i="5"/>
  <c r="A175" i="5"/>
  <c r="B175" i="5"/>
  <c r="C175" i="5"/>
  <c r="E175" i="5"/>
  <c r="F175" i="5"/>
  <c r="G175" i="5"/>
  <c r="O175" i="5"/>
  <c r="P175" i="5"/>
  <c r="Q175" i="5"/>
  <c r="R175" i="5"/>
  <c r="S175" i="5"/>
  <c r="T175" i="5"/>
  <c r="U175" i="5"/>
  <c r="V175" i="5"/>
  <c r="W175" i="5"/>
  <c r="X175" i="5"/>
  <c r="A176" i="5"/>
  <c r="B176" i="5"/>
  <c r="C176" i="5"/>
  <c r="E176" i="5"/>
  <c r="F176" i="5"/>
  <c r="G176" i="5"/>
  <c r="O176" i="5"/>
  <c r="P176" i="5"/>
  <c r="Q176" i="5"/>
  <c r="R176" i="5"/>
  <c r="S176" i="5"/>
  <c r="T176" i="5"/>
  <c r="U176" i="5"/>
  <c r="V176" i="5"/>
  <c r="W176" i="5"/>
  <c r="X176" i="5"/>
  <c r="A177" i="5"/>
  <c r="B177" i="5"/>
  <c r="C177" i="5"/>
  <c r="E177" i="5"/>
  <c r="F177" i="5"/>
  <c r="G177" i="5"/>
  <c r="O177" i="5"/>
  <c r="P177" i="5"/>
  <c r="Q177" i="5"/>
  <c r="R177" i="5"/>
  <c r="S177" i="5"/>
  <c r="T177" i="5"/>
  <c r="U177" i="5"/>
  <c r="V177" i="5"/>
  <c r="W177" i="5"/>
  <c r="X177" i="5"/>
  <c r="A178" i="5"/>
  <c r="B178" i="5"/>
  <c r="C178" i="5"/>
  <c r="E178" i="5"/>
  <c r="F178" i="5"/>
  <c r="G178" i="5"/>
  <c r="O178" i="5"/>
  <c r="P178" i="5"/>
  <c r="Q178" i="5"/>
  <c r="R178" i="5"/>
  <c r="S178" i="5"/>
  <c r="T178" i="5"/>
  <c r="U178" i="5"/>
  <c r="V178" i="5"/>
  <c r="W178" i="5"/>
  <c r="X178" i="5"/>
  <c r="A179" i="5"/>
  <c r="B179" i="5"/>
  <c r="C179" i="5"/>
  <c r="E179" i="5"/>
  <c r="F179" i="5"/>
  <c r="G179" i="5"/>
  <c r="O179" i="5"/>
  <c r="P179" i="5"/>
  <c r="Q179" i="5"/>
  <c r="R179" i="5"/>
  <c r="S179" i="5"/>
  <c r="T179" i="5"/>
  <c r="U179" i="5"/>
  <c r="V179" i="5"/>
  <c r="W179" i="5"/>
  <c r="X179" i="5"/>
  <c r="A180" i="5"/>
  <c r="B180" i="5"/>
  <c r="C180" i="5"/>
  <c r="E180" i="5"/>
  <c r="F180" i="5"/>
  <c r="G180" i="5"/>
  <c r="O180" i="5"/>
  <c r="P180" i="5"/>
  <c r="Q180" i="5"/>
  <c r="R180" i="5"/>
  <c r="S180" i="5"/>
  <c r="T180" i="5"/>
  <c r="U180" i="5"/>
  <c r="V180" i="5"/>
  <c r="W180" i="5"/>
  <c r="X180" i="5"/>
  <c r="A181" i="5"/>
  <c r="B181" i="5"/>
  <c r="C181" i="5"/>
  <c r="E181" i="5"/>
  <c r="F181" i="5"/>
  <c r="G181" i="5"/>
  <c r="O181" i="5"/>
  <c r="P181" i="5"/>
  <c r="Q181" i="5"/>
  <c r="R181" i="5"/>
  <c r="S181" i="5"/>
  <c r="T181" i="5"/>
  <c r="U181" i="5"/>
  <c r="V181" i="5"/>
  <c r="W181" i="5"/>
  <c r="X181" i="5"/>
  <c r="A182" i="5"/>
  <c r="B182" i="5"/>
  <c r="C182" i="5"/>
  <c r="E182" i="5"/>
  <c r="F182" i="5"/>
  <c r="G182" i="5"/>
  <c r="O182" i="5"/>
  <c r="P182" i="5"/>
  <c r="Q182" i="5"/>
  <c r="R182" i="5"/>
  <c r="S182" i="5"/>
  <c r="T182" i="5"/>
  <c r="U182" i="5"/>
  <c r="V182" i="5"/>
  <c r="W182" i="5"/>
  <c r="X182" i="5"/>
  <c r="A183" i="5"/>
  <c r="B183" i="5"/>
  <c r="C183" i="5"/>
  <c r="E183" i="5"/>
  <c r="F183" i="5"/>
  <c r="G183" i="5"/>
  <c r="O183" i="5"/>
  <c r="P183" i="5"/>
  <c r="Q183" i="5"/>
  <c r="R183" i="5"/>
  <c r="S183" i="5"/>
  <c r="T183" i="5"/>
  <c r="U183" i="5"/>
  <c r="V183" i="5"/>
  <c r="W183" i="5"/>
  <c r="X183" i="5"/>
  <c r="A184" i="5"/>
  <c r="B184" i="5"/>
  <c r="C184" i="5"/>
  <c r="E184" i="5"/>
  <c r="F184" i="5"/>
  <c r="G184" i="5"/>
  <c r="O184" i="5"/>
  <c r="P184" i="5"/>
  <c r="Q184" i="5"/>
  <c r="R184" i="5"/>
  <c r="S184" i="5"/>
  <c r="T184" i="5"/>
  <c r="U184" i="5"/>
  <c r="V184" i="5"/>
  <c r="W184" i="5"/>
  <c r="X184" i="5"/>
  <c r="A185" i="5"/>
  <c r="B185" i="5"/>
  <c r="C185" i="5"/>
  <c r="E185" i="5"/>
  <c r="F185" i="5"/>
  <c r="G185" i="5"/>
  <c r="O185" i="5"/>
  <c r="P185" i="5"/>
  <c r="Q185" i="5"/>
  <c r="R185" i="5"/>
  <c r="S185" i="5"/>
  <c r="T185" i="5"/>
  <c r="U185" i="5"/>
  <c r="V185" i="5"/>
  <c r="W185" i="5"/>
  <c r="X185" i="5"/>
  <c r="A186" i="5"/>
  <c r="B186" i="5"/>
  <c r="C186" i="5"/>
  <c r="E186" i="5"/>
  <c r="F186" i="5"/>
  <c r="G186" i="5"/>
  <c r="O186" i="5"/>
  <c r="P186" i="5"/>
  <c r="Q186" i="5"/>
  <c r="R186" i="5"/>
  <c r="S186" i="5"/>
  <c r="T186" i="5"/>
  <c r="U186" i="5"/>
  <c r="V186" i="5"/>
  <c r="W186" i="5"/>
  <c r="X186" i="5"/>
  <c r="A187" i="5"/>
  <c r="B187" i="5"/>
  <c r="C187" i="5"/>
  <c r="E187" i="5"/>
  <c r="F187" i="5"/>
  <c r="G187" i="5"/>
  <c r="O187" i="5"/>
  <c r="P187" i="5"/>
  <c r="Q187" i="5"/>
  <c r="R187" i="5"/>
  <c r="S187" i="5"/>
  <c r="T187" i="5"/>
  <c r="U187" i="5"/>
  <c r="V187" i="5"/>
  <c r="W187" i="5"/>
  <c r="X187" i="5"/>
  <c r="A188" i="5"/>
  <c r="B188" i="5"/>
  <c r="C188" i="5"/>
  <c r="E188" i="5"/>
  <c r="F188" i="5"/>
  <c r="G188" i="5"/>
  <c r="O188" i="5"/>
  <c r="P188" i="5"/>
  <c r="Q188" i="5"/>
  <c r="R188" i="5"/>
  <c r="S188" i="5"/>
  <c r="T188" i="5"/>
  <c r="U188" i="5"/>
  <c r="V188" i="5"/>
  <c r="W188" i="5"/>
  <c r="X188" i="5"/>
  <c r="A189" i="5"/>
  <c r="B189" i="5"/>
  <c r="C189" i="5"/>
  <c r="E189" i="5"/>
  <c r="F189" i="5"/>
  <c r="G189" i="5"/>
  <c r="O189" i="5"/>
  <c r="P189" i="5"/>
  <c r="Q189" i="5"/>
  <c r="R189" i="5"/>
  <c r="S189" i="5"/>
  <c r="T189" i="5"/>
  <c r="U189" i="5"/>
  <c r="V189" i="5"/>
  <c r="W189" i="5"/>
  <c r="X189" i="5"/>
  <c r="A190" i="5"/>
  <c r="B190" i="5"/>
  <c r="C190" i="5"/>
  <c r="E190" i="5"/>
  <c r="F190" i="5"/>
  <c r="G190" i="5"/>
  <c r="O190" i="5"/>
  <c r="P190" i="5"/>
  <c r="Q190" i="5"/>
  <c r="R190" i="5"/>
  <c r="S190" i="5"/>
  <c r="T190" i="5"/>
  <c r="U190" i="5"/>
  <c r="V190" i="5"/>
  <c r="W190" i="5"/>
  <c r="X190" i="5"/>
  <c r="A191" i="5"/>
  <c r="B191" i="5"/>
  <c r="C191" i="5"/>
  <c r="E191" i="5"/>
  <c r="F191" i="5"/>
  <c r="G191" i="5"/>
  <c r="O191" i="5"/>
  <c r="P191" i="5"/>
  <c r="Q191" i="5"/>
  <c r="R191" i="5"/>
  <c r="S191" i="5"/>
  <c r="T191" i="5"/>
  <c r="U191" i="5"/>
  <c r="V191" i="5"/>
  <c r="W191" i="5"/>
  <c r="X191" i="5"/>
  <c r="A192" i="5"/>
  <c r="B192" i="5"/>
  <c r="C192" i="5"/>
  <c r="E192" i="5"/>
  <c r="F192" i="5"/>
  <c r="G192" i="5"/>
  <c r="O192" i="5"/>
  <c r="P192" i="5"/>
  <c r="Q192" i="5"/>
  <c r="R192" i="5"/>
  <c r="S192" i="5"/>
  <c r="T192" i="5"/>
  <c r="U192" i="5"/>
  <c r="V192" i="5"/>
  <c r="W192" i="5"/>
  <c r="X192" i="5"/>
  <c r="A193" i="5"/>
  <c r="B193" i="5"/>
  <c r="C193" i="5"/>
  <c r="E193" i="5"/>
  <c r="F193" i="5"/>
  <c r="G193" i="5"/>
  <c r="O193" i="5"/>
  <c r="P193" i="5"/>
  <c r="Q193" i="5"/>
  <c r="R193" i="5"/>
  <c r="S193" i="5"/>
  <c r="T193" i="5"/>
  <c r="U193" i="5"/>
  <c r="V193" i="5"/>
  <c r="W193" i="5"/>
  <c r="X193" i="5"/>
  <c r="A194" i="5"/>
  <c r="B194" i="5"/>
  <c r="C194" i="5"/>
  <c r="E194" i="5"/>
  <c r="F194" i="5"/>
  <c r="G194" i="5"/>
  <c r="O194" i="5"/>
  <c r="P194" i="5"/>
  <c r="Q194" i="5"/>
  <c r="R194" i="5"/>
  <c r="S194" i="5"/>
  <c r="T194" i="5"/>
  <c r="U194" i="5"/>
  <c r="V194" i="5"/>
  <c r="W194" i="5"/>
  <c r="X194" i="5"/>
  <c r="A195" i="5"/>
  <c r="B195" i="5"/>
  <c r="C195" i="5"/>
  <c r="E195" i="5"/>
  <c r="F195" i="5"/>
  <c r="G195" i="5"/>
  <c r="O195" i="5"/>
  <c r="P195" i="5"/>
  <c r="Q195" i="5"/>
  <c r="R195" i="5"/>
  <c r="S195" i="5"/>
  <c r="T195" i="5"/>
  <c r="U195" i="5"/>
  <c r="V195" i="5"/>
  <c r="W195" i="5"/>
  <c r="X195" i="5"/>
  <c r="A196" i="5"/>
  <c r="B196" i="5"/>
  <c r="C196" i="5"/>
  <c r="E196" i="5"/>
  <c r="F196" i="5"/>
  <c r="G196" i="5"/>
  <c r="O196" i="5"/>
  <c r="P196" i="5"/>
  <c r="Q196" i="5"/>
  <c r="R196" i="5"/>
  <c r="S196" i="5"/>
  <c r="T196" i="5"/>
  <c r="U196" i="5"/>
  <c r="V196" i="5"/>
  <c r="W196" i="5"/>
  <c r="X196" i="5"/>
  <c r="A197" i="5"/>
  <c r="B197" i="5"/>
  <c r="C197" i="5"/>
  <c r="E197" i="5"/>
  <c r="F197" i="5"/>
  <c r="G197" i="5"/>
  <c r="O197" i="5"/>
  <c r="P197" i="5"/>
  <c r="Q197" i="5"/>
  <c r="R197" i="5"/>
  <c r="S197" i="5"/>
  <c r="T197" i="5"/>
  <c r="U197" i="5"/>
  <c r="V197" i="5"/>
  <c r="W197" i="5"/>
  <c r="X197" i="5"/>
  <c r="A198" i="5"/>
  <c r="B198" i="5"/>
  <c r="C198" i="5"/>
  <c r="E198" i="5"/>
  <c r="F198" i="5"/>
  <c r="G198" i="5"/>
  <c r="O198" i="5"/>
  <c r="P198" i="5"/>
  <c r="Q198" i="5"/>
  <c r="R198" i="5"/>
  <c r="S198" i="5"/>
  <c r="T198" i="5"/>
  <c r="U198" i="5"/>
  <c r="V198" i="5"/>
  <c r="W198" i="5"/>
  <c r="X198" i="5"/>
  <c r="A199" i="5"/>
  <c r="B199" i="5"/>
  <c r="C199" i="5"/>
  <c r="E199" i="5"/>
  <c r="F199" i="5"/>
  <c r="G199" i="5"/>
  <c r="O199" i="5"/>
  <c r="P199" i="5"/>
  <c r="Q199" i="5"/>
  <c r="R199" i="5"/>
  <c r="S199" i="5"/>
  <c r="T199" i="5"/>
  <c r="U199" i="5"/>
  <c r="V199" i="5"/>
  <c r="W199" i="5"/>
  <c r="X199" i="5"/>
  <c r="A200" i="5"/>
  <c r="B200" i="5"/>
  <c r="C200" i="5"/>
  <c r="E200" i="5"/>
  <c r="F200" i="5"/>
  <c r="G200" i="5"/>
  <c r="O200" i="5"/>
  <c r="P200" i="5"/>
  <c r="Q200" i="5"/>
  <c r="R200" i="5"/>
  <c r="S200" i="5"/>
  <c r="T200" i="5"/>
  <c r="U200" i="5"/>
  <c r="V200" i="5"/>
  <c r="W200" i="5"/>
  <c r="X200" i="5"/>
  <c r="A201" i="5"/>
  <c r="B201" i="5"/>
  <c r="C201" i="5"/>
  <c r="E201" i="5"/>
  <c r="F201" i="5"/>
  <c r="G201" i="5"/>
  <c r="O201" i="5"/>
  <c r="P201" i="5"/>
  <c r="Q201" i="5"/>
  <c r="R201" i="5"/>
  <c r="S201" i="5"/>
  <c r="T201" i="5"/>
  <c r="U201" i="5"/>
  <c r="V201" i="5"/>
  <c r="W201" i="5"/>
  <c r="X201" i="5"/>
  <c r="A202" i="5"/>
  <c r="B202" i="5"/>
  <c r="C202" i="5"/>
  <c r="E202" i="5"/>
  <c r="F202" i="5"/>
  <c r="G202" i="5"/>
  <c r="O202" i="5"/>
  <c r="P202" i="5"/>
  <c r="Q202" i="5"/>
  <c r="R202" i="5"/>
  <c r="S202" i="5"/>
  <c r="T202" i="5"/>
  <c r="U202" i="5"/>
  <c r="V202" i="5"/>
  <c r="W202" i="5"/>
  <c r="X202" i="5"/>
  <c r="A203" i="5"/>
  <c r="B203" i="5"/>
  <c r="C203" i="5"/>
  <c r="E203" i="5"/>
  <c r="F203" i="5"/>
  <c r="G203" i="5"/>
  <c r="O203" i="5"/>
  <c r="P203" i="5"/>
  <c r="Q203" i="5"/>
  <c r="R203" i="5"/>
  <c r="S203" i="5"/>
  <c r="T203" i="5"/>
  <c r="U203" i="5"/>
  <c r="V203" i="5"/>
  <c r="W203" i="5"/>
  <c r="X203" i="5"/>
  <c r="A204" i="5"/>
  <c r="B204" i="5"/>
  <c r="C204" i="5"/>
  <c r="E204" i="5"/>
  <c r="F204" i="5"/>
  <c r="G204" i="5"/>
  <c r="O204" i="5"/>
  <c r="P204" i="5"/>
  <c r="Q204" i="5"/>
  <c r="R204" i="5"/>
  <c r="S204" i="5"/>
  <c r="T204" i="5"/>
  <c r="U204" i="5"/>
  <c r="V204" i="5"/>
  <c r="W204" i="5"/>
  <c r="X204" i="5"/>
  <c r="A205" i="5"/>
  <c r="B205" i="5"/>
  <c r="C205" i="5"/>
  <c r="E205" i="5"/>
  <c r="F205" i="5"/>
  <c r="G205" i="5"/>
  <c r="O205" i="5"/>
  <c r="P205" i="5"/>
  <c r="Q205" i="5"/>
  <c r="R205" i="5"/>
  <c r="S205" i="5"/>
  <c r="T205" i="5"/>
  <c r="U205" i="5"/>
  <c r="V205" i="5"/>
  <c r="W205" i="5"/>
  <c r="X205" i="5"/>
  <c r="A206" i="5"/>
  <c r="B206" i="5"/>
  <c r="C206" i="5"/>
  <c r="E206" i="5"/>
  <c r="F206" i="5"/>
  <c r="G206" i="5"/>
  <c r="O206" i="5"/>
  <c r="P206" i="5"/>
  <c r="Q206" i="5"/>
  <c r="R206" i="5"/>
  <c r="S206" i="5"/>
  <c r="T206" i="5"/>
  <c r="U206" i="5"/>
  <c r="V206" i="5"/>
  <c r="W206" i="5"/>
  <c r="X206" i="5"/>
  <c r="A207" i="5"/>
  <c r="B207" i="5"/>
  <c r="C207" i="5"/>
  <c r="E207" i="5"/>
  <c r="F207" i="5"/>
  <c r="G207" i="5"/>
  <c r="O207" i="5"/>
  <c r="P207" i="5"/>
  <c r="Q207" i="5"/>
  <c r="R207" i="5"/>
  <c r="S207" i="5"/>
  <c r="T207" i="5"/>
  <c r="U207" i="5"/>
  <c r="V207" i="5"/>
  <c r="W207" i="5"/>
  <c r="X207" i="5"/>
  <c r="A208" i="5"/>
  <c r="B208" i="5"/>
  <c r="C208" i="5"/>
  <c r="E208" i="5"/>
  <c r="F208" i="5"/>
  <c r="G208" i="5"/>
  <c r="O208" i="5"/>
  <c r="P208" i="5"/>
  <c r="Q208" i="5"/>
  <c r="R208" i="5"/>
  <c r="S208" i="5"/>
  <c r="T208" i="5"/>
  <c r="U208" i="5"/>
  <c r="V208" i="5"/>
  <c r="W208" i="5"/>
  <c r="X208" i="5"/>
  <c r="A209" i="5"/>
  <c r="B209" i="5"/>
  <c r="C209" i="5"/>
  <c r="E209" i="5"/>
  <c r="F209" i="5"/>
  <c r="G209" i="5"/>
  <c r="O209" i="5"/>
  <c r="P209" i="5"/>
  <c r="Q209" i="5"/>
  <c r="R209" i="5"/>
  <c r="S209" i="5"/>
  <c r="T209" i="5"/>
  <c r="U209" i="5"/>
  <c r="V209" i="5"/>
  <c r="W209" i="5"/>
  <c r="X209" i="5"/>
  <c r="A210" i="5"/>
  <c r="B210" i="5"/>
  <c r="C210" i="5"/>
  <c r="E210" i="5"/>
  <c r="F210" i="5"/>
  <c r="G210" i="5"/>
  <c r="O210" i="5"/>
  <c r="P210" i="5"/>
  <c r="Q210" i="5"/>
  <c r="R210" i="5"/>
  <c r="S210" i="5"/>
  <c r="T210" i="5"/>
  <c r="U210" i="5"/>
  <c r="V210" i="5"/>
  <c r="W210" i="5"/>
  <c r="X210" i="5"/>
  <c r="A211" i="5"/>
  <c r="B211" i="5"/>
  <c r="C211" i="5"/>
  <c r="E211" i="5"/>
  <c r="F211" i="5"/>
  <c r="G211" i="5"/>
  <c r="O211" i="5"/>
  <c r="P211" i="5"/>
  <c r="Q211" i="5"/>
  <c r="R211" i="5"/>
  <c r="S211" i="5"/>
  <c r="T211" i="5"/>
  <c r="U211" i="5"/>
  <c r="V211" i="5"/>
  <c r="W211" i="5"/>
  <c r="X211" i="5"/>
  <c r="A212" i="5"/>
  <c r="B212" i="5"/>
  <c r="C212" i="5"/>
  <c r="E212" i="5"/>
  <c r="F212" i="5"/>
  <c r="G212" i="5"/>
  <c r="O212" i="5"/>
  <c r="P212" i="5"/>
  <c r="Q212" i="5"/>
  <c r="R212" i="5"/>
  <c r="S212" i="5"/>
  <c r="T212" i="5"/>
  <c r="U212" i="5"/>
  <c r="V212" i="5"/>
  <c r="W212" i="5"/>
  <c r="X212" i="5"/>
  <c r="A213" i="5"/>
  <c r="B213" i="5"/>
  <c r="C213" i="5"/>
  <c r="E213" i="5"/>
  <c r="F213" i="5"/>
  <c r="G213" i="5"/>
  <c r="O213" i="5"/>
  <c r="P213" i="5"/>
  <c r="Q213" i="5"/>
  <c r="R213" i="5"/>
  <c r="S213" i="5"/>
  <c r="T213" i="5"/>
  <c r="U213" i="5"/>
  <c r="V213" i="5"/>
  <c r="W213" i="5"/>
  <c r="X213" i="5"/>
  <c r="A214" i="5"/>
  <c r="B214" i="5"/>
  <c r="C214" i="5"/>
  <c r="E214" i="5"/>
  <c r="F214" i="5"/>
  <c r="G214" i="5"/>
  <c r="O214" i="5"/>
  <c r="P214" i="5"/>
  <c r="Q214" i="5"/>
  <c r="R214" i="5"/>
  <c r="S214" i="5"/>
  <c r="T214" i="5"/>
  <c r="U214" i="5"/>
  <c r="V214" i="5"/>
  <c r="W214" i="5"/>
  <c r="X214" i="5"/>
  <c r="A215" i="5"/>
  <c r="B215" i="5"/>
  <c r="C215" i="5"/>
  <c r="E215" i="5"/>
  <c r="F215" i="5"/>
  <c r="G215" i="5"/>
  <c r="O215" i="5"/>
  <c r="P215" i="5"/>
  <c r="Q215" i="5"/>
  <c r="R215" i="5"/>
  <c r="S215" i="5"/>
  <c r="T215" i="5"/>
  <c r="U215" i="5"/>
  <c r="V215" i="5"/>
  <c r="W215" i="5"/>
  <c r="X215" i="5"/>
  <c r="A216" i="5"/>
  <c r="B216" i="5"/>
  <c r="C216" i="5"/>
  <c r="E216" i="5"/>
  <c r="F216" i="5"/>
  <c r="G216" i="5"/>
  <c r="O216" i="5"/>
  <c r="P216" i="5"/>
  <c r="Q216" i="5"/>
  <c r="R216" i="5"/>
  <c r="S216" i="5"/>
  <c r="T216" i="5"/>
  <c r="U216" i="5"/>
  <c r="V216" i="5"/>
  <c r="W216" i="5"/>
  <c r="X216" i="5"/>
  <c r="A217" i="5"/>
  <c r="B217" i="5"/>
  <c r="C217" i="5"/>
  <c r="E217" i="5"/>
  <c r="F217" i="5"/>
  <c r="G217" i="5"/>
  <c r="O217" i="5"/>
  <c r="P217" i="5"/>
  <c r="Q217" i="5"/>
  <c r="R217" i="5"/>
  <c r="S217" i="5"/>
  <c r="T217" i="5"/>
  <c r="U217" i="5"/>
  <c r="V217" i="5"/>
  <c r="W217" i="5"/>
  <c r="X217" i="5"/>
  <c r="A218" i="5"/>
  <c r="B218" i="5"/>
  <c r="C218" i="5"/>
  <c r="E218" i="5"/>
  <c r="F218" i="5"/>
  <c r="G218" i="5"/>
  <c r="O218" i="5"/>
  <c r="P218" i="5"/>
  <c r="Q218" i="5"/>
  <c r="R218" i="5"/>
  <c r="S218" i="5"/>
  <c r="T218" i="5"/>
  <c r="U218" i="5"/>
  <c r="V218" i="5"/>
  <c r="W218" i="5"/>
  <c r="X218" i="5"/>
  <c r="A219" i="5"/>
  <c r="B219" i="5"/>
  <c r="C219" i="5"/>
  <c r="E219" i="5"/>
  <c r="F219" i="5"/>
  <c r="G219" i="5"/>
  <c r="O219" i="5"/>
  <c r="P219" i="5"/>
  <c r="Q219" i="5"/>
  <c r="R219" i="5"/>
  <c r="S219" i="5"/>
  <c r="T219" i="5"/>
  <c r="U219" i="5"/>
  <c r="V219" i="5"/>
  <c r="W219" i="5"/>
  <c r="X219" i="5"/>
  <c r="A220" i="5"/>
  <c r="B220" i="5"/>
  <c r="C220" i="5"/>
  <c r="E220" i="5"/>
  <c r="F220" i="5"/>
  <c r="G220" i="5"/>
  <c r="O220" i="5"/>
  <c r="P220" i="5"/>
  <c r="Q220" i="5"/>
  <c r="R220" i="5"/>
  <c r="S220" i="5"/>
  <c r="T220" i="5"/>
  <c r="U220" i="5"/>
  <c r="V220" i="5"/>
  <c r="W220" i="5"/>
  <c r="X220" i="5"/>
  <c r="A221" i="5"/>
  <c r="B221" i="5"/>
  <c r="C221" i="5"/>
  <c r="E221" i="5"/>
  <c r="F221" i="5"/>
  <c r="G221" i="5"/>
  <c r="O221" i="5"/>
  <c r="P221" i="5"/>
  <c r="Q221" i="5"/>
  <c r="R221" i="5"/>
  <c r="S221" i="5"/>
  <c r="T221" i="5"/>
  <c r="U221" i="5"/>
  <c r="V221" i="5"/>
  <c r="W221" i="5"/>
  <c r="X221" i="5"/>
  <c r="A222" i="5"/>
  <c r="B222" i="5"/>
  <c r="C222" i="5"/>
  <c r="E222" i="5"/>
  <c r="F222" i="5"/>
  <c r="G222" i="5"/>
  <c r="O222" i="5"/>
  <c r="P222" i="5"/>
  <c r="Q222" i="5"/>
  <c r="R222" i="5"/>
  <c r="S222" i="5"/>
  <c r="T222" i="5"/>
  <c r="U222" i="5"/>
  <c r="V222" i="5"/>
  <c r="W222" i="5"/>
  <c r="X222" i="5"/>
  <c r="A223" i="5"/>
  <c r="B223" i="5"/>
  <c r="C223" i="5"/>
  <c r="E223" i="5"/>
  <c r="F223" i="5"/>
  <c r="G223" i="5"/>
  <c r="O223" i="5"/>
  <c r="P223" i="5"/>
  <c r="Q223" i="5"/>
  <c r="R223" i="5"/>
  <c r="S223" i="5"/>
  <c r="T223" i="5"/>
  <c r="U223" i="5"/>
  <c r="V223" i="5"/>
  <c r="W223" i="5"/>
  <c r="X223" i="5"/>
  <c r="A224" i="5"/>
  <c r="B224" i="5"/>
  <c r="C224" i="5"/>
  <c r="E224" i="5"/>
  <c r="F224" i="5"/>
  <c r="G224" i="5"/>
  <c r="O224" i="5"/>
  <c r="P224" i="5"/>
  <c r="Q224" i="5"/>
  <c r="R224" i="5"/>
  <c r="S224" i="5"/>
  <c r="T224" i="5"/>
  <c r="U224" i="5"/>
  <c r="V224" i="5"/>
  <c r="W224" i="5"/>
  <c r="X224" i="5"/>
  <c r="A225" i="5"/>
  <c r="B225" i="5"/>
  <c r="C225" i="5"/>
  <c r="E225" i="5"/>
  <c r="F225" i="5"/>
  <c r="G225" i="5"/>
  <c r="O225" i="5"/>
  <c r="P225" i="5"/>
  <c r="Q225" i="5"/>
  <c r="R225" i="5"/>
  <c r="S225" i="5"/>
  <c r="T225" i="5"/>
  <c r="U225" i="5"/>
  <c r="V225" i="5"/>
  <c r="W225" i="5"/>
  <c r="X225" i="5"/>
  <c r="A226" i="5"/>
  <c r="B226" i="5"/>
  <c r="C226" i="5"/>
  <c r="E226" i="5"/>
  <c r="F226" i="5"/>
  <c r="G226" i="5"/>
  <c r="O226" i="5"/>
  <c r="P226" i="5"/>
  <c r="Q226" i="5"/>
  <c r="R226" i="5"/>
  <c r="S226" i="5"/>
  <c r="T226" i="5"/>
  <c r="U226" i="5"/>
  <c r="V226" i="5"/>
  <c r="W226" i="5"/>
  <c r="X226" i="5"/>
  <c r="A227" i="5"/>
  <c r="B227" i="5"/>
  <c r="C227" i="5"/>
  <c r="E227" i="5"/>
  <c r="F227" i="5"/>
  <c r="G227" i="5"/>
  <c r="O227" i="5"/>
  <c r="P227" i="5"/>
  <c r="Q227" i="5"/>
  <c r="R227" i="5"/>
  <c r="S227" i="5"/>
  <c r="T227" i="5"/>
  <c r="U227" i="5"/>
  <c r="V227" i="5"/>
  <c r="W227" i="5"/>
  <c r="X227" i="5"/>
  <c r="A228" i="5"/>
  <c r="B228" i="5"/>
  <c r="C228" i="5"/>
  <c r="E228" i="5"/>
  <c r="F228" i="5"/>
  <c r="G228" i="5"/>
  <c r="O228" i="5"/>
  <c r="P228" i="5"/>
  <c r="Q228" i="5"/>
  <c r="R228" i="5"/>
  <c r="S228" i="5"/>
  <c r="T228" i="5"/>
  <c r="U228" i="5"/>
  <c r="V228" i="5"/>
  <c r="W228" i="5"/>
  <c r="X228" i="5"/>
  <c r="A229" i="5"/>
  <c r="B229" i="5"/>
  <c r="C229" i="5"/>
  <c r="E229" i="5"/>
  <c r="F229" i="5"/>
  <c r="G229" i="5"/>
  <c r="O229" i="5"/>
  <c r="P229" i="5"/>
  <c r="Q229" i="5"/>
  <c r="R229" i="5"/>
  <c r="S229" i="5"/>
  <c r="T229" i="5"/>
  <c r="U229" i="5"/>
  <c r="V229" i="5"/>
  <c r="W229" i="5"/>
  <c r="X229" i="5"/>
  <c r="A230" i="5"/>
  <c r="B230" i="5"/>
  <c r="C230" i="5"/>
  <c r="E230" i="5"/>
  <c r="F230" i="5"/>
  <c r="G230" i="5"/>
  <c r="O230" i="5"/>
  <c r="P230" i="5"/>
  <c r="Q230" i="5"/>
  <c r="R230" i="5"/>
  <c r="S230" i="5"/>
  <c r="T230" i="5"/>
  <c r="U230" i="5"/>
  <c r="V230" i="5"/>
  <c r="W230" i="5"/>
  <c r="X230" i="5"/>
  <c r="A231" i="5"/>
  <c r="B231" i="5"/>
  <c r="C231" i="5"/>
  <c r="E231" i="5"/>
  <c r="F231" i="5"/>
  <c r="G231" i="5"/>
  <c r="O231" i="5"/>
  <c r="P231" i="5"/>
  <c r="Q231" i="5"/>
  <c r="R231" i="5"/>
  <c r="S231" i="5"/>
  <c r="T231" i="5"/>
  <c r="U231" i="5"/>
  <c r="V231" i="5"/>
  <c r="W231" i="5"/>
  <c r="X231" i="5"/>
  <c r="A232" i="5"/>
  <c r="B232" i="5"/>
  <c r="C232" i="5"/>
  <c r="E232" i="5"/>
  <c r="F232" i="5"/>
  <c r="G232" i="5"/>
  <c r="O232" i="5"/>
  <c r="P232" i="5"/>
  <c r="Q232" i="5"/>
  <c r="R232" i="5"/>
  <c r="S232" i="5"/>
  <c r="T232" i="5"/>
  <c r="U232" i="5"/>
  <c r="V232" i="5"/>
  <c r="W232" i="5"/>
  <c r="X232" i="5"/>
  <c r="A233" i="5"/>
  <c r="B233" i="5"/>
  <c r="C233" i="5"/>
  <c r="E233" i="5"/>
  <c r="F233" i="5"/>
  <c r="G233" i="5"/>
  <c r="O233" i="5"/>
  <c r="P233" i="5"/>
  <c r="Q233" i="5"/>
  <c r="R233" i="5"/>
  <c r="S233" i="5"/>
  <c r="T233" i="5"/>
  <c r="U233" i="5"/>
  <c r="V233" i="5"/>
  <c r="W233" i="5"/>
  <c r="X233" i="5"/>
  <c r="A234" i="5"/>
  <c r="B234" i="5"/>
  <c r="C234" i="5"/>
  <c r="E234" i="5"/>
  <c r="F234" i="5"/>
  <c r="G234" i="5"/>
  <c r="O234" i="5"/>
  <c r="P234" i="5"/>
  <c r="Q234" i="5"/>
  <c r="R234" i="5"/>
  <c r="S234" i="5"/>
  <c r="T234" i="5"/>
  <c r="U234" i="5"/>
  <c r="V234" i="5"/>
  <c r="W234" i="5"/>
  <c r="X234" i="5"/>
  <c r="A235" i="5"/>
  <c r="B235" i="5"/>
  <c r="C235" i="5"/>
  <c r="E235" i="5"/>
  <c r="F235" i="5"/>
  <c r="G235" i="5"/>
  <c r="O235" i="5"/>
  <c r="P235" i="5"/>
  <c r="Q235" i="5"/>
  <c r="R235" i="5"/>
  <c r="S235" i="5"/>
  <c r="T235" i="5"/>
  <c r="U235" i="5"/>
  <c r="V235" i="5"/>
  <c r="W235" i="5"/>
  <c r="X235" i="5"/>
  <c r="A236" i="5"/>
  <c r="B236" i="5"/>
  <c r="C236" i="5"/>
  <c r="E236" i="5"/>
  <c r="F236" i="5"/>
  <c r="G236" i="5"/>
  <c r="O236" i="5"/>
  <c r="P236" i="5"/>
  <c r="Q236" i="5"/>
  <c r="R236" i="5"/>
  <c r="S236" i="5"/>
  <c r="T236" i="5"/>
  <c r="U236" i="5"/>
  <c r="V236" i="5"/>
  <c r="W236" i="5"/>
  <c r="X236" i="5"/>
  <c r="A237" i="5"/>
  <c r="B237" i="5"/>
  <c r="C237" i="5"/>
  <c r="E237" i="5"/>
  <c r="F237" i="5"/>
  <c r="G237" i="5"/>
  <c r="O237" i="5"/>
  <c r="P237" i="5"/>
  <c r="Q237" i="5"/>
  <c r="R237" i="5"/>
  <c r="S237" i="5"/>
  <c r="T237" i="5"/>
  <c r="U237" i="5"/>
  <c r="V237" i="5"/>
  <c r="W237" i="5"/>
  <c r="X237" i="5"/>
  <c r="A238" i="5"/>
  <c r="B238" i="5"/>
  <c r="C238" i="5"/>
  <c r="E238" i="5"/>
  <c r="F238" i="5"/>
  <c r="G238" i="5"/>
  <c r="O238" i="5"/>
  <c r="P238" i="5"/>
  <c r="Q238" i="5"/>
  <c r="R238" i="5"/>
  <c r="S238" i="5"/>
  <c r="T238" i="5"/>
  <c r="U238" i="5"/>
  <c r="V238" i="5"/>
  <c r="W238" i="5"/>
  <c r="X238" i="5"/>
  <c r="A239" i="5"/>
  <c r="B239" i="5"/>
  <c r="C239" i="5"/>
  <c r="E239" i="5"/>
  <c r="F239" i="5"/>
  <c r="G239" i="5"/>
  <c r="O239" i="5"/>
  <c r="P239" i="5"/>
  <c r="Q239" i="5"/>
  <c r="R239" i="5"/>
  <c r="S239" i="5"/>
  <c r="T239" i="5"/>
  <c r="U239" i="5"/>
  <c r="V239" i="5"/>
  <c r="W239" i="5"/>
  <c r="X239" i="5"/>
  <c r="A240" i="5"/>
  <c r="B240" i="5"/>
  <c r="C240" i="5"/>
  <c r="E240" i="5"/>
  <c r="F240" i="5"/>
  <c r="G240" i="5"/>
  <c r="O240" i="5"/>
  <c r="P240" i="5"/>
  <c r="Q240" i="5"/>
  <c r="R240" i="5"/>
  <c r="S240" i="5"/>
  <c r="T240" i="5"/>
  <c r="U240" i="5"/>
  <c r="V240" i="5"/>
  <c r="W240" i="5"/>
  <c r="X240" i="5"/>
  <c r="A241" i="5"/>
  <c r="B241" i="5"/>
  <c r="C241" i="5"/>
  <c r="E241" i="5"/>
  <c r="F241" i="5"/>
  <c r="G241" i="5"/>
  <c r="O241" i="5"/>
  <c r="P241" i="5"/>
  <c r="Q241" i="5"/>
  <c r="R241" i="5"/>
  <c r="S241" i="5"/>
  <c r="T241" i="5"/>
  <c r="U241" i="5"/>
  <c r="V241" i="5"/>
  <c r="W241" i="5"/>
  <c r="X241" i="5"/>
  <c r="A242" i="5"/>
  <c r="B242" i="5"/>
  <c r="C242" i="5"/>
  <c r="E242" i="5"/>
  <c r="F242" i="5"/>
  <c r="G242" i="5"/>
  <c r="O242" i="5"/>
  <c r="P242" i="5"/>
  <c r="Q242" i="5"/>
  <c r="R242" i="5"/>
  <c r="S242" i="5"/>
  <c r="T242" i="5"/>
  <c r="U242" i="5"/>
  <c r="V242" i="5"/>
  <c r="W242" i="5"/>
  <c r="X242" i="5"/>
  <c r="A243" i="5"/>
  <c r="B243" i="5"/>
  <c r="C243" i="5"/>
  <c r="E243" i="5"/>
  <c r="F243" i="5"/>
  <c r="G243" i="5"/>
  <c r="O243" i="5"/>
  <c r="P243" i="5"/>
  <c r="Q243" i="5"/>
  <c r="R243" i="5"/>
  <c r="S243" i="5"/>
  <c r="T243" i="5"/>
  <c r="U243" i="5"/>
  <c r="V243" i="5"/>
  <c r="W243" i="5"/>
  <c r="X243" i="5"/>
  <c r="A244" i="5"/>
  <c r="B244" i="5"/>
  <c r="C244" i="5"/>
  <c r="E244" i="5"/>
  <c r="F244" i="5"/>
  <c r="G244" i="5"/>
  <c r="O244" i="5"/>
  <c r="P244" i="5"/>
  <c r="Q244" i="5"/>
  <c r="R244" i="5"/>
  <c r="S244" i="5"/>
  <c r="T244" i="5"/>
  <c r="U244" i="5"/>
  <c r="V244" i="5"/>
  <c r="W244" i="5"/>
  <c r="X244" i="5"/>
  <c r="A245" i="5"/>
  <c r="B245" i="5"/>
  <c r="C245" i="5"/>
  <c r="E245" i="5"/>
  <c r="F245" i="5"/>
  <c r="G245" i="5"/>
  <c r="O245" i="5"/>
  <c r="P245" i="5"/>
  <c r="Q245" i="5"/>
  <c r="R245" i="5"/>
  <c r="S245" i="5"/>
  <c r="T245" i="5"/>
  <c r="U245" i="5"/>
  <c r="V245" i="5"/>
  <c r="W245" i="5"/>
  <c r="X245" i="5"/>
  <c r="A246" i="5"/>
  <c r="B246" i="5"/>
  <c r="C246" i="5"/>
  <c r="E246" i="5"/>
  <c r="F246" i="5"/>
  <c r="G246" i="5"/>
  <c r="O246" i="5"/>
  <c r="P246" i="5"/>
  <c r="Q246" i="5"/>
  <c r="R246" i="5"/>
  <c r="S246" i="5"/>
  <c r="T246" i="5"/>
  <c r="U246" i="5"/>
  <c r="V246" i="5"/>
  <c r="W246" i="5"/>
  <c r="X246" i="5"/>
  <c r="A247" i="5"/>
  <c r="B247" i="5"/>
  <c r="C247" i="5"/>
  <c r="E247" i="5"/>
  <c r="F247" i="5"/>
  <c r="G247" i="5"/>
  <c r="O247" i="5"/>
  <c r="P247" i="5"/>
  <c r="Q247" i="5"/>
  <c r="R247" i="5"/>
  <c r="S247" i="5"/>
  <c r="T247" i="5"/>
  <c r="U247" i="5"/>
  <c r="V247" i="5"/>
  <c r="W247" i="5"/>
  <c r="X247" i="5"/>
  <c r="A248" i="5"/>
  <c r="B248" i="5"/>
  <c r="C248" i="5"/>
  <c r="E248" i="5"/>
  <c r="F248" i="5"/>
  <c r="G248" i="5"/>
  <c r="O248" i="5"/>
  <c r="P248" i="5"/>
  <c r="Q248" i="5"/>
  <c r="R248" i="5"/>
  <c r="S248" i="5"/>
  <c r="T248" i="5"/>
  <c r="U248" i="5"/>
  <c r="V248" i="5"/>
  <c r="W248" i="5"/>
  <c r="X248" i="5"/>
  <c r="A249" i="5"/>
  <c r="B249" i="5"/>
  <c r="C249" i="5"/>
  <c r="E249" i="5"/>
  <c r="F249" i="5"/>
  <c r="G249" i="5"/>
  <c r="O249" i="5"/>
  <c r="P249" i="5"/>
  <c r="Q249" i="5"/>
  <c r="R249" i="5"/>
  <c r="S249" i="5"/>
  <c r="T249" i="5"/>
  <c r="U249" i="5"/>
  <c r="V249" i="5"/>
  <c r="W249" i="5"/>
  <c r="X249" i="5"/>
  <c r="A250" i="5"/>
  <c r="B250" i="5"/>
  <c r="C250" i="5"/>
  <c r="E250" i="5"/>
  <c r="F250" i="5"/>
  <c r="G250" i="5"/>
  <c r="O250" i="5"/>
  <c r="P250" i="5"/>
  <c r="Q250" i="5"/>
  <c r="R250" i="5"/>
  <c r="S250" i="5"/>
  <c r="T250" i="5"/>
  <c r="U250" i="5"/>
  <c r="V250" i="5"/>
  <c r="W250" i="5"/>
  <c r="X250" i="5"/>
  <c r="A251" i="5"/>
  <c r="B251" i="5"/>
  <c r="C251" i="5"/>
  <c r="E251" i="5"/>
  <c r="F251" i="5"/>
  <c r="G251" i="5"/>
  <c r="O251" i="5"/>
  <c r="P251" i="5"/>
  <c r="Q251" i="5"/>
  <c r="R251" i="5"/>
  <c r="S251" i="5"/>
  <c r="T251" i="5"/>
  <c r="U251" i="5"/>
  <c r="V251" i="5"/>
  <c r="W251" i="5"/>
  <c r="X251" i="5"/>
  <c r="A252" i="5"/>
  <c r="B252" i="5"/>
  <c r="C252" i="5"/>
  <c r="E252" i="5"/>
  <c r="F252" i="5"/>
  <c r="G252" i="5"/>
  <c r="O252" i="5"/>
  <c r="P252" i="5"/>
  <c r="Q252" i="5"/>
  <c r="R252" i="5"/>
  <c r="S252" i="5"/>
  <c r="T252" i="5"/>
  <c r="U252" i="5"/>
  <c r="V252" i="5"/>
  <c r="W252" i="5"/>
  <c r="X252" i="5"/>
  <c r="A253" i="5"/>
  <c r="B253" i="5"/>
  <c r="C253" i="5"/>
  <c r="E253" i="5"/>
  <c r="F253" i="5"/>
  <c r="G253" i="5"/>
  <c r="O253" i="5"/>
  <c r="P253" i="5"/>
  <c r="Q253" i="5"/>
  <c r="R253" i="5"/>
  <c r="S253" i="5"/>
  <c r="T253" i="5"/>
  <c r="U253" i="5"/>
  <c r="V253" i="5"/>
  <c r="W253" i="5"/>
  <c r="X253" i="5"/>
  <c r="A254" i="5"/>
  <c r="B254" i="5"/>
  <c r="C254" i="5"/>
  <c r="E254" i="5"/>
  <c r="F254" i="5"/>
  <c r="G254" i="5"/>
  <c r="O254" i="5"/>
  <c r="P254" i="5"/>
  <c r="Q254" i="5"/>
  <c r="R254" i="5"/>
  <c r="S254" i="5"/>
  <c r="T254" i="5"/>
  <c r="U254" i="5"/>
  <c r="V254" i="5"/>
  <c r="W254" i="5"/>
  <c r="X254" i="5"/>
  <c r="A255" i="5"/>
  <c r="B255" i="5"/>
  <c r="C255" i="5"/>
  <c r="E255" i="5"/>
  <c r="F255" i="5"/>
  <c r="G255" i="5"/>
  <c r="O255" i="5"/>
  <c r="P255" i="5"/>
  <c r="Q255" i="5"/>
  <c r="R255" i="5"/>
  <c r="S255" i="5"/>
  <c r="T255" i="5"/>
  <c r="U255" i="5"/>
  <c r="V255" i="5"/>
  <c r="W255" i="5"/>
  <c r="X255" i="5"/>
  <c r="A256" i="5"/>
  <c r="B256" i="5"/>
  <c r="C256" i="5"/>
  <c r="E256" i="5"/>
  <c r="F256" i="5"/>
  <c r="G256" i="5"/>
  <c r="O256" i="5"/>
  <c r="P256" i="5"/>
  <c r="Q256" i="5"/>
  <c r="R256" i="5"/>
  <c r="S256" i="5"/>
  <c r="T256" i="5"/>
  <c r="U256" i="5"/>
  <c r="V256" i="5"/>
  <c r="W256" i="5"/>
  <c r="X256" i="5"/>
  <c r="A257" i="5"/>
  <c r="B257" i="5"/>
  <c r="C257" i="5"/>
  <c r="E257" i="5"/>
  <c r="F257" i="5"/>
  <c r="G257" i="5"/>
  <c r="O257" i="5"/>
  <c r="P257" i="5"/>
  <c r="Q257" i="5"/>
  <c r="R257" i="5"/>
  <c r="S257" i="5"/>
  <c r="T257" i="5"/>
  <c r="U257" i="5"/>
  <c r="V257" i="5"/>
  <c r="W257" i="5"/>
  <c r="X257" i="5"/>
  <c r="A258" i="5"/>
  <c r="B258" i="5"/>
  <c r="C258" i="5"/>
  <c r="E258" i="5"/>
  <c r="F258" i="5"/>
  <c r="G258" i="5"/>
  <c r="O258" i="5"/>
  <c r="P258" i="5"/>
  <c r="Q258" i="5"/>
  <c r="R258" i="5"/>
  <c r="S258" i="5"/>
  <c r="T258" i="5"/>
  <c r="U258" i="5"/>
  <c r="V258" i="5"/>
  <c r="W258" i="5"/>
  <c r="X258" i="5"/>
  <c r="A259" i="5"/>
  <c r="B259" i="5"/>
  <c r="C259" i="5"/>
  <c r="E259" i="5"/>
  <c r="F259" i="5"/>
  <c r="G259" i="5"/>
  <c r="O259" i="5"/>
  <c r="P259" i="5"/>
  <c r="Q259" i="5"/>
  <c r="R259" i="5"/>
  <c r="S259" i="5"/>
  <c r="T259" i="5"/>
  <c r="U259" i="5"/>
  <c r="V259" i="5"/>
  <c r="W259" i="5"/>
  <c r="X259" i="5"/>
  <c r="A260" i="5"/>
  <c r="B260" i="5"/>
  <c r="C260" i="5"/>
  <c r="E260" i="5"/>
  <c r="F260" i="5"/>
  <c r="G260" i="5"/>
  <c r="O260" i="5"/>
  <c r="P260" i="5"/>
  <c r="Q260" i="5"/>
  <c r="R260" i="5"/>
  <c r="S260" i="5"/>
  <c r="T260" i="5"/>
  <c r="U260" i="5"/>
  <c r="V260" i="5"/>
  <c r="W260" i="5"/>
  <c r="X260" i="5"/>
  <c r="A261" i="5"/>
  <c r="B261" i="5"/>
  <c r="C261" i="5"/>
  <c r="E261" i="5"/>
  <c r="F261" i="5"/>
  <c r="G261" i="5"/>
  <c r="O261" i="5"/>
  <c r="P261" i="5"/>
  <c r="Q261" i="5"/>
  <c r="R261" i="5"/>
  <c r="S261" i="5"/>
  <c r="T261" i="5"/>
  <c r="U261" i="5"/>
  <c r="V261" i="5"/>
  <c r="W261" i="5"/>
  <c r="X261" i="5"/>
  <c r="A262" i="5"/>
  <c r="B262" i="5"/>
  <c r="C262" i="5"/>
  <c r="E262" i="5"/>
  <c r="F262" i="5"/>
  <c r="G262" i="5"/>
  <c r="O262" i="5"/>
  <c r="P262" i="5"/>
  <c r="Q262" i="5"/>
  <c r="R262" i="5"/>
  <c r="S262" i="5"/>
  <c r="T262" i="5"/>
  <c r="U262" i="5"/>
  <c r="V262" i="5"/>
  <c r="W262" i="5"/>
  <c r="X262" i="5"/>
  <c r="A263" i="5"/>
  <c r="B263" i="5"/>
  <c r="C263" i="5"/>
  <c r="E263" i="5"/>
  <c r="F263" i="5"/>
  <c r="G263" i="5"/>
  <c r="O263" i="5"/>
  <c r="P263" i="5"/>
  <c r="Q263" i="5"/>
  <c r="R263" i="5"/>
  <c r="S263" i="5"/>
  <c r="T263" i="5"/>
  <c r="U263" i="5"/>
  <c r="V263" i="5"/>
  <c r="W263" i="5"/>
  <c r="X263" i="5"/>
  <c r="A264" i="5"/>
  <c r="B264" i="5"/>
  <c r="C264" i="5"/>
  <c r="E264" i="5"/>
  <c r="F264" i="5"/>
  <c r="G264" i="5"/>
  <c r="O264" i="5"/>
  <c r="P264" i="5"/>
  <c r="Q264" i="5"/>
  <c r="R264" i="5"/>
  <c r="S264" i="5"/>
  <c r="T264" i="5"/>
  <c r="U264" i="5"/>
  <c r="V264" i="5"/>
  <c r="W264" i="5"/>
  <c r="X264" i="5"/>
  <c r="A265" i="5"/>
  <c r="B265" i="5"/>
  <c r="C265" i="5"/>
  <c r="E265" i="5"/>
  <c r="F265" i="5"/>
  <c r="G265" i="5"/>
  <c r="O265" i="5"/>
  <c r="P265" i="5"/>
  <c r="Q265" i="5"/>
  <c r="R265" i="5"/>
  <c r="S265" i="5"/>
  <c r="T265" i="5"/>
  <c r="U265" i="5"/>
  <c r="V265" i="5"/>
  <c r="W265" i="5"/>
  <c r="X265" i="5"/>
  <c r="A266" i="5"/>
  <c r="B266" i="5"/>
  <c r="C266" i="5"/>
  <c r="E266" i="5"/>
  <c r="F266" i="5"/>
  <c r="G266" i="5"/>
  <c r="O266" i="5"/>
  <c r="P266" i="5"/>
  <c r="Q266" i="5"/>
  <c r="R266" i="5"/>
  <c r="S266" i="5"/>
  <c r="T266" i="5"/>
  <c r="U266" i="5"/>
  <c r="V266" i="5"/>
  <c r="W266" i="5"/>
  <c r="X266" i="5"/>
  <c r="A267" i="5"/>
  <c r="B267" i="5"/>
  <c r="C267" i="5"/>
  <c r="E267" i="5"/>
  <c r="F267" i="5"/>
  <c r="G267" i="5"/>
  <c r="O267" i="5"/>
  <c r="P267" i="5"/>
  <c r="Q267" i="5"/>
  <c r="R267" i="5"/>
  <c r="S267" i="5"/>
  <c r="T267" i="5"/>
  <c r="U267" i="5"/>
  <c r="V267" i="5"/>
  <c r="W267" i="5"/>
  <c r="X267" i="5"/>
  <c r="A268" i="5"/>
  <c r="B268" i="5"/>
  <c r="C268" i="5"/>
  <c r="E268" i="5"/>
  <c r="F268" i="5"/>
  <c r="G268" i="5"/>
  <c r="O268" i="5"/>
  <c r="P268" i="5"/>
  <c r="Q268" i="5"/>
  <c r="R268" i="5"/>
  <c r="S268" i="5"/>
  <c r="T268" i="5"/>
  <c r="U268" i="5"/>
  <c r="V268" i="5"/>
  <c r="W268" i="5"/>
  <c r="X268" i="5"/>
  <c r="A269" i="5"/>
  <c r="B269" i="5"/>
  <c r="C269" i="5"/>
  <c r="E269" i="5"/>
  <c r="F269" i="5"/>
  <c r="G269" i="5"/>
  <c r="O269" i="5"/>
  <c r="P269" i="5"/>
  <c r="Q269" i="5"/>
  <c r="R269" i="5"/>
  <c r="S269" i="5"/>
  <c r="T269" i="5"/>
  <c r="U269" i="5"/>
  <c r="V269" i="5"/>
  <c r="W269" i="5"/>
  <c r="X269" i="5"/>
  <c r="A270" i="5"/>
  <c r="B270" i="5"/>
  <c r="C270" i="5"/>
  <c r="E270" i="5"/>
  <c r="F270" i="5"/>
  <c r="G270" i="5"/>
  <c r="O270" i="5"/>
  <c r="P270" i="5"/>
  <c r="Q270" i="5"/>
  <c r="R270" i="5"/>
  <c r="S270" i="5"/>
  <c r="T270" i="5"/>
  <c r="U270" i="5"/>
  <c r="V270" i="5"/>
  <c r="W270" i="5"/>
  <c r="X270" i="5"/>
  <c r="A271" i="5"/>
  <c r="B271" i="5"/>
  <c r="C271" i="5"/>
  <c r="E271" i="5"/>
  <c r="F271" i="5"/>
  <c r="G271" i="5"/>
  <c r="O271" i="5"/>
  <c r="P271" i="5"/>
  <c r="Q271" i="5"/>
  <c r="R271" i="5"/>
  <c r="S271" i="5"/>
  <c r="T271" i="5"/>
  <c r="U271" i="5"/>
  <c r="V271" i="5"/>
  <c r="W271" i="5"/>
  <c r="X271" i="5"/>
  <c r="A272" i="5"/>
  <c r="B272" i="5"/>
  <c r="C272" i="5"/>
  <c r="E272" i="5"/>
  <c r="F272" i="5"/>
  <c r="G272" i="5"/>
  <c r="O272" i="5"/>
  <c r="P272" i="5"/>
  <c r="Q272" i="5"/>
  <c r="R272" i="5"/>
  <c r="S272" i="5"/>
  <c r="T272" i="5"/>
  <c r="U272" i="5"/>
  <c r="V272" i="5"/>
  <c r="W272" i="5"/>
  <c r="X272" i="5"/>
  <c r="A273" i="5"/>
  <c r="B273" i="5"/>
  <c r="C273" i="5"/>
  <c r="E273" i="5"/>
  <c r="F273" i="5"/>
  <c r="G273" i="5"/>
  <c r="O273" i="5"/>
  <c r="P273" i="5"/>
  <c r="Q273" i="5"/>
  <c r="R273" i="5"/>
  <c r="S273" i="5"/>
  <c r="T273" i="5"/>
  <c r="U273" i="5"/>
  <c r="V273" i="5"/>
  <c r="W273" i="5"/>
  <c r="X273" i="5"/>
  <c r="A274" i="5"/>
  <c r="B274" i="5"/>
  <c r="C274" i="5"/>
  <c r="E274" i="5"/>
  <c r="F274" i="5"/>
  <c r="G274" i="5"/>
  <c r="O274" i="5"/>
  <c r="P274" i="5"/>
  <c r="Q274" i="5"/>
  <c r="R274" i="5"/>
  <c r="S274" i="5"/>
  <c r="T274" i="5"/>
  <c r="U274" i="5"/>
  <c r="V274" i="5"/>
  <c r="W274" i="5"/>
  <c r="X274" i="5"/>
  <c r="A275" i="5"/>
  <c r="B275" i="5"/>
  <c r="C275" i="5"/>
  <c r="E275" i="5"/>
  <c r="F275" i="5"/>
  <c r="G275" i="5"/>
  <c r="O275" i="5"/>
  <c r="P275" i="5"/>
  <c r="Q275" i="5"/>
  <c r="R275" i="5"/>
  <c r="S275" i="5"/>
  <c r="T275" i="5"/>
  <c r="U275" i="5"/>
  <c r="V275" i="5"/>
  <c r="W275" i="5"/>
  <c r="X275" i="5"/>
  <c r="A276" i="5"/>
  <c r="B276" i="5"/>
  <c r="C276" i="5"/>
  <c r="E276" i="5"/>
  <c r="F276" i="5"/>
  <c r="G276" i="5"/>
  <c r="O276" i="5"/>
  <c r="P276" i="5"/>
  <c r="Q276" i="5"/>
  <c r="R276" i="5"/>
  <c r="S276" i="5"/>
  <c r="T276" i="5"/>
  <c r="U276" i="5"/>
  <c r="V276" i="5"/>
  <c r="W276" i="5"/>
  <c r="X276" i="5"/>
  <c r="A277" i="5"/>
  <c r="B277" i="5"/>
  <c r="C277" i="5"/>
  <c r="E277" i="5"/>
  <c r="F277" i="5"/>
  <c r="G277" i="5"/>
  <c r="O277" i="5"/>
  <c r="P277" i="5"/>
  <c r="Q277" i="5"/>
  <c r="R277" i="5"/>
  <c r="S277" i="5"/>
  <c r="T277" i="5"/>
  <c r="U277" i="5"/>
  <c r="V277" i="5"/>
  <c r="W277" i="5"/>
  <c r="X277" i="5"/>
  <c r="A278" i="5"/>
  <c r="B278" i="5"/>
  <c r="C278" i="5"/>
  <c r="E278" i="5"/>
  <c r="F278" i="5"/>
  <c r="G278" i="5"/>
  <c r="O278" i="5"/>
  <c r="P278" i="5"/>
  <c r="Q278" i="5"/>
  <c r="R278" i="5"/>
  <c r="S278" i="5"/>
  <c r="T278" i="5"/>
  <c r="U278" i="5"/>
  <c r="V278" i="5"/>
  <c r="W278" i="5"/>
  <c r="X278" i="5"/>
  <c r="A279" i="5"/>
  <c r="B279" i="5"/>
  <c r="C279" i="5"/>
  <c r="E279" i="5"/>
  <c r="F279" i="5"/>
  <c r="G279" i="5"/>
  <c r="O279" i="5"/>
  <c r="P279" i="5"/>
  <c r="Q279" i="5"/>
  <c r="R279" i="5"/>
  <c r="S279" i="5"/>
  <c r="T279" i="5"/>
  <c r="U279" i="5"/>
  <c r="V279" i="5"/>
  <c r="W279" i="5"/>
  <c r="X279" i="5"/>
  <c r="A280" i="5"/>
  <c r="B280" i="5"/>
  <c r="C280" i="5"/>
  <c r="E280" i="5"/>
  <c r="F280" i="5"/>
  <c r="G280" i="5"/>
  <c r="O280" i="5"/>
  <c r="P280" i="5"/>
  <c r="Q280" i="5"/>
  <c r="R280" i="5"/>
  <c r="S280" i="5"/>
  <c r="T280" i="5"/>
  <c r="U280" i="5"/>
  <c r="V280" i="5"/>
  <c r="W280" i="5"/>
  <c r="X280" i="5"/>
  <c r="A281" i="5"/>
  <c r="B281" i="5"/>
  <c r="C281" i="5"/>
  <c r="E281" i="5"/>
  <c r="F281" i="5"/>
  <c r="G281" i="5"/>
  <c r="O281" i="5"/>
  <c r="P281" i="5"/>
  <c r="Q281" i="5"/>
  <c r="R281" i="5"/>
  <c r="S281" i="5"/>
  <c r="T281" i="5"/>
  <c r="U281" i="5"/>
  <c r="V281" i="5"/>
  <c r="W281" i="5"/>
  <c r="X281" i="5"/>
  <c r="A282" i="5"/>
  <c r="B282" i="5"/>
  <c r="C282" i="5"/>
  <c r="E282" i="5"/>
  <c r="F282" i="5"/>
  <c r="G282" i="5"/>
  <c r="O282" i="5"/>
  <c r="P282" i="5"/>
  <c r="Q282" i="5"/>
  <c r="R282" i="5"/>
  <c r="S282" i="5"/>
  <c r="T282" i="5"/>
  <c r="U282" i="5"/>
  <c r="V282" i="5"/>
  <c r="W282" i="5"/>
  <c r="X282" i="5"/>
  <c r="A283" i="5"/>
  <c r="B283" i="5"/>
  <c r="C283" i="5"/>
  <c r="E283" i="5"/>
  <c r="F283" i="5"/>
  <c r="G283" i="5"/>
  <c r="O283" i="5"/>
  <c r="P283" i="5"/>
  <c r="Q283" i="5"/>
  <c r="R283" i="5"/>
  <c r="S283" i="5"/>
  <c r="T283" i="5"/>
  <c r="U283" i="5"/>
  <c r="V283" i="5"/>
  <c r="W283" i="5"/>
  <c r="X283" i="5"/>
  <c r="A284" i="5"/>
  <c r="B284" i="5"/>
  <c r="C284" i="5"/>
  <c r="E284" i="5"/>
  <c r="F284" i="5"/>
  <c r="G284" i="5"/>
  <c r="O284" i="5"/>
  <c r="P284" i="5"/>
  <c r="Q284" i="5"/>
  <c r="R284" i="5"/>
  <c r="S284" i="5"/>
  <c r="T284" i="5"/>
  <c r="U284" i="5"/>
  <c r="V284" i="5"/>
  <c r="W284" i="5"/>
  <c r="X284" i="5"/>
  <c r="A285" i="5"/>
  <c r="B285" i="5"/>
  <c r="C285" i="5"/>
  <c r="E285" i="5"/>
  <c r="F285" i="5"/>
  <c r="G285" i="5"/>
  <c r="O285" i="5"/>
  <c r="P285" i="5"/>
  <c r="Q285" i="5"/>
  <c r="R285" i="5"/>
  <c r="S285" i="5"/>
  <c r="T285" i="5"/>
  <c r="U285" i="5"/>
  <c r="V285" i="5"/>
  <c r="W285" i="5"/>
  <c r="X285" i="5"/>
  <c r="A286" i="5"/>
  <c r="B286" i="5"/>
  <c r="C286" i="5"/>
  <c r="E286" i="5"/>
  <c r="F286" i="5"/>
  <c r="G286" i="5"/>
  <c r="O286" i="5"/>
  <c r="P286" i="5"/>
  <c r="Q286" i="5"/>
  <c r="R286" i="5"/>
  <c r="S286" i="5"/>
  <c r="T286" i="5"/>
  <c r="U286" i="5"/>
  <c r="V286" i="5"/>
  <c r="W286" i="5"/>
  <c r="X286" i="5"/>
  <c r="A287" i="5"/>
  <c r="B287" i="5"/>
  <c r="C287" i="5"/>
  <c r="E287" i="5"/>
  <c r="F287" i="5"/>
  <c r="G287" i="5"/>
  <c r="O287" i="5"/>
  <c r="P287" i="5"/>
  <c r="Q287" i="5"/>
  <c r="R287" i="5"/>
  <c r="S287" i="5"/>
  <c r="T287" i="5"/>
  <c r="U287" i="5"/>
  <c r="V287" i="5"/>
  <c r="W287" i="5"/>
  <c r="X287" i="5"/>
  <c r="A288" i="5"/>
  <c r="B288" i="5"/>
  <c r="C288" i="5"/>
  <c r="E288" i="5"/>
  <c r="F288" i="5"/>
  <c r="G288" i="5"/>
  <c r="O288" i="5"/>
  <c r="P288" i="5"/>
  <c r="Q288" i="5"/>
  <c r="R288" i="5"/>
  <c r="S288" i="5"/>
  <c r="T288" i="5"/>
  <c r="U288" i="5"/>
  <c r="V288" i="5"/>
  <c r="W288" i="5"/>
  <c r="X288" i="5"/>
  <c r="A289" i="5"/>
  <c r="B289" i="5"/>
  <c r="C289" i="5"/>
  <c r="E289" i="5"/>
  <c r="F289" i="5"/>
  <c r="G289" i="5"/>
  <c r="O289" i="5"/>
  <c r="P289" i="5"/>
  <c r="Q289" i="5"/>
  <c r="R289" i="5"/>
  <c r="S289" i="5"/>
  <c r="T289" i="5"/>
  <c r="U289" i="5"/>
  <c r="V289" i="5"/>
  <c r="W289" i="5"/>
  <c r="X289" i="5"/>
  <c r="A290" i="5"/>
  <c r="B290" i="5"/>
  <c r="C290" i="5"/>
  <c r="E290" i="5"/>
  <c r="F290" i="5"/>
  <c r="G290" i="5"/>
  <c r="O290" i="5"/>
  <c r="P290" i="5"/>
  <c r="Q290" i="5"/>
  <c r="R290" i="5"/>
  <c r="S290" i="5"/>
  <c r="T290" i="5"/>
  <c r="U290" i="5"/>
  <c r="V290" i="5"/>
  <c r="W290" i="5"/>
  <c r="X290" i="5"/>
  <c r="A291" i="5"/>
  <c r="B291" i="5"/>
  <c r="C291" i="5"/>
  <c r="E291" i="5"/>
  <c r="F291" i="5"/>
  <c r="G291" i="5"/>
  <c r="O291" i="5"/>
  <c r="P291" i="5"/>
  <c r="Q291" i="5"/>
  <c r="R291" i="5"/>
  <c r="S291" i="5"/>
  <c r="T291" i="5"/>
  <c r="U291" i="5"/>
  <c r="V291" i="5"/>
  <c r="W291" i="5"/>
  <c r="X291" i="5"/>
  <c r="A292" i="5"/>
  <c r="B292" i="5"/>
  <c r="C292" i="5"/>
  <c r="E292" i="5"/>
  <c r="F292" i="5"/>
  <c r="G292" i="5"/>
  <c r="O292" i="5"/>
  <c r="P292" i="5"/>
  <c r="Q292" i="5"/>
  <c r="R292" i="5"/>
  <c r="S292" i="5"/>
  <c r="T292" i="5"/>
  <c r="U292" i="5"/>
  <c r="V292" i="5"/>
  <c r="W292" i="5"/>
  <c r="X292" i="5"/>
  <c r="A293" i="5"/>
  <c r="B293" i="5"/>
  <c r="C293" i="5"/>
  <c r="E293" i="5"/>
  <c r="F293" i="5"/>
  <c r="G293" i="5"/>
  <c r="O293" i="5"/>
  <c r="P293" i="5"/>
  <c r="Q293" i="5"/>
  <c r="R293" i="5"/>
  <c r="S293" i="5"/>
  <c r="T293" i="5"/>
  <c r="U293" i="5"/>
  <c r="V293" i="5"/>
  <c r="W293" i="5"/>
  <c r="X293" i="5"/>
  <c r="A294" i="5"/>
  <c r="B294" i="5"/>
  <c r="C294" i="5"/>
  <c r="E294" i="5"/>
  <c r="F294" i="5"/>
  <c r="G294" i="5"/>
  <c r="O294" i="5"/>
  <c r="P294" i="5"/>
  <c r="Q294" i="5"/>
  <c r="R294" i="5"/>
  <c r="S294" i="5"/>
  <c r="T294" i="5"/>
  <c r="U294" i="5"/>
  <c r="V294" i="5"/>
  <c r="W294" i="5"/>
  <c r="X294" i="5"/>
  <c r="A295" i="5"/>
  <c r="B295" i="5"/>
  <c r="C295" i="5"/>
  <c r="E295" i="5"/>
  <c r="F295" i="5"/>
  <c r="G295" i="5"/>
  <c r="O295" i="5"/>
  <c r="P295" i="5"/>
  <c r="Q295" i="5"/>
  <c r="R295" i="5"/>
  <c r="S295" i="5"/>
  <c r="T295" i="5"/>
  <c r="U295" i="5"/>
  <c r="V295" i="5"/>
  <c r="W295" i="5"/>
  <c r="X295" i="5"/>
  <c r="A296" i="5"/>
  <c r="B296" i="5"/>
  <c r="C296" i="5"/>
  <c r="E296" i="5"/>
  <c r="F296" i="5"/>
  <c r="G296" i="5"/>
  <c r="O296" i="5"/>
  <c r="P296" i="5"/>
  <c r="Q296" i="5"/>
  <c r="R296" i="5"/>
  <c r="S296" i="5"/>
  <c r="T296" i="5"/>
  <c r="U296" i="5"/>
  <c r="V296" i="5"/>
  <c r="W296" i="5"/>
  <c r="X296" i="5"/>
  <c r="A297" i="5"/>
  <c r="B297" i="5"/>
  <c r="C297" i="5"/>
  <c r="E297" i="5"/>
  <c r="F297" i="5"/>
  <c r="G297" i="5"/>
  <c r="O297" i="5"/>
  <c r="P297" i="5"/>
  <c r="Q297" i="5"/>
  <c r="R297" i="5"/>
  <c r="S297" i="5"/>
  <c r="T297" i="5"/>
  <c r="U297" i="5"/>
  <c r="V297" i="5"/>
  <c r="W297" i="5"/>
  <c r="X297" i="5"/>
  <c r="A298" i="5"/>
  <c r="B298" i="5"/>
  <c r="C298" i="5"/>
  <c r="E298" i="5"/>
  <c r="F298" i="5"/>
  <c r="G298" i="5"/>
  <c r="O298" i="5"/>
  <c r="P298" i="5"/>
  <c r="Q298" i="5"/>
  <c r="R298" i="5"/>
  <c r="S298" i="5"/>
  <c r="T298" i="5"/>
  <c r="U298" i="5"/>
  <c r="V298" i="5"/>
  <c r="W298" i="5"/>
  <c r="X298" i="5"/>
  <c r="A299" i="5"/>
  <c r="B299" i="5"/>
  <c r="C299" i="5"/>
  <c r="E299" i="5"/>
  <c r="F299" i="5"/>
  <c r="G299" i="5"/>
  <c r="O299" i="5"/>
  <c r="P299" i="5"/>
  <c r="Q299" i="5"/>
  <c r="R299" i="5"/>
  <c r="S299" i="5"/>
  <c r="T299" i="5"/>
  <c r="U299" i="5"/>
  <c r="V299" i="5"/>
  <c r="W299" i="5"/>
  <c r="X299" i="5"/>
  <c r="A300" i="5"/>
  <c r="B300" i="5"/>
  <c r="C300" i="5"/>
  <c r="E300" i="5"/>
  <c r="F300" i="5"/>
  <c r="G300" i="5"/>
  <c r="O300" i="5"/>
  <c r="P300" i="5"/>
  <c r="Q300" i="5"/>
  <c r="R300" i="5"/>
  <c r="S300" i="5"/>
  <c r="T300" i="5"/>
  <c r="U300" i="5"/>
  <c r="V300" i="5"/>
  <c r="W300" i="5"/>
  <c r="X300" i="5"/>
  <c r="A301" i="5"/>
  <c r="B301" i="5"/>
  <c r="C301" i="5"/>
  <c r="E301" i="5"/>
  <c r="F301" i="5"/>
  <c r="G301" i="5"/>
  <c r="O301" i="5"/>
  <c r="P301" i="5"/>
  <c r="Q301" i="5"/>
  <c r="R301" i="5"/>
  <c r="S301" i="5"/>
  <c r="T301" i="5"/>
  <c r="U301" i="5"/>
  <c r="V301" i="5"/>
  <c r="W301" i="5"/>
  <c r="X301" i="5"/>
  <c r="A302" i="5"/>
  <c r="B302" i="5"/>
  <c r="C302" i="5"/>
  <c r="E302" i="5"/>
  <c r="F302" i="5"/>
  <c r="G302" i="5"/>
  <c r="O302" i="5"/>
  <c r="P302" i="5"/>
  <c r="Q302" i="5"/>
  <c r="R302" i="5"/>
  <c r="S302" i="5"/>
  <c r="T302" i="5"/>
  <c r="U302" i="5"/>
  <c r="V302" i="5"/>
  <c r="W302" i="5"/>
  <c r="X302" i="5"/>
  <c r="A303" i="5"/>
  <c r="B303" i="5"/>
  <c r="C303" i="5"/>
  <c r="E303" i="5"/>
  <c r="F303" i="5"/>
  <c r="G303" i="5"/>
  <c r="O303" i="5"/>
  <c r="P303" i="5"/>
  <c r="Q303" i="5"/>
  <c r="R303" i="5"/>
  <c r="S303" i="5"/>
  <c r="T303" i="5"/>
  <c r="U303" i="5"/>
  <c r="V303" i="5"/>
  <c r="W303" i="5"/>
  <c r="X303" i="5"/>
  <c r="A304" i="5"/>
  <c r="B304" i="5"/>
  <c r="C304" i="5"/>
  <c r="E304" i="5"/>
  <c r="F304" i="5"/>
  <c r="G304" i="5"/>
  <c r="O304" i="5"/>
  <c r="P304" i="5"/>
  <c r="Q304" i="5"/>
  <c r="R304" i="5"/>
  <c r="S304" i="5"/>
  <c r="T304" i="5"/>
  <c r="U304" i="5"/>
  <c r="V304" i="5"/>
  <c r="W304" i="5"/>
  <c r="X304" i="5"/>
  <c r="A305" i="5"/>
  <c r="B305" i="5"/>
  <c r="C305" i="5"/>
  <c r="E305" i="5"/>
  <c r="F305" i="5"/>
  <c r="G305" i="5"/>
  <c r="O305" i="5"/>
  <c r="P305" i="5"/>
  <c r="Q305" i="5"/>
  <c r="R305" i="5"/>
  <c r="S305" i="5"/>
  <c r="T305" i="5"/>
  <c r="U305" i="5"/>
  <c r="V305" i="5"/>
  <c r="W305" i="5"/>
  <c r="X305" i="5"/>
  <c r="A306" i="5"/>
  <c r="B306" i="5"/>
  <c r="C306" i="5"/>
  <c r="E306" i="5"/>
  <c r="F306" i="5"/>
  <c r="G306" i="5"/>
  <c r="O306" i="5"/>
  <c r="P306" i="5"/>
  <c r="Q306" i="5"/>
  <c r="R306" i="5"/>
  <c r="S306" i="5"/>
  <c r="T306" i="5"/>
  <c r="U306" i="5"/>
  <c r="V306" i="5"/>
  <c r="W306" i="5"/>
  <c r="X306" i="5"/>
  <c r="A307" i="5"/>
  <c r="B307" i="5"/>
  <c r="C307" i="5"/>
  <c r="E307" i="5"/>
  <c r="F307" i="5"/>
  <c r="G307" i="5"/>
  <c r="O307" i="5"/>
  <c r="P307" i="5"/>
  <c r="Q307" i="5"/>
  <c r="R307" i="5"/>
  <c r="S307" i="5"/>
  <c r="T307" i="5"/>
  <c r="U307" i="5"/>
  <c r="V307" i="5"/>
  <c r="W307" i="5"/>
  <c r="X307" i="5"/>
  <c r="A308" i="5"/>
  <c r="B308" i="5"/>
  <c r="C308" i="5"/>
  <c r="E308" i="5"/>
  <c r="F308" i="5"/>
  <c r="G308" i="5"/>
  <c r="O308" i="5"/>
  <c r="P308" i="5"/>
  <c r="Q308" i="5"/>
  <c r="R308" i="5"/>
  <c r="S308" i="5"/>
  <c r="T308" i="5"/>
  <c r="U308" i="5"/>
  <c r="V308" i="5"/>
  <c r="W308" i="5"/>
  <c r="X308" i="5"/>
  <c r="A309" i="5"/>
  <c r="B309" i="5"/>
  <c r="C309" i="5"/>
  <c r="E309" i="5"/>
  <c r="F309" i="5"/>
  <c r="G309" i="5"/>
  <c r="O309" i="5"/>
  <c r="P309" i="5"/>
  <c r="Q309" i="5"/>
  <c r="R309" i="5"/>
  <c r="S309" i="5"/>
  <c r="T309" i="5"/>
  <c r="U309" i="5"/>
  <c r="V309" i="5"/>
  <c r="W309" i="5"/>
  <c r="X309" i="5"/>
  <c r="A310" i="5"/>
  <c r="B310" i="5"/>
  <c r="C310" i="5"/>
  <c r="E310" i="5"/>
  <c r="F310" i="5"/>
  <c r="G310" i="5"/>
  <c r="O310" i="5"/>
  <c r="P310" i="5"/>
  <c r="Q310" i="5"/>
  <c r="R310" i="5"/>
  <c r="S310" i="5"/>
  <c r="T310" i="5"/>
  <c r="U310" i="5"/>
  <c r="V310" i="5"/>
  <c r="W310" i="5"/>
  <c r="X310" i="5"/>
  <c r="A311" i="5"/>
  <c r="B311" i="5"/>
  <c r="C311" i="5"/>
  <c r="E311" i="5"/>
  <c r="F311" i="5"/>
  <c r="G311" i="5"/>
  <c r="O311" i="5"/>
  <c r="P311" i="5"/>
  <c r="Q311" i="5"/>
  <c r="R311" i="5"/>
  <c r="S311" i="5"/>
  <c r="T311" i="5"/>
  <c r="U311" i="5"/>
  <c r="V311" i="5"/>
  <c r="W311" i="5"/>
  <c r="X311" i="5"/>
  <c r="A312" i="5"/>
  <c r="B312" i="5"/>
  <c r="C312" i="5"/>
  <c r="E312" i="5"/>
  <c r="F312" i="5"/>
  <c r="G312" i="5"/>
  <c r="O312" i="5"/>
  <c r="P312" i="5"/>
  <c r="Q312" i="5"/>
  <c r="R312" i="5"/>
  <c r="S312" i="5"/>
  <c r="T312" i="5"/>
  <c r="U312" i="5"/>
  <c r="V312" i="5"/>
  <c r="W312" i="5"/>
  <c r="X312" i="5"/>
  <c r="A313" i="5"/>
  <c r="B313" i="5"/>
  <c r="C313" i="5"/>
  <c r="E313" i="5"/>
  <c r="F313" i="5"/>
  <c r="G313" i="5"/>
  <c r="O313" i="5"/>
  <c r="P313" i="5"/>
  <c r="Q313" i="5"/>
  <c r="R313" i="5"/>
  <c r="S313" i="5"/>
  <c r="T313" i="5"/>
  <c r="U313" i="5"/>
  <c r="V313" i="5"/>
  <c r="W313" i="5"/>
  <c r="X313" i="5"/>
  <c r="A314" i="5"/>
  <c r="B314" i="5"/>
  <c r="C314" i="5"/>
  <c r="E314" i="5"/>
  <c r="F314" i="5"/>
  <c r="G314" i="5"/>
  <c r="O314" i="5"/>
  <c r="P314" i="5"/>
  <c r="Q314" i="5"/>
  <c r="R314" i="5"/>
  <c r="S314" i="5"/>
  <c r="T314" i="5"/>
  <c r="U314" i="5"/>
  <c r="V314" i="5"/>
  <c r="W314" i="5"/>
  <c r="X314" i="5"/>
  <c r="A315" i="5"/>
  <c r="B315" i="5"/>
  <c r="C315" i="5"/>
  <c r="E315" i="5"/>
  <c r="F315" i="5"/>
  <c r="G315" i="5"/>
  <c r="O315" i="5"/>
  <c r="P315" i="5"/>
  <c r="Q315" i="5"/>
  <c r="R315" i="5"/>
  <c r="S315" i="5"/>
  <c r="T315" i="5"/>
  <c r="U315" i="5"/>
  <c r="V315" i="5"/>
  <c r="W315" i="5"/>
  <c r="X315" i="5"/>
  <c r="A316" i="5"/>
  <c r="B316" i="5"/>
  <c r="C316" i="5"/>
  <c r="E316" i="5"/>
  <c r="F316" i="5"/>
  <c r="G316" i="5"/>
  <c r="O316" i="5"/>
  <c r="P316" i="5"/>
  <c r="Q316" i="5"/>
  <c r="R316" i="5"/>
  <c r="S316" i="5"/>
  <c r="T316" i="5"/>
  <c r="U316" i="5"/>
  <c r="V316" i="5"/>
  <c r="W316" i="5"/>
  <c r="X316" i="5"/>
  <c r="A317" i="5"/>
  <c r="B317" i="5"/>
  <c r="C317" i="5"/>
  <c r="E317" i="5"/>
  <c r="F317" i="5"/>
  <c r="G317" i="5"/>
  <c r="O317" i="5"/>
  <c r="P317" i="5"/>
  <c r="Q317" i="5"/>
  <c r="R317" i="5"/>
  <c r="S317" i="5"/>
  <c r="T317" i="5"/>
  <c r="U317" i="5"/>
  <c r="V317" i="5"/>
  <c r="W317" i="5"/>
  <c r="X317" i="5"/>
  <c r="A318" i="5"/>
  <c r="B318" i="5"/>
  <c r="C318" i="5"/>
  <c r="E318" i="5"/>
  <c r="F318" i="5"/>
  <c r="G318" i="5"/>
  <c r="O318" i="5"/>
  <c r="P318" i="5"/>
  <c r="Q318" i="5"/>
  <c r="R318" i="5"/>
  <c r="S318" i="5"/>
  <c r="T318" i="5"/>
  <c r="U318" i="5"/>
  <c r="V318" i="5"/>
  <c r="W318" i="5"/>
  <c r="X318" i="5"/>
  <c r="A319" i="5"/>
  <c r="B319" i="5"/>
  <c r="C319" i="5"/>
  <c r="E319" i="5"/>
  <c r="F319" i="5"/>
  <c r="G319" i="5"/>
  <c r="O319" i="5"/>
  <c r="P319" i="5"/>
  <c r="Q319" i="5"/>
  <c r="R319" i="5"/>
  <c r="S319" i="5"/>
  <c r="T319" i="5"/>
  <c r="U319" i="5"/>
  <c r="V319" i="5"/>
  <c r="W319" i="5"/>
  <c r="X319" i="5"/>
  <c r="A320" i="5"/>
  <c r="B320" i="5"/>
  <c r="C320" i="5"/>
  <c r="E320" i="5"/>
  <c r="F320" i="5"/>
  <c r="G320" i="5"/>
  <c r="O320" i="5"/>
  <c r="P320" i="5"/>
  <c r="Q320" i="5"/>
  <c r="R320" i="5"/>
  <c r="S320" i="5"/>
  <c r="T320" i="5"/>
  <c r="U320" i="5"/>
  <c r="V320" i="5"/>
  <c r="W320" i="5"/>
  <c r="X320" i="5"/>
  <c r="A321" i="5"/>
  <c r="B321" i="5"/>
  <c r="C321" i="5"/>
  <c r="E321" i="5"/>
  <c r="F321" i="5"/>
  <c r="G321" i="5"/>
  <c r="O321" i="5"/>
  <c r="P321" i="5"/>
  <c r="Q321" i="5"/>
  <c r="R321" i="5"/>
  <c r="S321" i="5"/>
  <c r="T321" i="5"/>
  <c r="U321" i="5"/>
  <c r="V321" i="5"/>
  <c r="W321" i="5"/>
  <c r="X321" i="5"/>
  <c r="A322" i="5"/>
  <c r="B322" i="5"/>
  <c r="C322" i="5"/>
  <c r="E322" i="5"/>
  <c r="F322" i="5"/>
  <c r="G322" i="5"/>
  <c r="O322" i="5"/>
  <c r="P322" i="5"/>
  <c r="Q322" i="5"/>
  <c r="R322" i="5"/>
  <c r="S322" i="5"/>
  <c r="T322" i="5"/>
  <c r="U322" i="5"/>
  <c r="V322" i="5"/>
  <c r="W322" i="5"/>
  <c r="X322" i="5"/>
  <c r="A323" i="5"/>
  <c r="B323" i="5"/>
  <c r="C323" i="5"/>
  <c r="E323" i="5"/>
  <c r="F323" i="5"/>
  <c r="G323" i="5"/>
  <c r="O323" i="5"/>
  <c r="P323" i="5"/>
  <c r="Q323" i="5"/>
  <c r="R323" i="5"/>
  <c r="S323" i="5"/>
  <c r="T323" i="5"/>
  <c r="U323" i="5"/>
  <c r="V323" i="5"/>
  <c r="W323" i="5"/>
  <c r="X323" i="5"/>
  <c r="A324" i="5"/>
  <c r="B324" i="5"/>
  <c r="C324" i="5"/>
  <c r="E324" i="5"/>
  <c r="F324" i="5"/>
  <c r="G324" i="5"/>
  <c r="O324" i="5"/>
  <c r="P324" i="5"/>
  <c r="Q324" i="5"/>
  <c r="R324" i="5"/>
  <c r="S324" i="5"/>
  <c r="T324" i="5"/>
  <c r="U324" i="5"/>
  <c r="V324" i="5"/>
  <c r="W324" i="5"/>
  <c r="X324" i="5"/>
  <c r="A325" i="5"/>
  <c r="B325" i="5"/>
  <c r="C325" i="5"/>
  <c r="E325" i="5"/>
  <c r="F325" i="5"/>
  <c r="G325" i="5"/>
  <c r="O325" i="5"/>
  <c r="P325" i="5"/>
  <c r="Q325" i="5"/>
  <c r="R325" i="5"/>
  <c r="S325" i="5"/>
  <c r="T325" i="5"/>
  <c r="U325" i="5"/>
  <c r="V325" i="5"/>
  <c r="W325" i="5"/>
  <c r="X325" i="5"/>
  <c r="A326" i="5"/>
  <c r="B326" i="5"/>
  <c r="C326" i="5"/>
  <c r="E326" i="5"/>
  <c r="F326" i="5"/>
  <c r="G326" i="5"/>
  <c r="O326" i="5"/>
  <c r="P326" i="5"/>
  <c r="Q326" i="5"/>
  <c r="R326" i="5"/>
  <c r="S326" i="5"/>
  <c r="T326" i="5"/>
  <c r="U326" i="5"/>
  <c r="V326" i="5"/>
  <c r="W326" i="5"/>
  <c r="X326" i="5"/>
  <c r="A327" i="5"/>
  <c r="B327" i="5"/>
  <c r="C327" i="5"/>
  <c r="E327" i="5"/>
  <c r="F327" i="5"/>
  <c r="G327" i="5"/>
  <c r="O327" i="5"/>
  <c r="P327" i="5"/>
  <c r="Q327" i="5"/>
  <c r="R327" i="5"/>
  <c r="S327" i="5"/>
  <c r="T327" i="5"/>
  <c r="U327" i="5"/>
  <c r="V327" i="5"/>
  <c r="W327" i="5"/>
  <c r="X327" i="5"/>
  <c r="A328" i="5"/>
  <c r="B328" i="5"/>
  <c r="C328" i="5"/>
  <c r="E328" i="5"/>
  <c r="F328" i="5"/>
  <c r="G328" i="5"/>
  <c r="O328" i="5"/>
  <c r="P328" i="5"/>
  <c r="Q328" i="5"/>
  <c r="R328" i="5"/>
  <c r="S328" i="5"/>
  <c r="T328" i="5"/>
  <c r="U328" i="5"/>
  <c r="V328" i="5"/>
  <c r="W328" i="5"/>
  <c r="X328" i="5"/>
  <c r="A329" i="5"/>
  <c r="B329" i="5"/>
  <c r="C329" i="5"/>
  <c r="E329" i="5"/>
  <c r="F329" i="5"/>
  <c r="G329" i="5"/>
  <c r="O329" i="5"/>
  <c r="P329" i="5"/>
  <c r="Q329" i="5"/>
  <c r="R329" i="5"/>
  <c r="S329" i="5"/>
  <c r="T329" i="5"/>
  <c r="U329" i="5"/>
  <c r="V329" i="5"/>
  <c r="W329" i="5"/>
  <c r="X329" i="5"/>
  <c r="A330" i="5"/>
  <c r="B330" i="5"/>
  <c r="C330" i="5"/>
  <c r="E330" i="5"/>
  <c r="F330" i="5"/>
  <c r="G330" i="5"/>
  <c r="O330" i="5"/>
  <c r="P330" i="5"/>
  <c r="Q330" i="5"/>
  <c r="R330" i="5"/>
  <c r="S330" i="5"/>
  <c r="T330" i="5"/>
  <c r="U330" i="5"/>
  <c r="V330" i="5"/>
  <c r="W330" i="5"/>
  <c r="X330" i="5"/>
  <c r="A331" i="5"/>
  <c r="B331" i="5"/>
  <c r="C331" i="5"/>
  <c r="E331" i="5"/>
  <c r="F331" i="5"/>
  <c r="G331" i="5"/>
  <c r="O331" i="5"/>
  <c r="P331" i="5"/>
  <c r="Q331" i="5"/>
  <c r="R331" i="5"/>
  <c r="S331" i="5"/>
  <c r="T331" i="5"/>
  <c r="U331" i="5"/>
  <c r="V331" i="5"/>
  <c r="W331" i="5"/>
  <c r="X331" i="5"/>
  <c r="A332" i="5"/>
  <c r="B332" i="5"/>
  <c r="C332" i="5"/>
  <c r="E332" i="5"/>
  <c r="F332" i="5"/>
  <c r="G332" i="5"/>
  <c r="O332" i="5"/>
  <c r="P332" i="5"/>
  <c r="Q332" i="5"/>
  <c r="R332" i="5"/>
  <c r="S332" i="5"/>
  <c r="T332" i="5"/>
  <c r="U332" i="5"/>
  <c r="V332" i="5"/>
  <c r="W332" i="5"/>
  <c r="X332" i="5"/>
  <c r="A333" i="5"/>
  <c r="B333" i="5"/>
  <c r="C333" i="5"/>
  <c r="E333" i="5"/>
  <c r="F333" i="5"/>
  <c r="G333" i="5"/>
  <c r="O333" i="5"/>
  <c r="P333" i="5"/>
  <c r="Q333" i="5"/>
  <c r="R333" i="5"/>
  <c r="S333" i="5"/>
  <c r="T333" i="5"/>
  <c r="U333" i="5"/>
  <c r="V333" i="5"/>
  <c r="W333" i="5"/>
  <c r="X333" i="5"/>
  <c r="A334" i="5"/>
  <c r="B334" i="5"/>
  <c r="C334" i="5"/>
  <c r="E334" i="5"/>
  <c r="F334" i="5"/>
  <c r="G334" i="5"/>
  <c r="O334" i="5"/>
  <c r="P334" i="5"/>
  <c r="Q334" i="5"/>
  <c r="R334" i="5"/>
  <c r="S334" i="5"/>
  <c r="T334" i="5"/>
  <c r="U334" i="5"/>
  <c r="V334" i="5"/>
  <c r="W334" i="5"/>
  <c r="X334" i="5"/>
  <c r="A335" i="5"/>
  <c r="B335" i="5"/>
  <c r="C335" i="5"/>
  <c r="E335" i="5"/>
  <c r="F335" i="5"/>
  <c r="G335" i="5"/>
  <c r="O335" i="5"/>
  <c r="P335" i="5"/>
  <c r="Q335" i="5"/>
  <c r="R335" i="5"/>
  <c r="S335" i="5"/>
  <c r="T335" i="5"/>
  <c r="U335" i="5"/>
  <c r="V335" i="5"/>
  <c r="W335" i="5"/>
  <c r="X335" i="5"/>
  <c r="A336" i="5"/>
  <c r="B336" i="5"/>
  <c r="C336" i="5"/>
  <c r="E336" i="5"/>
  <c r="F336" i="5"/>
  <c r="G336" i="5"/>
  <c r="O336" i="5"/>
  <c r="P336" i="5"/>
  <c r="Q336" i="5"/>
  <c r="R336" i="5"/>
  <c r="S336" i="5"/>
  <c r="T336" i="5"/>
  <c r="U336" i="5"/>
  <c r="V336" i="5"/>
  <c r="W336" i="5"/>
  <c r="X336" i="5"/>
  <c r="A337" i="5"/>
  <c r="B337" i="5"/>
  <c r="C337" i="5"/>
  <c r="E337" i="5"/>
  <c r="F337" i="5"/>
  <c r="G337" i="5"/>
  <c r="O337" i="5"/>
  <c r="P337" i="5"/>
  <c r="Q337" i="5"/>
  <c r="R337" i="5"/>
  <c r="S337" i="5"/>
  <c r="T337" i="5"/>
  <c r="U337" i="5"/>
  <c r="V337" i="5"/>
  <c r="W337" i="5"/>
  <c r="X337" i="5"/>
  <c r="A338" i="5"/>
  <c r="B338" i="5"/>
  <c r="C338" i="5"/>
  <c r="E338" i="5"/>
  <c r="F338" i="5"/>
  <c r="G338" i="5"/>
  <c r="O338" i="5"/>
  <c r="P338" i="5"/>
  <c r="Q338" i="5"/>
  <c r="R338" i="5"/>
  <c r="S338" i="5"/>
  <c r="T338" i="5"/>
  <c r="U338" i="5"/>
  <c r="V338" i="5"/>
  <c r="W338" i="5"/>
  <c r="X338" i="5"/>
  <c r="A339" i="5"/>
  <c r="B339" i="5"/>
  <c r="C339" i="5"/>
  <c r="E339" i="5"/>
  <c r="F339" i="5"/>
  <c r="G339" i="5"/>
  <c r="O339" i="5"/>
  <c r="P339" i="5"/>
  <c r="Q339" i="5"/>
  <c r="R339" i="5"/>
  <c r="S339" i="5"/>
  <c r="T339" i="5"/>
  <c r="U339" i="5"/>
  <c r="V339" i="5"/>
  <c r="W339" i="5"/>
  <c r="X339" i="5"/>
  <c r="A340" i="5"/>
  <c r="B340" i="5"/>
  <c r="C340" i="5"/>
  <c r="E340" i="5"/>
  <c r="F340" i="5"/>
  <c r="G340" i="5"/>
  <c r="O340" i="5"/>
  <c r="P340" i="5"/>
  <c r="Q340" i="5"/>
  <c r="R340" i="5"/>
  <c r="S340" i="5"/>
  <c r="T340" i="5"/>
  <c r="U340" i="5"/>
  <c r="V340" i="5"/>
  <c r="W340" i="5"/>
  <c r="X340" i="5"/>
  <c r="A341" i="5"/>
  <c r="B341" i="5"/>
  <c r="C341" i="5"/>
  <c r="E341" i="5"/>
  <c r="F341" i="5"/>
  <c r="G341" i="5"/>
  <c r="O341" i="5"/>
  <c r="P341" i="5"/>
  <c r="Q341" i="5"/>
  <c r="R341" i="5"/>
  <c r="S341" i="5"/>
  <c r="T341" i="5"/>
  <c r="U341" i="5"/>
  <c r="V341" i="5"/>
  <c r="W341" i="5"/>
  <c r="X341" i="5"/>
  <c r="A342" i="5"/>
  <c r="B342" i="5"/>
  <c r="C342" i="5"/>
  <c r="E342" i="5"/>
  <c r="F342" i="5"/>
  <c r="G342" i="5"/>
  <c r="O342" i="5"/>
  <c r="P342" i="5"/>
  <c r="Q342" i="5"/>
  <c r="R342" i="5"/>
  <c r="S342" i="5"/>
  <c r="T342" i="5"/>
  <c r="U342" i="5"/>
  <c r="V342" i="5"/>
  <c r="W342" i="5"/>
  <c r="X342" i="5"/>
  <c r="A343" i="5"/>
  <c r="B343" i="5"/>
  <c r="C343" i="5"/>
  <c r="E343" i="5"/>
  <c r="F343" i="5"/>
  <c r="G343" i="5"/>
  <c r="O343" i="5"/>
  <c r="P343" i="5"/>
  <c r="Q343" i="5"/>
  <c r="R343" i="5"/>
  <c r="S343" i="5"/>
  <c r="T343" i="5"/>
  <c r="U343" i="5"/>
  <c r="V343" i="5"/>
  <c r="W343" i="5"/>
  <c r="X343" i="5"/>
  <c r="A344" i="5"/>
  <c r="B344" i="5"/>
  <c r="C344" i="5"/>
  <c r="E344" i="5"/>
  <c r="F344" i="5"/>
  <c r="G344" i="5"/>
  <c r="O344" i="5"/>
  <c r="P344" i="5"/>
  <c r="Q344" i="5"/>
  <c r="R344" i="5"/>
  <c r="S344" i="5"/>
  <c r="T344" i="5"/>
  <c r="U344" i="5"/>
  <c r="V344" i="5"/>
  <c r="W344" i="5"/>
  <c r="X344" i="5"/>
  <c r="A345" i="5"/>
  <c r="B345" i="5"/>
  <c r="C345" i="5"/>
  <c r="E345" i="5"/>
  <c r="F345" i="5"/>
  <c r="G345" i="5"/>
  <c r="O345" i="5"/>
  <c r="P345" i="5"/>
  <c r="Q345" i="5"/>
  <c r="R345" i="5"/>
  <c r="S345" i="5"/>
  <c r="T345" i="5"/>
  <c r="U345" i="5"/>
  <c r="V345" i="5"/>
  <c r="W345" i="5"/>
  <c r="X345" i="5"/>
  <c r="A346" i="5"/>
  <c r="B346" i="5"/>
  <c r="C346" i="5"/>
  <c r="E346" i="5"/>
  <c r="F346" i="5"/>
  <c r="G346" i="5"/>
  <c r="O346" i="5"/>
  <c r="P346" i="5"/>
  <c r="Q346" i="5"/>
  <c r="R346" i="5"/>
  <c r="S346" i="5"/>
  <c r="T346" i="5"/>
  <c r="U346" i="5"/>
  <c r="V346" i="5"/>
  <c r="W346" i="5"/>
  <c r="X346" i="5"/>
  <c r="A347" i="5"/>
  <c r="B347" i="5"/>
  <c r="C347" i="5"/>
  <c r="E347" i="5"/>
  <c r="F347" i="5"/>
  <c r="G347" i="5"/>
  <c r="O347" i="5"/>
  <c r="P347" i="5"/>
  <c r="Q347" i="5"/>
  <c r="R347" i="5"/>
  <c r="S347" i="5"/>
  <c r="T347" i="5"/>
  <c r="U347" i="5"/>
  <c r="V347" i="5"/>
  <c r="W347" i="5"/>
  <c r="X347" i="5"/>
  <c r="A348" i="5"/>
  <c r="B348" i="5"/>
  <c r="C348" i="5"/>
  <c r="E348" i="5"/>
  <c r="F348" i="5"/>
  <c r="G348" i="5"/>
  <c r="O348" i="5"/>
  <c r="P348" i="5"/>
  <c r="Q348" i="5"/>
  <c r="R348" i="5"/>
  <c r="S348" i="5"/>
  <c r="T348" i="5"/>
  <c r="U348" i="5"/>
  <c r="V348" i="5"/>
  <c r="W348" i="5"/>
  <c r="X348" i="5"/>
  <c r="A349" i="5"/>
  <c r="B349" i="5"/>
  <c r="C349" i="5"/>
  <c r="E349" i="5"/>
  <c r="F349" i="5"/>
  <c r="G349" i="5"/>
  <c r="O349" i="5"/>
  <c r="P349" i="5"/>
  <c r="Q349" i="5"/>
  <c r="R349" i="5"/>
  <c r="S349" i="5"/>
  <c r="T349" i="5"/>
  <c r="U349" i="5"/>
  <c r="V349" i="5"/>
  <c r="W349" i="5"/>
  <c r="X349" i="5"/>
  <c r="A350" i="5"/>
  <c r="B350" i="5"/>
  <c r="C350" i="5"/>
  <c r="E350" i="5"/>
  <c r="F350" i="5"/>
  <c r="G350" i="5"/>
  <c r="O350" i="5"/>
  <c r="P350" i="5"/>
  <c r="Q350" i="5"/>
  <c r="R350" i="5"/>
  <c r="S350" i="5"/>
  <c r="T350" i="5"/>
  <c r="U350" i="5"/>
  <c r="V350" i="5"/>
  <c r="W350" i="5"/>
  <c r="X350" i="5"/>
  <c r="A351" i="5"/>
  <c r="B351" i="5"/>
  <c r="C351" i="5"/>
  <c r="E351" i="5"/>
  <c r="F351" i="5"/>
  <c r="G351" i="5"/>
  <c r="O351" i="5"/>
  <c r="P351" i="5"/>
  <c r="Q351" i="5"/>
  <c r="R351" i="5"/>
  <c r="S351" i="5"/>
  <c r="T351" i="5"/>
  <c r="U351" i="5"/>
  <c r="V351" i="5"/>
  <c r="W351" i="5"/>
  <c r="X351" i="5"/>
  <c r="A352" i="5"/>
  <c r="B352" i="5"/>
  <c r="C352" i="5"/>
  <c r="E352" i="5"/>
  <c r="F352" i="5"/>
  <c r="G352" i="5"/>
  <c r="O352" i="5"/>
  <c r="P352" i="5"/>
  <c r="Q352" i="5"/>
  <c r="R352" i="5"/>
  <c r="S352" i="5"/>
  <c r="T352" i="5"/>
  <c r="U352" i="5"/>
  <c r="V352" i="5"/>
  <c r="W352" i="5"/>
  <c r="X352" i="5"/>
  <c r="A353" i="5"/>
  <c r="B353" i="5"/>
  <c r="C353" i="5"/>
  <c r="E353" i="5"/>
  <c r="F353" i="5"/>
  <c r="G353" i="5"/>
  <c r="O353" i="5"/>
  <c r="P353" i="5"/>
  <c r="Q353" i="5"/>
  <c r="R353" i="5"/>
  <c r="S353" i="5"/>
  <c r="T353" i="5"/>
  <c r="U353" i="5"/>
  <c r="V353" i="5"/>
  <c r="W353" i="5"/>
  <c r="X353" i="5"/>
  <c r="A354" i="5"/>
  <c r="B354" i="5"/>
  <c r="C354" i="5"/>
  <c r="E354" i="5"/>
  <c r="F354" i="5"/>
  <c r="G354" i="5"/>
  <c r="O354" i="5"/>
  <c r="P354" i="5"/>
  <c r="Q354" i="5"/>
  <c r="R354" i="5"/>
  <c r="S354" i="5"/>
  <c r="T354" i="5"/>
  <c r="U354" i="5"/>
  <c r="V354" i="5"/>
  <c r="W354" i="5"/>
  <c r="X354" i="5"/>
  <c r="A355" i="5"/>
  <c r="B355" i="5"/>
  <c r="C355" i="5"/>
  <c r="E355" i="5"/>
  <c r="F355" i="5"/>
  <c r="G355" i="5"/>
  <c r="O355" i="5"/>
  <c r="P355" i="5"/>
  <c r="Q355" i="5"/>
  <c r="R355" i="5"/>
  <c r="S355" i="5"/>
  <c r="T355" i="5"/>
  <c r="U355" i="5"/>
  <c r="V355" i="5"/>
  <c r="W355" i="5"/>
  <c r="X355" i="5"/>
  <c r="A356" i="5"/>
  <c r="B356" i="5"/>
  <c r="C356" i="5"/>
  <c r="E356" i="5"/>
  <c r="F356" i="5"/>
  <c r="G356" i="5"/>
  <c r="O356" i="5"/>
  <c r="P356" i="5"/>
  <c r="Q356" i="5"/>
  <c r="R356" i="5"/>
  <c r="S356" i="5"/>
  <c r="T356" i="5"/>
  <c r="U356" i="5"/>
  <c r="V356" i="5"/>
  <c r="W356" i="5"/>
  <c r="X356" i="5"/>
  <c r="A357" i="5"/>
  <c r="B357" i="5"/>
  <c r="C357" i="5"/>
  <c r="E357" i="5"/>
  <c r="F357" i="5"/>
  <c r="G357" i="5"/>
  <c r="O357" i="5"/>
  <c r="P357" i="5"/>
  <c r="Q357" i="5"/>
  <c r="R357" i="5"/>
  <c r="S357" i="5"/>
  <c r="T357" i="5"/>
  <c r="U357" i="5"/>
  <c r="V357" i="5"/>
  <c r="W357" i="5"/>
  <c r="X357" i="5"/>
  <c r="A358" i="5"/>
  <c r="B358" i="5"/>
  <c r="C358" i="5"/>
  <c r="E358" i="5"/>
  <c r="F358" i="5"/>
  <c r="G358" i="5"/>
  <c r="O358" i="5"/>
  <c r="P358" i="5"/>
  <c r="Q358" i="5"/>
  <c r="R358" i="5"/>
  <c r="S358" i="5"/>
  <c r="T358" i="5"/>
  <c r="U358" i="5"/>
  <c r="V358" i="5"/>
  <c r="W358" i="5"/>
  <c r="X358" i="5"/>
  <c r="A359" i="5"/>
  <c r="B359" i="5"/>
  <c r="C359" i="5"/>
  <c r="E359" i="5"/>
  <c r="F359" i="5"/>
  <c r="G359" i="5"/>
  <c r="O359" i="5"/>
  <c r="P359" i="5"/>
  <c r="Q359" i="5"/>
  <c r="R359" i="5"/>
  <c r="S359" i="5"/>
  <c r="T359" i="5"/>
  <c r="U359" i="5"/>
  <c r="V359" i="5"/>
  <c r="W359" i="5"/>
  <c r="X359" i="5"/>
  <c r="A360" i="5"/>
  <c r="B360" i="5"/>
  <c r="C360" i="5"/>
  <c r="E360" i="5"/>
  <c r="F360" i="5"/>
  <c r="G360" i="5"/>
  <c r="O360" i="5"/>
  <c r="P360" i="5"/>
  <c r="Q360" i="5"/>
  <c r="R360" i="5"/>
  <c r="S360" i="5"/>
  <c r="T360" i="5"/>
  <c r="U360" i="5"/>
  <c r="V360" i="5"/>
  <c r="W360" i="5"/>
  <c r="X360" i="5"/>
  <c r="A361" i="5"/>
  <c r="B361" i="5"/>
  <c r="C361" i="5"/>
  <c r="E361" i="5"/>
  <c r="F361" i="5"/>
  <c r="G361" i="5"/>
  <c r="O361" i="5"/>
  <c r="P361" i="5"/>
  <c r="Q361" i="5"/>
  <c r="R361" i="5"/>
  <c r="S361" i="5"/>
  <c r="T361" i="5"/>
  <c r="U361" i="5"/>
  <c r="V361" i="5"/>
  <c r="W361" i="5"/>
  <c r="X361" i="5"/>
  <c r="A362" i="5"/>
  <c r="B362" i="5"/>
  <c r="C362" i="5"/>
  <c r="E362" i="5"/>
  <c r="F362" i="5"/>
  <c r="G362" i="5"/>
  <c r="O362" i="5"/>
  <c r="P362" i="5"/>
  <c r="Q362" i="5"/>
  <c r="R362" i="5"/>
  <c r="S362" i="5"/>
  <c r="T362" i="5"/>
  <c r="U362" i="5"/>
  <c r="V362" i="5"/>
  <c r="W362" i="5"/>
  <c r="X362" i="5"/>
  <c r="A363" i="5"/>
  <c r="B363" i="5"/>
  <c r="C363" i="5"/>
  <c r="E363" i="5"/>
  <c r="F363" i="5"/>
  <c r="G363" i="5"/>
  <c r="O363" i="5"/>
  <c r="P363" i="5"/>
  <c r="Q363" i="5"/>
  <c r="R363" i="5"/>
  <c r="S363" i="5"/>
  <c r="T363" i="5"/>
  <c r="U363" i="5"/>
  <c r="V363" i="5"/>
  <c r="W363" i="5"/>
  <c r="X363" i="5"/>
  <c r="A364" i="5"/>
  <c r="B364" i="5"/>
  <c r="C364" i="5"/>
  <c r="E364" i="5"/>
  <c r="F364" i="5"/>
  <c r="G364" i="5"/>
  <c r="O364" i="5"/>
  <c r="P364" i="5"/>
  <c r="Q364" i="5"/>
  <c r="R364" i="5"/>
  <c r="S364" i="5"/>
  <c r="T364" i="5"/>
  <c r="U364" i="5"/>
  <c r="V364" i="5"/>
  <c r="W364" i="5"/>
  <c r="X364" i="5"/>
  <c r="A365" i="5"/>
  <c r="B365" i="5"/>
  <c r="C365" i="5"/>
  <c r="E365" i="5"/>
  <c r="F365" i="5"/>
  <c r="G365" i="5"/>
  <c r="O365" i="5"/>
  <c r="P365" i="5"/>
  <c r="Q365" i="5"/>
  <c r="R365" i="5"/>
  <c r="S365" i="5"/>
  <c r="T365" i="5"/>
  <c r="U365" i="5"/>
  <c r="V365" i="5"/>
  <c r="W365" i="5"/>
  <c r="X365" i="5"/>
  <c r="A366" i="5"/>
  <c r="B366" i="5"/>
  <c r="C366" i="5"/>
  <c r="E366" i="5"/>
  <c r="F366" i="5"/>
  <c r="G366" i="5"/>
  <c r="O366" i="5"/>
  <c r="P366" i="5"/>
  <c r="Q366" i="5"/>
  <c r="R366" i="5"/>
  <c r="S366" i="5"/>
  <c r="T366" i="5"/>
  <c r="U366" i="5"/>
  <c r="V366" i="5"/>
  <c r="W366" i="5"/>
  <c r="X366" i="5"/>
  <c r="A367" i="5"/>
  <c r="B367" i="5"/>
  <c r="C367" i="5"/>
  <c r="E367" i="5"/>
  <c r="F367" i="5"/>
  <c r="G367" i="5"/>
  <c r="O367" i="5"/>
  <c r="P367" i="5"/>
  <c r="Q367" i="5"/>
  <c r="R367" i="5"/>
  <c r="S367" i="5"/>
  <c r="T367" i="5"/>
  <c r="U367" i="5"/>
  <c r="V367" i="5"/>
  <c r="W367" i="5"/>
  <c r="X367" i="5"/>
  <c r="A368" i="5"/>
  <c r="B368" i="5"/>
  <c r="C368" i="5"/>
  <c r="E368" i="5"/>
  <c r="F368" i="5"/>
  <c r="G368" i="5"/>
  <c r="O368" i="5"/>
  <c r="P368" i="5"/>
  <c r="Q368" i="5"/>
  <c r="R368" i="5"/>
  <c r="S368" i="5"/>
  <c r="T368" i="5"/>
  <c r="U368" i="5"/>
  <c r="V368" i="5"/>
  <c r="W368" i="5"/>
  <c r="X368" i="5"/>
  <c r="A369" i="5"/>
  <c r="B369" i="5"/>
  <c r="C369" i="5"/>
  <c r="E369" i="5"/>
  <c r="F369" i="5"/>
  <c r="G369" i="5"/>
  <c r="O369" i="5"/>
  <c r="P369" i="5"/>
  <c r="Q369" i="5"/>
  <c r="R369" i="5"/>
  <c r="S369" i="5"/>
  <c r="T369" i="5"/>
  <c r="U369" i="5"/>
  <c r="V369" i="5"/>
  <c r="W369" i="5"/>
  <c r="X369" i="5"/>
  <c r="A370" i="5"/>
  <c r="B370" i="5"/>
  <c r="C370" i="5"/>
  <c r="E370" i="5"/>
  <c r="F370" i="5"/>
  <c r="G370" i="5"/>
  <c r="O370" i="5"/>
  <c r="P370" i="5"/>
  <c r="Q370" i="5"/>
  <c r="R370" i="5"/>
  <c r="S370" i="5"/>
  <c r="T370" i="5"/>
  <c r="U370" i="5"/>
  <c r="V370" i="5"/>
  <c r="W370" i="5"/>
  <c r="X370" i="5"/>
  <c r="A371" i="5"/>
  <c r="B371" i="5"/>
  <c r="C371" i="5"/>
  <c r="E371" i="5"/>
  <c r="F371" i="5"/>
  <c r="G371" i="5"/>
  <c r="O371" i="5"/>
  <c r="P371" i="5"/>
  <c r="Q371" i="5"/>
  <c r="R371" i="5"/>
  <c r="S371" i="5"/>
  <c r="T371" i="5"/>
  <c r="U371" i="5"/>
  <c r="V371" i="5"/>
  <c r="W371" i="5"/>
  <c r="X371" i="5"/>
  <c r="A372" i="5"/>
  <c r="B372" i="5"/>
  <c r="C372" i="5"/>
  <c r="E372" i="5"/>
  <c r="F372" i="5"/>
  <c r="G372" i="5"/>
  <c r="O372" i="5"/>
  <c r="P372" i="5"/>
  <c r="Q372" i="5"/>
  <c r="R372" i="5"/>
  <c r="S372" i="5"/>
  <c r="T372" i="5"/>
  <c r="U372" i="5"/>
  <c r="V372" i="5"/>
  <c r="W372" i="5"/>
  <c r="X372" i="5"/>
  <c r="A373" i="5"/>
  <c r="B373" i="5"/>
  <c r="C373" i="5"/>
  <c r="E373" i="5"/>
  <c r="F373" i="5"/>
  <c r="G373" i="5"/>
  <c r="O373" i="5"/>
  <c r="P373" i="5"/>
  <c r="Q373" i="5"/>
  <c r="R373" i="5"/>
  <c r="S373" i="5"/>
  <c r="T373" i="5"/>
  <c r="U373" i="5"/>
  <c r="V373" i="5"/>
  <c r="W373" i="5"/>
  <c r="X373" i="5"/>
  <c r="A374" i="5"/>
  <c r="B374" i="5"/>
  <c r="C374" i="5"/>
  <c r="E374" i="5"/>
  <c r="F374" i="5"/>
  <c r="G374" i="5"/>
  <c r="O374" i="5"/>
  <c r="P374" i="5"/>
  <c r="Q374" i="5"/>
  <c r="R374" i="5"/>
  <c r="S374" i="5"/>
  <c r="T374" i="5"/>
  <c r="U374" i="5"/>
  <c r="V374" i="5"/>
  <c r="W374" i="5"/>
  <c r="X374" i="5"/>
  <c r="A375" i="5"/>
  <c r="B375" i="5"/>
  <c r="C375" i="5"/>
  <c r="E375" i="5"/>
  <c r="F375" i="5"/>
  <c r="G375" i="5"/>
  <c r="O375" i="5"/>
  <c r="P375" i="5"/>
  <c r="Q375" i="5"/>
  <c r="R375" i="5"/>
  <c r="S375" i="5"/>
  <c r="T375" i="5"/>
  <c r="U375" i="5"/>
  <c r="V375" i="5"/>
  <c r="W375" i="5"/>
  <c r="X375" i="5"/>
  <c r="A376" i="5"/>
  <c r="B376" i="5"/>
  <c r="C376" i="5"/>
  <c r="E376" i="5"/>
  <c r="F376" i="5"/>
  <c r="G376" i="5"/>
  <c r="O376" i="5"/>
  <c r="P376" i="5"/>
  <c r="Q376" i="5"/>
  <c r="R376" i="5"/>
  <c r="S376" i="5"/>
  <c r="T376" i="5"/>
  <c r="U376" i="5"/>
  <c r="V376" i="5"/>
  <c r="W376" i="5"/>
  <c r="X376" i="5"/>
  <c r="A377" i="5"/>
  <c r="B377" i="5"/>
  <c r="C377" i="5"/>
  <c r="E377" i="5"/>
  <c r="F377" i="5"/>
  <c r="G377" i="5"/>
  <c r="O377" i="5"/>
  <c r="P377" i="5"/>
  <c r="Q377" i="5"/>
  <c r="R377" i="5"/>
  <c r="S377" i="5"/>
  <c r="T377" i="5"/>
  <c r="U377" i="5"/>
  <c r="V377" i="5"/>
  <c r="W377" i="5"/>
  <c r="X377" i="5"/>
  <c r="A378" i="5"/>
  <c r="B378" i="5"/>
  <c r="C378" i="5"/>
  <c r="E378" i="5"/>
  <c r="F378" i="5"/>
  <c r="G378" i="5"/>
  <c r="O378" i="5"/>
  <c r="P378" i="5"/>
  <c r="Q378" i="5"/>
  <c r="R378" i="5"/>
  <c r="S378" i="5"/>
  <c r="T378" i="5"/>
  <c r="U378" i="5"/>
  <c r="V378" i="5"/>
  <c r="W378" i="5"/>
  <c r="X378" i="5"/>
  <c r="A379" i="5"/>
  <c r="B379" i="5"/>
  <c r="C379" i="5"/>
  <c r="E379" i="5"/>
  <c r="F379" i="5"/>
  <c r="G379" i="5"/>
  <c r="O379" i="5"/>
  <c r="P379" i="5"/>
  <c r="Q379" i="5"/>
  <c r="R379" i="5"/>
  <c r="S379" i="5"/>
  <c r="T379" i="5"/>
  <c r="U379" i="5"/>
  <c r="V379" i="5"/>
  <c r="W379" i="5"/>
  <c r="X379" i="5"/>
  <c r="A380" i="5"/>
  <c r="B380" i="5"/>
  <c r="C380" i="5"/>
  <c r="E380" i="5"/>
  <c r="F380" i="5"/>
  <c r="G380" i="5"/>
  <c r="O380" i="5"/>
  <c r="P380" i="5"/>
  <c r="Q380" i="5"/>
  <c r="R380" i="5"/>
  <c r="S380" i="5"/>
  <c r="T380" i="5"/>
  <c r="U380" i="5"/>
  <c r="V380" i="5"/>
  <c r="W380" i="5"/>
  <c r="X380" i="5"/>
  <c r="A381" i="5"/>
  <c r="B381" i="5"/>
  <c r="C381" i="5"/>
  <c r="E381" i="5"/>
  <c r="F381" i="5"/>
  <c r="G381" i="5"/>
  <c r="O381" i="5"/>
  <c r="P381" i="5"/>
  <c r="Q381" i="5"/>
  <c r="R381" i="5"/>
  <c r="S381" i="5"/>
  <c r="T381" i="5"/>
  <c r="U381" i="5"/>
  <c r="V381" i="5"/>
  <c r="W381" i="5"/>
  <c r="X381" i="5"/>
  <c r="A382" i="5"/>
  <c r="B382" i="5"/>
  <c r="C382" i="5"/>
  <c r="E382" i="5"/>
  <c r="F382" i="5"/>
  <c r="G382" i="5"/>
  <c r="O382" i="5"/>
  <c r="P382" i="5"/>
  <c r="Q382" i="5"/>
  <c r="R382" i="5"/>
  <c r="S382" i="5"/>
  <c r="T382" i="5"/>
  <c r="U382" i="5"/>
  <c r="V382" i="5"/>
  <c r="W382" i="5"/>
  <c r="X382" i="5"/>
  <c r="A383" i="5"/>
  <c r="B383" i="5"/>
  <c r="C383" i="5"/>
  <c r="E383" i="5"/>
  <c r="F383" i="5"/>
  <c r="G383" i="5"/>
  <c r="O383" i="5"/>
  <c r="P383" i="5"/>
  <c r="Q383" i="5"/>
  <c r="R383" i="5"/>
  <c r="S383" i="5"/>
  <c r="T383" i="5"/>
  <c r="U383" i="5"/>
  <c r="V383" i="5"/>
  <c r="W383" i="5"/>
  <c r="X383" i="5"/>
  <c r="A384" i="5"/>
  <c r="B384" i="5"/>
  <c r="C384" i="5"/>
  <c r="E384" i="5"/>
  <c r="F384" i="5"/>
  <c r="G384" i="5"/>
  <c r="O384" i="5"/>
  <c r="P384" i="5"/>
  <c r="Q384" i="5"/>
  <c r="R384" i="5"/>
  <c r="S384" i="5"/>
  <c r="T384" i="5"/>
  <c r="U384" i="5"/>
  <c r="V384" i="5"/>
  <c r="W384" i="5"/>
  <c r="X384" i="5"/>
  <c r="A385" i="5"/>
  <c r="B385" i="5"/>
  <c r="C385" i="5"/>
  <c r="E385" i="5"/>
  <c r="F385" i="5"/>
  <c r="G385" i="5"/>
  <c r="O385" i="5"/>
  <c r="P385" i="5"/>
  <c r="Q385" i="5"/>
  <c r="R385" i="5"/>
  <c r="S385" i="5"/>
  <c r="T385" i="5"/>
  <c r="U385" i="5"/>
  <c r="V385" i="5"/>
  <c r="W385" i="5"/>
  <c r="X385" i="5"/>
  <c r="A386" i="5"/>
  <c r="B386" i="5"/>
  <c r="C386" i="5"/>
  <c r="E386" i="5"/>
  <c r="F386" i="5"/>
  <c r="G386" i="5"/>
  <c r="O386" i="5"/>
  <c r="P386" i="5"/>
  <c r="Q386" i="5"/>
  <c r="R386" i="5"/>
  <c r="S386" i="5"/>
  <c r="T386" i="5"/>
  <c r="U386" i="5"/>
  <c r="V386" i="5"/>
  <c r="W386" i="5"/>
  <c r="X386" i="5"/>
  <c r="A387" i="5"/>
  <c r="B387" i="5"/>
  <c r="C387" i="5"/>
  <c r="E387" i="5"/>
  <c r="F387" i="5"/>
  <c r="G387" i="5"/>
  <c r="O387" i="5"/>
  <c r="P387" i="5"/>
  <c r="Q387" i="5"/>
  <c r="R387" i="5"/>
  <c r="S387" i="5"/>
  <c r="T387" i="5"/>
  <c r="U387" i="5"/>
  <c r="V387" i="5"/>
  <c r="W387" i="5"/>
  <c r="X387" i="5"/>
  <c r="A388" i="5"/>
  <c r="B388" i="5"/>
  <c r="C388" i="5"/>
  <c r="E388" i="5"/>
  <c r="F388" i="5"/>
  <c r="G388" i="5"/>
  <c r="O388" i="5"/>
  <c r="P388" i="5"/>
  <c r="Q388" i="5"/>
  <c r="R388" i="5"/>
  <c r="S388" i="5"/>
  <c r="T388" i="5"/>
  <c r="U388" i="5"/>
  <c r="V388" i="5"/>
  <c r="W388" i="5"/>
  <c r="X388" i="5"/>
  <c r="A389" i="5"/>
  <c r="B389" i="5"/>
  <c r="C389" i="5"/>
  <c r="E389" i="5"/>
  <c r="F389" i="5"/>
  <c r="G389" i="5"/>
  <c r="O389" i="5"/>
  <c r="P389" i="5"/>
  <c r="Q389" i="5"/>
  <c r="R389" i="5"/>
  <c r="S389" i="5"/>
  <c r="T389" i="5"/>
  <c r="U389" i="5"/>
  <c r="V389" i="5"/>
  <c r="W389" i="5"/>
  <c r="X389" i="5"/>
  <c r="A390" i="5"/>
  <c r="B390" i="5"/>
  <c r="C390" i="5"/>
  <c r="E390" i="5"/>
  <c r="F390" i="5"/>
  <c r="G390" i="5"/>
  <c r="O390" i="5"/>
  <c r="P390" i="5"/>
  <c r="Q390" i="5"/>
  <c r="R390" i="5"/>
  <c r="S390" i="5"/>
  <c r="T390" i="5"/>
  <c r="U390" i="5"/>
  <c r="V390" i="5"/>
  <c r="W390" i="5"/>
  <c r="X390" i="5"/>
  <c r="A391" i="5"/>
  <c r="B391" i="5"/>
  <c r="C391" i="5"/>
  <c r="E391" i="5"/>
  <c r="F391" i="5"/>
  <c r="G391" i="5"/>
  <c r="O391" i="5"/>
  <c r="P391" i="5"/>
  <c r="Q391" i="5"/>
  <c r="R391" i="5"/>
  <c r="S391" i="5"/>
  <c r="T391" i="5"/>
  <c r="U391" i="5"/>
  <c r="V391" i="5"/>
  <c r="W391" i="5"/>
  <c r="X391" i="5"/>
  <c r="A392" i="5"/>
  <c r="B392" i="5"/>
  <c r="C392" i="5"/>
  <c r="E392" i="5"/>
  <c r="F392" i="5"/>
  <c r="G392" i="5"/>
  <c r="O392" i="5"/>
  <c r="P392" i="5"/>
  <c r="Q392" i="5"/>
  <c r="R392" i="5"/>
  <c r="S392" i="5"/>
  <c r="T392" i="5"/>
  <c r="U392" i="5"/>
  <c r="V392" i="5"/>
  <c r="W392" i="5"/>
  <c r="X392" i="5"/>
  <c r="A393" i="5"/>
  <c r="B393" i="5"/>
  <c r="C393" i="5"/>
  <c r="E393" i="5"/>
  <c r="F393" i="5"/>
  <c r="G393" i="5"/>
  <c r="O393" i="5"/>
  <c r="P393" i="5"/>
  <c r="Q393" i="5"/>
  <c r="R393" i="5"/>
  <c r="S393" i="5"/>
  <c r="T393" i="5"/>
  <c r="U393" i="5"/>
  <c r="V393" i="5"/>
  <c r="W393" i="5"/>
  <c r="X393" i="5"/>
  <c r="A394" i="5"/>
  <c r="B394" i="5"/>
  <c r="C394" i="5"/>
  <c r="E394" i="5"/>
  <c r="F394" i="5"/>
  <c r="G394" i="5"/>
  <c r="O394" i="5"/>
  <c r="P394" i="5"/>
  <c r="Q394" i="5"/>
  <c r="R394" i="5"/>
  <c r="S394" i="5"/>
  <c r="T394" i="5"/>
  <c r="U394" i="5"/>
  <c r="V394" i="5"/>
  <c r="W394" i="5"/>
  <c r="X394" i="5"/>
  <c r="A395" i="5"/>
  <c r="B395" i="5"/>
  <c r="C395" i="5"/>
  <c r="E395" i="5"/>
  <c r="F395" i="5"/>
  <c r="G395" i="5"/>
  <c r="O395" i="5"/>
  <c r="P395" i="5"/>
  <c r="Q395" i="5"/>
  <c r="R395" i="5"/>
  <c r="S395" i="5"/>
  <c r="T395" i="5"/>
  <c r="U395" i="5"/>
  <c r="V395" i="5"/>
  <c r="W395" i="5"/>
  <c r="X395" i="5"/>
  <c r="A396" i="5"/>
  <c r="B396" i="5"/>
  <c r="C396" i="5"/>
  <c r="E396" i="5"/>
  <c r="F396" i="5"/>
  <c r="G396" i="5"/>
  <c r="O396" i="5"/>
  <c r="P396" i="5"/>
  <c r="Q396" i="5"/>
  <c r="R396" i="5"/>
  <c r="S396" i="5"/>
  <c r="T396" i="5"/>
  <c r="U396" i="5"/>
  <c r="V396" i="5"/>
  <c r="W396" i="5"/>
  <c r="X396" i="5"/>
  <c r="A397" i="5"/>
  <c r="B397" i="5"/>
  <c r="C397" i="5"/>
  <c r="E397" i="5"/>
  <c r="F397" i="5"/>
  <c r="G397" i="5"/>
  <c r="O397" i="5"/>
  <c r="P397" i="5"/>
  <c r="Q397" i="5"/>
  <c r="R397" i="5"/>
  <c r="S397" i="5"/>
  <c r="T397" i="5"/>
  <c r="U397" i="5"/>
  <c r="V397" i="5"/>
  <c r="W397" i="5"/>
  <c r="X397" i="5"/>
  <c r="A398" i="5"/>
  <c r="B398" i="5"/>
  <c r="C398" i="5"/>
  <c r="E398" i="5"/>
  <c r="F398" i="5"/>
  <c r="G398" i="5"/>
  <c r="O398" i="5"/>
  <c r="P398" i="5"/>
  <c r="Q398" i="5"/>
  <c r="R398" i="5"/>
  <c r="S398" i="5"/>
  <c r="T398" i="5"/>
  <c r="U398" i="5"/>
  <c r="V398" i="5"/>
  <c r="W398" i="5"/>
  <c r="X398" i="5"/>
  <c r="A399" i="5"/>
  <c r="B399" i="5"/>
  <c r="C399" i="5"/>
  <c r="E399" i="5"/>
  <c r="F399" i="5"/>
  <c r="G399" i="5"/>
  <c r="O399" i="5"/>
  <c r="P399" i="5"/>
  <c r="Q399" i="5"/>
  <c r="R399" i="5"/>
  <c r="S399" i="5"/>
  <c r="T399" i="5"/>
  <c r="U399" i="5"/>
  <c r="V399" i="5"/>
  <c r="W399" i="5"/>
  <c r="X399" i="5"/>
  <c r="A400" i="5"/>
  <c r="B400" i="5"/>
  <c r="C400" i="5"/>
  <c r="E400" i="5"/>
  <c r="F400" i="5"/>
  <c r="G400" i="5"/>
  <c r="O400" i="5"/>
  <c r="P400" i="5"/>
  <c r="Q400" i="5"/>
  <c r="R400" i="5"/>
  <c r="S400" i="5"/>
  <c r="T400" i="5"/>
  <c r="U400" i="5"/>
  <c r="V400" i="5"/>
  <c r="W400" i="5"/>
  <c r="X400" i="5"/>
  <c r="A401" i="5"/>
  <c r="B401" i="5"/>
  <c r="C401" i="5"/>
  <c r="E401" i="5"/>
  <c r="F401" i="5"/>
  <c r="G401" i="5"/>
  <c r="O401" i="5"/>
  <c r="P401" i="5"/>
  <c r="Q401" i="5"/>
  <c r="R401" i="5"/>
  <c r="S401" i="5"/>
  <c r="T401" i="5"/>
  <c r="U401" i="5"/>
  <c r="V401" i="5"/>
  <c r="W401" i="5"/>
  <c r="X401" i="5"/>
  <c r="A402" i="5"/>
  <c r="B402" i="5"/>
  <c r="C402" i="5"/>
  <c r="E402" i="5"/>
  <c r="F402" i="5"/>
  <c r="G402" i="5"/>
  <c r="O402" i="5"/>
  <c r="P402" i="5"/>
  <c r="Q402" i="5"/>
  <c r="R402" i="5"/>
  <c r="S402" i="5"/>
  <c r="T402" i="5"/>
  <c r="U402" i="5"/>
  <c r="V402" i="5"/>
  <c r="W402" i="5"/>
  <c r="X402" i="5"/>
  <c r="A403" i="5"/>
  <c r="B403" i="5"/>
  <c r="C403" i="5"/>
  <c r="E403" i="5"/>
  <c r="F403" i="5"/>
  <c r="G403" i="5"/>
  <c r="O403" i="5"/>
  <c r="P403" i="5"/>
  <c r="Q403" i="5"/>
  <c r="R403" i="5"/>
  <c r="S403" i="5"/>
  <c r="T403" i="5"/>
  <c r="U403" i="5"/>
  <c r="V403" i="5"/>
  <c r="W403" i="5"/>
  <c r="X403" i="5"/>
  <c r="A404" i="5"/>
  <c r="B404" i="5"/>
  <c r="C404" i="5"/>
  <c r="E404" i="5"/>
  <c r="F404" i="5"/>
  <c r="G404" i="5"/>
  <c r="O404" i="5"/>
  <c r="P404" i="5"/>
  <c r="Q404" i="5"/>
  <c r="R404" i="5"/>
  <c r="S404" i="5"/>
  <c r="T404" i="5"/>
  <c r="U404" i="5"/>
  <c r="V404" i="5"/>
  <c r="W404" i="5"/>
  <c r="X404" i="5"/>
  <c r="A405" i="5"/>
  <c r="B405" i="5"/>
  <c r="C405" i="5"/>
  <c r="E405" i="5"/>
  <c r="F405" i="5"/>
  <c r="G405" i="5"/>
  <c r="O405" i="5"/>
  <c r="P405" i="5"/>
  <c r="Q405" i="5"/>
  <c r="R405" i="5"/>
  <c r="S405" i="5"/>
  <c r="T405" i="5"/>
  <c r="U405" i="5"/>
  <c r="V405" i="5"/>
  <c r="W405" i="5"/>
  <c r="X405" i="5"/>
  <c r="A406" i="5"/>
  <c r="B406" i="5"/>
  <c r="C406" i="5"/>
  <c r="E406" i="5"/>
  <c r="F406" i="5"/>
  <c r="G406" i="5"/>
  <c r="O406" i="5"/>
  <c r="P406" i="5"/>
  <c r="Q406" i="5"/>
  <c r="R406" i="5"/>
  <c r="S406" i="5"/>
  <c r="T406" i="5"/>
  <c r="U406" i="5"/>
  <c r="V406" i="5"/>
  <c r="W406" i="5"/>
  <c r="X406" i="5"/>
  <c r="A407" i="5"/>
  <c r="B407" i="5"/>
  <c r="C407" i="5"/>
  <c r="E407" i="5"/>
  <c r="F407" i="5"/>
  <c r="G407" i="5"/>
  <c r="O407" i="5"/>
  <c r="P407" i="5"/>
  <c r="Q407" i="5"/>
  <c r="R407" i="5"/>
  <c r="S407" i="5"/>
  <c r="T407" i="5"/>
  <c r="U407" i="5"/>
  <c r="V407" i="5"/>
  <c r="W407" i="5"/>
  <c r="X407" i="5"/>
  <c r="A408" i="5"/>
  <c r="B408" i="5"/>
  <c r="C408" i="5"/>
  <c r="E408" i="5"/>
  <c r="F408" i="5"/>
  <c r="G408" i="5"/>
  <c r="O408" i="5"/>
  <c r="P408" i="5"/>
  <c r="Q408" i="5"/>
  <c r="R408" i="5"/>
  <c r="S408" i="5"/>
  <c r="T408" i="5"/>
  <c r="U408" i="5"/>
  <c r="V408" i="5"/>
  <c r="W408" i="5"/>
  <c r="X408" i="5"/>
  <c r="A409" i="5"/>
  <c r="B409" i="5"/>
  <c r="C409" i="5"/>
  <c r="E409" i="5"/>
  <c r="F409" i="5"/>
  <c r="G409" i="5"/>
  <c r="O409" i="5"/>
  <c r="P409" i="5"/>
  <c r="Q409" i="5"/>
  <c r="R409" i="5"/>
  <c r="S409" i="5"/>
  <c r="T409" i="5"/>
  <c r="U409" i="5"/>
  <c r="V409" i="5"/>
  <c r="W409" i="5"/>
  <c r="X409" i="5"/>
  <c r="A410" i="5"/>
  <c r="B410" i="5"/>
  <c r="C410" i="5"/>
  <c r="E410" i="5"/>
  <c r="F410" i="5"/>
  <c r="G410" i="5"/>
  <c r="O410" i="5"/>
  <c r="P410" i="5"/>
  <c r="Q410" i="5"/>
  <c r="R410" i="5"/>
  <c r="S410" i="5"/>
  <c r="T410" i="5"/>
  <c r="U410" i="5"/>
  <c r="V410" i="5"/>
  <c r="W410" i="5"/>
  <c r="X410" i="5"/>
  <c r="A411" i="5"/>
  <c r="B411" i="5"/>
  <c r="C411" i="5"/>
  <c r="E411" i="5"/>
  <c r="F411" i="5"/>
  <c r="G411" i="5"/>
  <c r="O411" i="5"/>
  <c r="P411" i="5"/>
  <c r="Q411" i="5"/>
  <c r="R411" i="5"/>
  <c r="S411" i="5"/>
  <c r="T411" i="5"/>
  <c r="U411" i="5"/>
  <c r="V411" i="5"/>
  <c r="W411" i="5"/>
  <c r="X411" i="5"/>
  <c r="A412" i="5"/>
  <c r="B412" i="5"/>
  <c r="C412" i="5"/>
  <c r="E412" i="5"/>
  <c r="F412" i="5"/>
  <c r="G412" i="5"/>
  <c r="O412" i="5"/>
  <c r="P412" i="5"/>
  <c r="Q412" i="5"/>
  <c r="R412" i="5"/>
  <c r="S412" i="5"/>
  <c r="T412" i="5"/>
  <c r="U412" i="5"/>
  <c r="V412" i="5"/>
  <c r="W412" i="5"/>
  <c r="X412" i="5"/>
  <c r="A413" i="5"/>
  <c r="B413" i="5"/>
  <c r="C413" i="5"/>
  <c r="E413" i="5"/>
  <c r="F413" i="5"/>
  <c r="G413" i="5"/>
  <c r="O413" i="5"/>
  <c r="P413" i="5"/>
  <c r="Q413" i="5"/>
  <c r="R413" i="5"/>
  <c r="S413" i="5"/>
  <c r="T413" i="5"/>
  <c r="U413" i="5"/>
  <c r="V413" i="5"/>
  <c r="W413" i="5"/>
  <c r="X413" i="5"/>
  <c r="A414" i="5"/>
  <c r="B414" i="5"/>
  <c r="C414" i="5"/>
  <c r="E414" i="5"/>
  <c r="F414" i="5"/>
  <c r="G414" i="5"/>
  <c r="O414" i="5"/>
  <c r="P414" i="5"/>
  <c r="Q414" i="5"/>
  <c r="R414" i="5"/>
  <c r="S414" i="5"/>
  <c r="T414" i="5"/>
  <c r="U414" i="5"/>
  <c r="V414" i="5"/>
  <c r="W414" i="5"/>
  <c r="X414" i="5"/>
  <c r="A415" i="5"/>
  <c r="B415" i="5"/>
  <c r="C415" i="5"/>
  <c r="E415" i="5"/>
  <c r="F415" i="5"/>
  <c r="G415" i="5"/>
  <c r="O415" i="5"/>
  <c r="P415" i="5"/>
  <c r="Q415" i="5"/>
  <c r="R415" i="5"/>
  <c r="S415" i="5"/>
  <c r="T415" i="5"/>
  <c r="U415" i="5"/>
  <c r="V415" i="5"/>
  <c r="W415" i="5"/>
  <c r="X415" i="5"/>
  <c r="A416" i="5"/>
  <c r="B416" i="5"/>
  <c r="C416" i="5"/>
  <c r="E416" i="5"/>
  <c r="F416" i="5"/>
  <c r="G416" i="5"/>
  <c r="O416" i="5"/>
  <c r="P416" i="5"/>
  <c r="Q416" i="5"/>
  <c r="R416" i="5"/>
  <c r="S416" i="5"/>
  <c r="T416" i="5"/>
  <c r="U416" i="5"/>
  <c r="V416" i="5"/>
  <c r="W416" i="5"/>
  <c r="X416" i="5"/>
  <c r="A417" i="5"/>
  <c r="B417" i="5"/>
  <c r="C417" i="5"/>
  <c r="E417" i="5"/>
  <c r="F417" i="5"/>
  <c r="G417" i="5"/>
  <c r="O417" i="5"/>
  <c r="P417" i="5"/>
  <c r="Q417" i="5"/>
  <c r="R417" i="5"/>
  <c r="S417" i="5"/>
  <c r="T417" i="5"/>
  <c r="U417" i="5"/>
  <c r="V417" i="5"/>
  <c r="W417" i="5"/>
  <c r="X417" i="5"/>
  <c r="A418" i="5"/>
  <c r="B418" i="5"/>
  <c r="C418" i="5"/>
  <c r="E418" i="5"/>
  <c r="F418" i="5"/>
  <c r="G418" i="5"/>
  <c r="O418" i="5"/>
  <c r="P418" i="5"/>
  <c r="Q418" i="5"/>
  <c r="R418" i="5"/>
  <c r="S418" i="5"/>
  <c r="T418" i="5"/>
  <c r="U418" i="5"/>
  <c r="V418" i="5"/>
  <c r="W418" i="5"/>
  <c r="X418" i="5"/>
  <c r="A419" i="5"/>
  <c r="B419" i="5"/>
  <c r="C419" i="5"/>
  <c r="E419" i="5"/>
  <c r="F419" i="5"/>
  <c r="G419" i="5"/>
  <c r="O419" i="5"/>
  <c r="P419" i="5"/>
  <c r="Q419" i="5"/>
  <c r="R419" i="5"/>
  <c r="S419" i="5"/>
  <c r="T419" i="5"/>
  <c r="U419" i="5"/>
  <c r="V419" i="5"/>
  <c r="W419" i="5"/>
  <c r="X419" i="5"/>
  <c r="A420" i="5"/>
  <c r="B420" i="5"/>
  <c r="C420" i="5"/>
  <c r="E420" i="5"/>
  <c r="F420" i="5"/>
  <c r="G420" i="5"/>
  <c r="O420" i="5"/>
  <c r="P420" i="5"/>
  <c r="Q420" i="5"/>
  <c r="R420" i="5"/>
  <c r="S420" i="5"/>
  <c r="T420" i="5"/>
  <c r="U420" i="5"/>
  <c r="V420" i="5"/>
  <c r="W420" i="5"/>
  <c r="X420" i="5"/>
  <c r="A421" i="5"/>
  <c r="B421" i="5"/>
  <c r="C421" i="5"/>
  <c r="E421" i="5"/>
  <c r="F421" i="5"/>
  <c r="G421" i="5"/>
  <c r="O421" i="5"/>
  <c r="P421" i="5"/>
  <c r="Q421" i="5"/>
  <c r="R421" i="5"/>
  <c r="S421" i="5"/>
  <c r="T421" i="5"/>
  <c r="U421" i="5"/>
  <c r="V421" i="5"/>
  <c r="W421" i="5"/>
  <c r="X421" i="5"/>
  <c r="A422" i="5"/>
  <c r="B422" i="5"/>
  <c r="C422" i="5"/>
  <c r="E422" i="5"/>
  <c r="F422" i="5"/>
  <c r="G422" i="5"/>
  <c r="O422" i="5"/>
  <c r="P422" i="5"/>
  <c r="Q422" i="5"/>
  <c r="R422" i="5"/>
  <c r="S422" i="5"/>
  <c r="T422" i="5"/>
  <c r="U422" i="5"/>
  <c r="V422" i="5"/>
  <c r="W422" i="5"/>
  <c r="X422" i="5"/>
  <c r="A423" i="5"/>
  <c r="B423" i="5"/>
  <c r="C423" i="5"/>
  <c r="E423" i="5"/>
  <c r="F423" i="5"/>
  <c r="G423" i="5"/>
  <c r="O423" i="5"/>
  <c r="P423" i="5"/>
  <c r="Q423" i="5"/>
  <c r="R423" i="5"/>
  <c r="S423" i="5"/>
  <c r="T423" i="5"/>
  <c r="U423" i="5"/>
  <c r="V423" i="5"/>
  <c r="W423" i="5"/>
  <c r="X423" i="5"/>
  <c r="A424" i="5"/>
  <c r="B424" i="5"/>
  <c r="C424" i="5"/>
  <c r="E424" i="5"/>
  <c r="F424" i="5"/>
  <c r="G424" i="5"/>
  <c r="O424" i="5"/>
  <c r="P424" i="5"/>
  <c r="Q424" i="5"/>
  <c r="R424" i="5"/>
  <c r="S424" i="5"/>
  <c r="T424" i="5"/>
  <c r="U424" i="5"/>
  <c r="V424" i="5"/>
  <c r="W424" i="5"/>
  <c r="X424" i="5"/>
  <c r="A425" i="5"/>
  <c r="B425" i="5"/>
  <c r="C425" i="5"/>
  <c r="E425" i="5"/>
  <c r="F425" i="5"/>
  <c r="G425" i="5"/>
  <c r="O425" i="5"/>
  <c r="P425" i="5"/>
  <c r="Q425" i="5"/>
  <c r="R425" i="5"/>
  <c r="S425" i="5"/>
  <c r="T425" i="5"/>
  <c r="U425" i="5"/>
  <c r="V425" i="5"/>
  <c r="W425" i="5"/>
  <c r="X425" i="5"/>
  <c r="A426" i="5"/>
  <c r="B426" i="5"/>
  <c r="C426" i="5"/>
  <c r="E426" i="5"/>
  <c r="F426" i="5"/>
  <c r="G426" i="5"/>
  <c r="O426" i="5"/>
  <c r="P426" i="5"/>
  <c r="Q426" i="5"/>
  <c r="R426" i="5"/>
  <c r="S426" i="5"/>
  <c r="T426" i="5"/>
  <c r="U426" i="5"/>
  <c r="V426" i="5"/>
  <c r="W426" i="5"/>
  <c r="X426" i="5"/>
  <c r="A427" i="5"/>
  <c r="B427" i="5"/>
  <c r="C427" i="5"/>
  <c r="E427" i="5"/>
  <c r="F427" i="5"/>
  <c r="G427" i="5"/>
  <c r="O427" i="5"/>
  <c r="P427" i="5"/>
  <c r="Q427" i="5"/>
  <c r="R427" i="5"/>
  <c r="S427" i="5"/>
  <c r="T427" i="5"/>
  <c r="U427" i="5"/>
  <c r="V427" i="5"/>
  <c r="W427" i="5"/>
  <c r="X427" i="5"/>
  <c r="A428" i="5"/>
  <c r="B428" i="5"/>
  <c r="C428" i="5"/>
  <c r="E428" i="5"/>
  <c r="F428" i="5"/>
  <c r="G428" i="5"/>
  <c r="O428" i="5"/>
  <c r="P428" i="5"/>
  <c r="Q428" i="5"/>
  <c r="R428" i="5"/>
  <c r="S428" i="5"/>
  <c r="T428" i="5"/>
  <c r="U428" i="5"/>
  <c r="V428" i="5"/>
  <c r="W428" i="5"/>
  <c r="X428" i="5"/>
  <c r="A429" i="5"/>
  <c r="B429" i="5"/>
  <c r="C429" i="5"/>
  <c r="E429" i="5"/>
  <c r="F429" i="5"/>
  <c r="G429" i="5"/>
  <c r="O429" i="5"/>
  <c r="P429" i="5"/>
  <c r="Q429" i="5"/>
  <c r="R429" i="5"/>
  <c r="S429" i="5"/>
  <c r="T429" i="5"/>
  <c r="U429" i="5"/>
  <c r="V429" i="5"/>
  <c r="W429" i="5"/>
  <c r="X429" i="5"/>
  <c r="A430" i="5"/>
  <c r="B430" i="5"/>
  <c r="C430" i="5"/>
  <c r="E430" i="5"/>
  <c r="F430" i="5"/>
  <c r="G430" i="5"/>
  <c r="O430" i="5"/>
  <c r="P430" i="5"/>
  <c r="Q430" i="5"/>
  <c r="R430" i="5"/>
  <c r="S430" i="5"/>
  <c r="T430" i="5"/>
  <c r="U430" i="5"/>
  <c r="V430" i="5"/>
  <c r="W430" i="5"/>
  <c r="X430" i="5"/>
  <c r="A431" i="5"/>
  <c r="B431" i="5"/>
  <c r="C431" i="5"/>
  <c r="E431" i="5"/>
  <c r="F431" i="5"/>
  <c r="G431" i="5"/>
  <c r="O431" i="5"/>
  <c r="P431" i="5"/>
  <c r="Q431" i="5"/>
  <c r="R431" i="5"/>
  <c r="S431" i="5"/>
  <c r="T431" i="5"/>
  <c r="U431" i="5"/>
  <c r="V431" i="5"/>
  <c r="W431" i="5"/>
  <c r="X431" i="5"/>
  <c r="A432" i="5"/>
  <c r="B432" i="5"/>
  <c r="C432" i="5"/>
  <c r="E432" i="5"/>
  <c r="F432" i="5"/>
  <c r="G432" i="5"/>
  <c r="O432" i="5"/>
  <c r="P432" i="5"/>
  <c r="Q432" i="5"/>
  <c r="R432" i="5"/>
  <c r="S432" i="5"/>
  <c r="T432" i="5"/>
  <c r="U432" i="5"/>
  <c r="V432" i="5"/>
  <c r="W432" i="5"/>
  <c r="X432" i="5"/>
  <c r="A433" i="5"/>
  <c r="B433" i="5"/>
  <c r="C433" i="5"/>
  <c r="E433" i="5"/>
  <c r="F433" i="5"/>
  <c r="G433" i="5"/>
  <c r="O433" i="5"/>
  <c r="P433" i="5"/>
  <c r="Q433" i="5"/>
  <c r="R433" i="5"/>
  <c r="S433" i="5"/>
  <c r="T433" i="5"/>
  <c r="U433" i="5"/>
  <c r="V433" i="5"/>
  <c r="W433" i="5"/>
  <c r="X433" i="5"/>
  <c r="A434" i="5"/>
  <c r="B434" i="5"/>
  <c r="C434" i="5"/>
  <c r="E434" i="5"/>
  <c r="F434" i="5"/>
  <c r="G434" i="5"/>
  <c r="O434" i="5"/>
  <c r="P434" i="5"/>
  <c r="Q434" i="5"/>
  <c r="R434" i="5"/>
  <c r="S434" i="5"/>
  <c r="T434" i="5"/>
  <c r="U434" i="5"/>
  <c r="V434" i="5"/>
  <c r="W434" i="5"/>
  <c r="X434" i="5"/>
  <c r="A435" i="5"/>
  <c r="B435" i="5"/>
  <c r="C435" i="5"/>
  <c r="E435" i="5"/>
  <c r="F435" i="5"/>
  <c r="G435" i="5"/>
  <c r="O435" i="5"/>
  <c r="P435" i="5"/>
  <c r="Q435" i="5"/>
  <c r="R435" i="5"/>
  <c r="S435" i="5"/>
  <c r="T435" i="5"/>
  <c r="U435" i="5"/>
  <c r="V435" i="5"/>
  <c r="W435" i="5"/>
  <c r="X435" i="5"/>
  <c r="A436" i="5"/>
  <c r="B436" i="5"/>
  <c r="C436" i="5"/>
  <c r="E436" i="5"/>
  <c r="F436" i="5"/>
  <c r="G436" i="5"/>
  <c r="O436" i="5"/>
  <c r="P436" i="5"/>
  <c r="Q436" i="5"/>
  <c r="R436" i="5"/>
  <c r="S436" i="5"/>
  <c r="T436" i="5"/>
  <c r="U436" i="5"/>
  <c r="V436" i="5"/>
  <c r="W436" i="5"/>
  <c r="X436" i="5"/>
  <c r="A437" i="5"/>
  <c r="B437" i="5"/>
  <c r="C437" i="5"/>
  <c r="E437" i="5"/>
  <c r="F437" i="5"/>
  <c r="G437" i="5"/>
  <c r="O437" i="5"/>
  <c r="P437" i="5"/>
  <c r="Q437" i="5"/>
  <c r="R437" i="5"/>
  <c r="S437" i="5"/>
  <c r="T437" i="5"/>
  <c r="U437" i="5"/>
  <c r="V437" i="5"/>
  <c r="W437" i="5"/>
  <c r="X437" i="5"/>
  <c r="A438" i="5"/>
  <c r="B438" i="5"/>
  <c r="C438" i="5"/>
  <c r="E438" i="5"/>
  <c r="F438" i="5"/>
  <c r="G438" i="5"/>
  <c r="O438" i="5"/>
  <c r="P438" i="5"/>
  <c r="Q438" i="5"/>
  <c r="R438" i="5"/>
  <c r="S438" i="5"/>
  <c r="T438" i="5"/>
  <c r="U438" i="5"/>
  <c r="V438" i="5"/>
  <c r="W438" i="5"/>
  <c r="X438" i="5"/>
  <c r="A439" i="5"/>
  <c r="B439" i="5"/>
  <c r="C439" i="5"/>
  <c r="E439" i="5"/>
  <c r="F439" i="5"/>
  <c r="G439" i="5"/>
  <c r="O439" i="5"/>
  <c r="P439" i="5"/>
  <c r="Q439" i="5"/>
  <c r="R439" i="5"/>
  <c r="S439" i="5"/>
  <c r="T439" i="5"/>
  <c r="U439" i="5"/>
  <c r="V439" i="5"/>
  <c r="W439" i="5"/>
  <c r="X439" i="5"/>
  <c r="A440" i="5"/>
  <c r="B440" i="5"/>
  <c r="C440" i="5"/>
  <c r="E440" i="5"/>
  <c r="F440" i="5"/>
  <c r="G440" i="5"/>
  <c r="O440" i="5"/>
  <c r="P440" i="5"/>
  <c r="Q440" i="5"/>
  <c r="R440" i="5"/>
  <c r="S440" i="5"/>
  <c r="T440" i="5"/>
  <c r="U440" i="5"/>
  <c r="V440" i="5"/>
  <c r="W440" i="5"/>
  <c r="X440" i="5"/>
  <c r="A441" i="5"/>
  <c r="B441" i="5"/>
  <c r="C441" i="5"/>
  <c r="E441" i="5"/>
  <c r="F441" i="5"/>
  <c r="G441" i="5"/>
  <c r="O441" i="5"/>
  <c r="P441" i="5"/>
  <c r="Q441" i="5"/>
  <c r="R441" i="5"/>
  <c r="S441" i="5"/>
  <c r="T441" i="5"/>
  <c r="U441" i="5"/>
  <c r="V441" i="5"/>
  <c r="W441" i="5"/>
  <c r="X441" i="5"/>
  <c r="A442" i="5"/>
  <c r="B442" i="5"/>
  <c r="C442" i="5"/>
  <c r="E442" i="5"/>
  <c r="F442" i="5"/>
  <c r="G442" i="5"/>
  <c r="O442" i="5"/>
  <c r="P442" i="5"/>
  <c r="Q442" i="5"/>
  <c r="R442" i="5"/>
  <c r="S442" i="5"/>
  <c r="T442" i="5"/>
  <c r="U442" i="5"/>
  <c r="V442" i="5"/>
  <c r="W442" i="5"/>
  <c r="X442" i="5"/>
  <c r="A443" i="5"/>
  <c r="B443" i="5"/>
  <c r="C443" i="5"/>
  <c r="E443" i="5"/>
  <c r="F443" i="5"/>
  <c r="G443" i="5"/>
  <c r="O443" i="5"/>
  <c r="P443" i="5"/>
  <c r="Q443" i="5"/>
  <c r="R443" i="5"/>
  <c r="S443" i="5"/>
  <c r="T443" i="5"/>
  <c r="U443" i="5"/>
  <c r="V443" i="5"/>
  <c r="W443" i="5"/>
  <c r="X443" i="5"/>
  <c r="A444" i="5"/>
  <c r="B444" i="5"/>
  <c r="C444" i="5"/>
  <c r="E444" i="5"/>
  <c r="F444" i="5"/>
  <c r="G444" i="5"/>
  <c r="O444" i="5"/>
  <c r="P444" i="5"/>
  <c r="Q444" i="5"/>
  <c r="R444" i="5"/>
  <c r="S444" i="5"/>
  <c r="T444" i="5"/>
  <c r="U444" i="5"/>
  <c r="V444" i="5"/>
  <c r="W444" i="5"/>
  <c r="X444" i="5"/>
  <c r="A445" i="5"/>
  <c r="B445" i="5"/>
  <c r="C445" i="5"/>
  <c r="E445" i="5"/>
  <c r="F445" i="5"/>
  <c r="G445" i="5"/>
  <c r="O445" i="5"/>
  <c r="P445" i="5"/>
  <c r="Q445" i="5"/>
  <c r="R445" i="5"/>
  <c r="S445" i="5"/>
  <c r="T445" i="5"/>
  <c r="U445" i="5"/>
  <c r="V445" i="5"/>
  <c r="W445" i="5"/>
  <c r="X445" i="5"/>
  <c r="A446" i="5"/>
  <c r="B446" i="5"/>
  <c r="C446" i="5"/>
  <c r="E446" i="5"/>
  <c r="F446" i="5"/>
  <c r="G446" i="5"/>
  <c r="O446" i="5"/>
  <c r="P446" i="5"/>
  <c r="Q446" i="5"/>
  <c r="R446" i="5"/>
  <c r="S446" i="5"/>
  <c r="T446" i="5"/>
  <c r="U446" i="5"/>
  <c r="V446" i="5"/>
  <c r="W446" i="5"/>
  <c r="X446" i="5"/>
  <c r="A447" i="5"/>
  <c r="B447" i="5"/>
  <c r="C447" i="5"/>
  <c r="E447" i="5"/>
  <c r="F447" i="5"/>
  <c r="G447" i="5"/>
  <c r="O447" i="5"/>
  <c r="P447" i="5"/>
  <c r="Q447" i="5"/>
  <c r="R447" i="5"/>
  <c r="S447" i="5"/>
  <c r="T447" i="5"/>
  <c r="U447" i="5"/>
  <c r="V447" i="5"/>
  <c r="W447" i="5"/>
  <c r="X447" i="5"/>
  <c r="A448" i="5"/>
  <c r="B448" i="5"/>
  <c r="C448" i="5"/>
  <c r="E448" i="5"/>
  <c r="F448" i="5"/>
  <c r="G448" i="5"/>
  <c r="O448" i="5"/>
  <c r="P448" i="5"/>
  <c r="Q448" i="5"/>
  <c r="R448" i="5"/>
  <c r="S448" i="5"/>
  <c r="T448" i="5"/>
  <c r="U448" i="5"/>
  <c r="V448" i="5"/>
  <c r="W448" i="5"/>
  <c r="X448" i="5"/>
  <c r="A449" i="5"/>
  <c r="B449" i="5"/>
  <c r="C449" i="5"/>
  <c r="E449" i="5"/>
  <c r="F449" i="5"/>
  <c r="G449" i="5"/>
  <c r="O449" i="5"/>
  <c r="P449" i="5"/>
  <c r="Q449" i="5"/>
  <c r="R449" i="5"/>
  <c r="S449" i="5"/>
  <c r="T449" i="5"/>
  <c r="U449" i="5"/>
  <c r="V449" i="5"/>
  <c r="W449" i="5"/>
  <c r="X449" i="5"/>
  <c r="A450" i="5"/>
  <c r="B450" i="5"/>
  <c r="C450" i="5"/>
  <c r="E450" i="5"/>
  <c r="F450" i="5"/>
  <c r="G450" i="5"/>
  <c r="O450" i="5"/>
  <c r="P450" i="5"/>
  <c r="Q450" i="5"/>
  <c r="R450" i="5"/>
  <c r="S450" i="5"/>
  <c r="T450" i="5"/>
  <c r="U450" i="5"/>
  <c r="V450" i="5"/>
  <c r="W450" i="5"/>
  <c r="X450" i="5"/>
  <c r="A451" i="5"/>
  <c r="B451" i="5"/>
  <c r="C451" i="5"/>
  <c r="E451" i="5"/>
  <c r="F451" i="5"/>
  <c r="G451" i="5"/>
  <c r="O451" i="5"/>
  <c r="P451" i="5"/>
  <c r="Q451" i="5"/>
  <c r="R451" i="5"/>
  <c r="S451" i="5"/>
  <c r="T451" i="5"/>
  <c r="U451" i="5"/>
  <c r="V451" i="5"/>
  <c r="W451" i="5"/>
  <c r="X451" i="5"/>
  <c r="A452" i="5"/>
  <c r="B452" i="5"/>
  <c r="C452" i="5"/>
  <c r="E452" i="5"/>
  <c r="F452" i="5"/>
  <c r="G452" i="5"/>
  <c r="O452" i="5"/>
  <c r="P452" i="5"/>
  <c r="Q452" i="5"/>
  <c r="R452" i="5"/>
  <c r="S452" i="5"/>
  <c r="T452" i="5"/>
  <c r="U452" i="5"/>
  <c r="V452" i="5"/>
  <c r="W452" i="5"/>
  <c r="X452" i="5"/>
  <c r="A453" i="5"/>
  <c r="B453" i="5"/>
  <c r="C453" i="5"/>
  <c r="E453" i="5"/>
  <c r="F453" i="5"/>
  <c r="G453" i="5"/>
  <c r="O453" i="5"/>
  <c r="P453" i="5"/>
  <c r="Q453" i="5"/>
  <c r="R453" i="5"/>
  <c r="S453" i="5"/>
  <c r="T453" i="5"/>
  <c r="U453" i="5"/>
  <c r="V453" i="5"/>
  <c r="W453" i="5"/>
  <c r="X453" i="5"/>
  <c r="A454" i="5"/>
  <c r="B454" i="5"/>
  <c r="C454" i="5"/>
  <c r="E454" i="5"/>
  <c r="F454" i="5"/>
  <c r="G454" i="5"/>
  <c r="O454" i="5"/>
  <c r="P454" i="5"/>
  <c r="Q454" i="5"/>
  <c r="R454" i="5"/>
  <c r="S454" i="5"/>
  <c r="T454" i="5"/>
  <c r="U454" i="5"/>
  <c r="V454" i="5"/>
  <c r="W454" i="5"/>
  <c r="X454" i="5"/>
  <c r="A455" i="5"/>
  <c r="B455" i="5"/>
  <c r="C455" i="5"/>
  <c r="E455" i="5"/>
  <c r="F455" i="5"/>
  <c r="G455" i="5"/>
  <c r="O455" i="5"/>
  <c r="P455" i="5"/>
  <c r="Q455" i="5"/>
  <c r="R455" i="5"/>
  <c r="S455" i="5"/>
  <c r="T455" i="5"/>
  <c r="U455" i="5"/>
  <c r="V455" i="5"/>
  <c r="W455" i="5"/>
  <c r="X455" i="5"/>
  <c r="A456" i="5"/>
  <c r="B456" i="5"/>
  <c r="C456" i="5"/>
  <c r="E456" i="5"/>
  <c r="F456" i="5"/>
  <c r="G456" i="5"/>
  <c r="O456" i="5"/>
  <c r="P456" i="5"/>
  <c r="Q456" i="5"/>
  <c r="R456" i="5"/>
  <c r="S456" i="5"/>
  <c r="T456" i="5"/>
  <c r="U456" i="5"/>
  <c r="V456" i="5"/>
  <c r="W456" i="5"/>
  <c r="X456" i="5"/>
  <c r="A457" i="5"/>
  <c r="B457" i="5"/>
  <c r="C457" i="5"/>
  <c r="E457" i="5"/>
  <c r="F457" i="5"/>
  <c r="G457" i="5"/>
  <c r="O457" i="5"/>
  <c r="P457" i="5"/>
  <c r="Q457" i="5"/>
  <c r="R457" i="5"/>
  <c r="S457" i="5"/>
  <c r="T457" i="5"/>
  <c r="U457" i="5"/>
  <c r="V457" i="5"/>
  <c r="W457" i="5"/>
  <c r="X457" i="5"/>
  <c r="A458" i="5"/>
  <c r="B458" i="5"/>
  <c r="C458" i="5"/>
  <c r="E458" i="5"/>
  <c r="F458" i="5"/>
  <c r="G458" i="5"/>
  <c r="O458" i="5"/>
  <c r="P458" i="5"/>
  <c r="Q458" i="5"/>
  <c r="R458" i="5"/>
  <c r="S458" i="5"/>
  <c r="T458" i="5"/>
  <c r="U458" i="5"/>
  <c r="V458" i="5"/>
  <c r="W458" i="5"/>
  <c r="X458" i="5"/>
  <c r="A459" i="5"/>
  <c r="B459" i="5"/>
  <c r="C459" i="5"/>
  <c r="E459" i="5"/>
  <c r="F459" i="5"/>
  <c r="G459" i="5"/>
  <c r="O459" i="5"/>
  <c r="P459" i="5"/>
  <c r="Q459" i="5"/>
  <c r="R459" i="5"/>
  <c r="S459" i="5"/>
  <c r="T459" i="5"/>
  <c r="U459" i="5"/>
  <c r="V459" i="5"/>
  <c r="W459" i="5"/>
  <c r="X459" i="5"/>
  <c r="A460" i="5"/>
  <c r="B460" i="5"/>
  <c r="C460" i="5"/>
  <c r="E460" i="5"/>
  <c r="F460" i="5"/>
  <c r="G460" i="5"/>
  <c r="O460" i="5"/>
  <c r="P460" i="5"/>
  <c r="Q460" i="5"/>
  <c r="R460" i="5"/>
  <c r="S460" i="5"/>
  <c r="T460" i="5"/>
  <c r="U460" i="5"/>
  <c r="V460" i="5"/>
  <c r="W460" i="5"/>
  <c r="X460" i="5"/>
  <c r="A461" i="5"/>
  <c r="B461" i="5"/>
  <c r="C461" i="5"/>
  <c r="E461" i="5"/>
  <c r="F461" i="5"/>
  <c r="G461" i="5"/>
  <c r="O461" i="5"/>
  <c r="P461" i="5"/>
  <c r="Q461" i="5"/>
  <c r="R461" i="5"/>
  <c r="S461" i="5"/>
  <c r="T461" i="5"/>
  <c r="U461" i="5"/>
  <c r="V461" i="5"/>
  <c r="W461" i="5"/>
  <c r="X461" i="5"/>
  <c r="A462" i="5"/>
  <c r="B462" i="5"/>
  <c r="C462" i="5"/>
  <c r="E462" i="5"/>
  <c r="F462" i="5"/>
  <c r="G462" i="5"/>
  <c r="O462" i="5"/>
  <c r="P462" i="5"/>
  <c r="Q462" i="5"/>
  <c r="R462" i="5"/>
  <c r="S462" i="5"/>
  <c r="T462" i="5"/>
  <c r="U462" i="5"/>
  <c r="V462" i="5"/>
  <c r="W462" i="5"/>
  <c r="X462" i="5"/>
  <c r="A463" i="5"/>
  <c r="B463" i="5"/>
  <c r="C463" i="5"/>
  <c r="E463" i="5"/>
  <c r="F463" i="5"/>
  <c r="G463" i="5"/>
  <c r="O463" i="5"/>
  <c r="P463" i="5"/>
  <c r="Q463" i="5"/>
  <c r="R463" i="5"/>
  <c r="S463" i="5"/>
  <c r="T463" i="5"/>
  <c r="U463" i="5"/>
  <c r="V463" i="5"/>
  <c r="W463" i="5"/>
  <c r="X463" i="5"/>
  <c r="A464" i="5"/>
  <c r="B464" i="5"/>
  <c r="C464" i="5"/>
  <c r="E464" i="5"/>
  <c r="F464" i="5"/>
  <c r="G464" i="5"/>
  <c r="O464" i="5"/>
  <c r="P464" i="5"/>
  <c r="Q464" i="5"/>
  <c r="R464" i="5"/>
  <c r="S464" i="5"/>
  <c r="T464" i="5"/>
  <c r="U464" i="5"/>
  <c r="V464" i="5"/>
  <c r="W464" i="5"/>
  <c r="X464" i="5"/>
  <c r="A465" i="5"/>
  <c r="B465" i="5"/>
  <c r="C465" i="5"/>
  <c r="E465" i="5"/>
  <c r="F465" i="5"/>
  <c r="G465" i="5"/>
  <c r="O465" i="5"/>
  <c r="P465" i="5"/>
  <c r="Q465" i="5"/>
  <c r="R465" i="5"/>
  <c r="S465" i="5"/>
  <c r="T465" i="5"/>
  <c r="U465" i="5"/>
  <c r="V465" i="5"/>
  <c r="W465" i="5"/>
  <c r="X465" i="5"/>
  <c r="A466" i="5"/>
  <c r="B466" i="5"/>
  <c r="C466" i="5"/>
  <c r="E466" i="5"/>
  <c r="F466" i="5"/>
  <c r="G466" i="5"/>
  <c r="O466" i="5"/>
  <c r="P466" i="5"/>
  <c r="Q466" i="5"/>
  <c r="R466" i="5"/>
  <c r="S466" i="5"/>
  <c r="T466" i="5"/>
  <c r="U466" i="5"/>
  <c r="V466" i="5"/>
  <c r="W466" i="5"/>
  <c r="X466" i="5"/>
  <c r="A467" i="5"/>
  <c r="B467" i="5"/>
  <c r="C467" i="5"/>
  <c r="E467" i="5"/>
  <c r="F467" i="5"/>
  <c r="G467" i="5"/>
  <c r="O467" i="5"/>
  <c r="P467" i="5"/>
  <c r="Q467" i="5"/>
  <c r="R467" i="5"/>
  <c r="S467" i="5"/>
  <c r="T467" i="5"/>
  <c r="U467" i="5"/>
  <c r="V467" i="5"/>
  <c r="W467" i="5"/>
  <c r="X467" i="5"/>
  <c r="A468" i="5"/>
  <c r="B468" i="5"/>
  <c r="C468" i="5"/>
  <c r="E468" i="5"/>
  <c r="F468" i="5"/>
  <c r="G468" i="5"/>
  <c r="O468" i="5"/>
  <c r="P468" i="5"/>
  <c r="Q468" i="5"/>
  <c r="R468" i="5"/>
  <c r="S468" i="5"/>
  <c r="T468" i="5"/>
  <c r="U468" i="5"/>
  <c r="V468" i="5"/>
  <c r="W468" i="5"/>
  <c r="X468" i="5"/>
  <c r="A469" i="5"/>
  <c r="B469" i="5"/>
  <c r="C469" i="5"/>
  <c r="E469" i="5"/>
  <c r="F469" i="5"/>
  <c r="G469" i="5"/>
  <c r="O469" i="5"/>
  <c r="P469" i="5"/>
  <c r="Q469" i="5"/>
  <c r="R469" i="5"/>
  <c r="S469" i="5"/>
  <c r="T469" i="5"/>
  <c r="U469" i="5"/>
  <c r="V469" i="5"/>
  <c r="W469" i="5"/>
  <c r="X469" i="5"/>
  <c r="A470" i="5"/>
  <c r="B470" i="5"/>
  <c r="C470" i="5"/>
  <c r="E470" i="5"/>
  <c r="F470" i="5"/>
  <c r="G470" i="5"/>
  <c r="O470" i="5"/>
  <c r="P470" i="5"/>
  <c r="Q470" i="5"/>
  <c r="R470" i="5"/>
  <c r="S470" i="5"/>
  <c r="T470" i="5"/>
  <c r="U470" i="5"/>
  <c r="V470" i="5"/>
  <c r="W470" i="5"/>
  <c r="X470" i="5"/>
  <c r="A471" i="5"/>
  <c r="B471" i="5"/>
  <c r="C471" i="5"/>
  <c r="E471" i="5"/>
  <c r="F471" i="5"/>
  <c r="G471" i="5"/>
  <c r="O471" i="5"/>
  <c r="P471" i="5"/>
  <c r="Q471" i="5"/>
  <c r="R471" i="5"/>
  <c r="S471" i="5"/>
  <c r="T471" i="5"/>
  <c r="U471" i="5"/>
  <c r="V471" i="5"/>
  <c r="W471" i="5"/>
  <c r="X471" i="5"/>
  <c r="A472" i="5"/>
  <c r="B472" i="5"/>
  <c r="C472" i="5"/>
  <c r="E472" i="5"/>
  <c r="F472" i="5"/>
  <c r="G472" i="5"/>
  <c r="O472" i="5"/>
  <c r="P472" i="5"/>
  <c r="Q472" i="5"/>
  <c r="R472" i="5"/>
  <c r="S472" i="5"/>
  <c r="T472" i="5"/>
  <c r="U472" i="5"/>
  <c r="V472" i="5"/>
  <c r="W472" i="5"/>
  <c r="X472" i="5"/>
  <c r="A473" i="5"/>
  <c r="B473" i="5"/>
  <c r="C473" i="5"/>
  <c r="E473" i="5"/>
  <c r="F473" i="5"/>
  <c r="G473" i="5"/>
  <c r="O473" i="5"/>
  <c r="P473" i="5"/>
  <c r="Q473" i="5"/>
  <c r="R473" i="5"/>
  <c r="S473" i="5"/>
  <c r="T473" i="5"/>
  <c r="U473" i="5"/>
  <c r="V473" i="5"/>
  <c r="W473" i="5"/>
  <c r="X473" i="5"/>
  <c r="A474" i="5"/>
  <c r="B474" i="5"/>
  <c r="C474" i="5"/>
  <c r="E474" i="5"/>
  <c r="F474" i="5"/>
  <c r="G474" i="5"/>
  <c r="O474" i="5"/>
  <c r="P474" i="5"/>
  <c r="Q474" i="5"/>
  <c r="R474" i="5"/>
  <c r="S474" i="5"/>
  <c r="T474" i="5"/>
  <c r="U474" i="5"/>
  <c r="V474" i="5"/>
  <c r="W474" i="5"/>
  <c r="X474" i="5"/>
  <c r="A475" i="5"/>
  <c r="B475" i="5"/>
  <c r="C475" i="5"/>
  <c r="E475" i="5"/>
  <c r="F475" i="5"/>
  <c r="G475" i="5"/>
  <c r="O475" i="5"/>
  <c r="P475" i="5"/>
  <c r="Q475" i="5"/>
  <c r="R475" i="5"/>
  <c r="S475" i="5"/>
  <c r="T475" i="5"/>
  <c r="U475" i="5"/>
  <c r="V475" i="5"/>
  <c r="W475" i="5"/>
  <c r="X475" i="5"/>
  <c r="A476" i="5"/>
  <c r="B476" i="5"/>
  <c r="C476" i="5"/>
  <c r="E476" i="5"/>
  <c r="F476" i="5"/>
  <c r="G476" i="5"/>
  <c r="O476" i="5"/>
  <c r="P476" i="5"/>
  <c r="Q476" i="5"/>
  <c r="R476" i="5"/>
  <c r="S476" i="5"/>
  <c r="T476" i="5"/>
  <c r="U476" i="5"/>
  <c r="V476" i="5"/>
  <c r="W476" i="5"/>
  <c r="X476" i="5"/>
  <c r="A477" i="5"/>
  <c r="B477" i="5"/>
  <c r="C477" i="5"/>
  <c r="E477" i="5"/>
  <c r="F477" i="5"/>
  <c r="G477" i="5"/>
  <c r="O477" i="5"/>
  <c r="P477" i="5"/>
  <c r="Q477" i="5"/>
  <c r="R477" i="5"/>
  <c r="S477" i="5"/>
  <c r="T477" i="5"/>
  <c r="U477" i="5"/>
  <c r="V477" i="5"/>
  <c r="W477" i="5"/>
  <c r="X477" i="5"/>
  <c r="A478" i="5"/>
  <c r="B478" i="5"/>
  <c r="C478" i="5"/>
  <c r="E478" i="5"/>
  <c r="F478" i="5"/>
  <c r="G478" i="5"/>
  <c r="O478" i="5"/>
  <c r="P478" i="5"/>
  <c r="Q478" i="5"/>
  <c r="R478" i="5"/>
  <c r="S478" i="5"/>
  <c r="T478" i="5"/>
  <c r="U478" i="5"/>
  <c r="V478" i="5"/>
  <c r="W478" i="5"/>
  <c r="X478" i="5"/>
  <c r="A479" i="5"/>
  <c r="B479" i="5"/>
  <c r="C479" i="5"/>
  <c r="E479" i="5"/>
  <c r="F479" i="5"/>
  <c r="G479" i="5"/>
  <c r="O479" i="5"/>
  <c r="P479" i="5"/>
  <c r="Q479" i="5"/>
  <c r="R479" i="5"/>
  <c r="S479" i="5"/>
  <c r="T479" i="5"/>
  <c r="U479" i="5"/>
  <c r="V479" i="5"/>
  <c r="W479" i="5"/>
  <c r="X479" i="5"/>
  <c r="A480" i="5"/>
  <c r="B480" i="5"/>
  <c r="C480" i="5"/>
  <c r="E480" i="5"/>
  <c r="F480" i="5"/>
  <c r="G480" i="5"/>
  <c r="O480" i="5"/>
  <c r="P480" i="5"/>
  <c r="Q480" i="5"/>
  <c r="R480" i="5"/>
  <c r="S480" i="5"/>
  <c r="T480" i="5"/>
  <c r="U480" i="5"/>
  <c r="V480" i="5"/>
  <c r="W480" i="5"/>
  <c r="X480" i="5"/>
  <c r="A481" i="5"/>
  <c r="B481" i="5"/>
  <c r="C481" i="5"/>
  <c r="E481" i="5"/>
  <c r="F481" i="5"/>
  <c r="G481" i="5"/>
  <c r="O481" i="5"/>
  <c r="P481" i="5"/>
  <c r="Q481" i="5"/>
  <c r="R481" i="5"/>
  <c r="S481" i="5"/>
  <c r="T481" i="5"/>
  <c r="U481" i="5"/>
  <c r="V481" i="5"/>
  <c r="W481" i="5"/>
  <c r="X481" i="5"/>
  <c r="A482" i="5"/>
  <c r="B482" i="5"/>
  <c r="C482" i="5"/>
  <c r="E482" i="5"/>
  <c r="F482" i="5"/>
  <c r="G482" i="5"/>
  <c r="O482" i="5"/>
  <c r="P482" i="5"/>
  <c r="Q482" i="5"/>
  <c r="R482" i="5"/>
  <c r="S482" i="5"/>
  <c r="T482" i="5"/>
  <c r="U482" i="5"/>
  <c r="V482" i="5"/>
  <c r="W482" i="5"/>
  <c r="X482" i="5"/>
  <c r="A483" i="5"/>
  <c r="B483" i="5"/>
  <c r="C483" i="5"/>
  <c r="E483" i="5"/>
  <c r="F483" i="5"/>
  <c r="G483" i="5"/>
  <c r="O483" i="5"/>
  <c r="P483" i="5"/>
  <c r="Q483" i="5"/>
  <c r="R483" i="5"/>
  <c r="S483" i="5"/>
  <c r="T483" i="5"/>
  <c r="U483" i="5"/>
  <c r="V483" i="5"/>
  <c r="W483" i="5"/>
  <c r="X483" i="5"/>
  <c r="A484" i="5"/>
  <c r="B484" i="5"/>
  <c r="C484" i="5"/>
  <c r="E484" i="5"/>
  <c r="F484" i="5"/>
  <c r="G484" i="5"/>
  <c r="O484" i="5"/>
  <c r="P484" i="5"/>
  <c r="Q484" i="5"/>
  <c r="R484" i="5"/>
  <c r="S484" i="5"/>
  <c r="T484" i="5"/>
  <c r="U484" i="5"/>
  <c r="V484" i="5"/>
  <c r="W484" i="5"/>
  <c r="X484" i="5"/>
  <c r="A485" i="5"/>
  <c r="B485" i="5"/>
  <c r="C485" i="5"/>
  <c r="E485" i="5"/>
  <c r="F485" i="5"/>
  <c r="G485" i="5"/>
  <c r="O485" i="5"/>
  <c r="P485" i="5"/>
  <c r="Q485" i="5"/>
  <c r="R485" i="5"/>
  <c r="S485" i="5"/>
  <c r="T485" i="5"/>
  <c r="U485" i="5"/>
  <c r="V485" i="5"/>
  <c r="W485" i="5"/>
  <c r="X485" i="5"/>
  <c r="A486" i="5"/>
  <c r="B486" i="5"/>
  <c r="C486" i="5"/>
  <c r="E486" i="5"/>
  <c r="F486" i="5"/>
  <c r="G486" i="5"/>
  <c r="O486" i="5"/>
  <c r="P486" i="5"/>
  <c r="Q486" i="5"/>
  <c r="R486" i="5"/>
  <c r="S486" i="5"/>
  <c r="T486" i="5"/>
  <c r="U486" i="5"/>
  <c r="V486" i="5"/>
  <c r="W486" i="5"/>
  <c r="X486" i="5"/>
  <c r="A487" i="5"/>
  <c r="B487" i="5"/>
  <c r="C487" i="5"/>
  <c r="E487" i="5"/>
  <c r="F487" i="5"/>
  <c r="G487" i="5"/>
  <c r="O487" i="5"/>
  <c r="P487" i="5"/>
  <c r="Q487" i="5"/>
  <c r="R487" i="5"/>
  <c r="S487" i="5"/>
  <c r="T487" i="5"/>
  <c r="U487" i="5"/>
  <c r="V487" i="5"/>
  <c r="W487" i="5"/>
  <c r="X487" i="5"/>
  <c r="A488" i="5"/>
  <c r="B488" i="5"/>
  <c r="C488" i="5"/>
  <c r="E488" i="5"/>
  <c r="F488" i="5"/>
  <c r="G488" i="5"/>
  <c r="O488" i="5"/>
  <c r="P488" i="5"/>
  <c r="Q488" i="5"/>
  <c r="R488" i="5"/>
  <c r="S488" i="5"/>
  <c r="T488" i="5"/>
  <c r="U488" i="5"/>
  <c r="V488" i="5"/>
  <c r="W488" i="5"/>
  <c r="X488" i="5"/>
  <c r="A489" i="5"/>
  <c r="B489" i="5"/>
  <c r="C489" i="5"/>
  <c r="E489" i="5"/>
  <c r="F489" i="5"/>
  <c r="G489" i="5"/>
  <c r="O489" i="5"/>
  <c r="P489" i="5"/>
  <c r="Q489" i="5"/>
  <c r="R489" i="5"/>
  <c r="S489" i="5"/>
  <c r="T489" i="5"/>
  <c r="U489" i="5"/>
  <c r="V489" i="5"/>
  <c r="W489" i="5"/>
  <c r="X489" i="5"/>
  <c r="A490" i="5"/>
  <c r="B490" i="5"/>
  <c r="C490" i="5"/>
  <c r="E490" i="5"/>
  <c r="F490" i="5"/>
  <c r="G490" i="5"/>
  <c r="O490" i="5"/>
  <c r="P490" i="5"/>
  <c r="Q490" i="5"/>
  <c r="R490" i="5"/>
  <c r="S490" i="5"/>
  <c r="T490" i="5"/>
  <c r="U490" i="5"/>
  <c r="V490" i="5"/>
  <c r="W490" i="5"/>
  <c r="X490" i="5"/>
  <c r="A491" i="5"/>
  <c r="B491" i="5"/>
  <c r="C491" i="5"/>
  <c r="E491" i="5"/>
  <c r="F491" i="5"/>
  <c r="G491" i="5"/>
  <c r="O491" i="5"/>
  <c r="P491" i="5"/>
  <c r="Q491" i="5"/>
  <c r="R491" i="5"/>
  <c r="S491" i="5"/>
  <c r="T491" i="5"/>
  <c r="U491" i="5"/>
  <c r="V491" i="5"/>
  <c r="W491" i="5"/>
  <c r="X491" i="5"/>
  <c r="A492" i="5"/>
  <c r="B492" i="5"/>
  <c r="C492" i="5"/>
  <c r="E492" i="5"/>
  <c r="F492" i="5"/>
  <c r="G492" i="5"/>
  <c r="O492" i="5"/>
  <c r="P492" i="5"/>
  <c r="Q492" i="5"/>
  <c r="R492" i="5"/>
  <c r="S492" i="5"/>
  <c r="T492" i="5"/>
  <c r="U492" i="5"/>
  <c r="V492" i="5"/>
  <c r="W492" i="5"/>
  <c r="X492" i="5"/>
  <c r="A493" i="5"/>
  <c r="B493" i="5"/>
  <c r="C493" i="5"/>
  <c r="E493" i="5"/>
  <c r="F493" i="5"/>
  <c r="G493" i="5"/>
  <c r="O493" i="5"/>
  <c r="P493" i="5"/>
  <c r="Q493" i="5"/>
  <c r="R493" i="5"/>
  <c r="S493" i="5"/>
  <c r="T493" i="5"/>
  <c r="U493" i="5"/>
  <c r="V493" i="5"/>
  <c r="W493" i="5"/>
  <c r="X493" i="5"/>
  <c r="A494" i="5"/>
  <c r="B494" i="5"/>
  <c r="C494" i="5"/>
  <c r="E494" i="5"/>
  <c r="F494" i="5"/>
  <c r="G494" i="5"/>
  <c r="O494" i="5"/>
  <c r="P494" i="5"/>
  <c r="Q494" i="5"/>
  <c r="R494" i="5"/>
  <c r="S494" i="5"/>
  <c r="T494" i="5"/>
  <c r="U494" i="5"/>
  <c r="V494" i="5"/>
  <c r="W494" i="5"/>
  <c r="X494" i="5"/>
  <c r="A495" i="5"/>
  <c r="B495" i="5"/>
  <c r="C495" i="5"/>
  <c r="E495" i="5"/>
  <c r="F495" i="5"/>
  <c r="G495" i="5"/>
  <c r="O495" i="5"/>
  <c r="P495" i="5"/>
  <c r="Q495" i="5"/>
  <c r="R495" i="5"/>
  <c r="S495" i="5"/>
  <c r="T495" i="5"/>
  <c r="U495" i="5"/>
  <c r="V495" i="5"/>
  <c r="W495" i="5"/>
  <c r="X495" i="5"/>
  <c r="A496" i="5"/>
  <c r="B496" i="5"/>
  <c r="C496" i="5"/>
  <c r="E496" i="5"/>
  <c r="F496" i="5"/>
  <c r="G496" i="5"/>
  <c r="O496" i="5"/>
  <c r="P496" i="5"/>
  <c r="Q496" i="5"/>
  <c r="R496" i="5"/>
  <c r="S496" i="5"/>
  <c r="T496" i="5"/>
  <c r="U496" i="5"/>
  <c r="V496" i="5"/>
  <c r="W496" i="5"/>
  <c r="X496" i="5"/>
  <c r="A497" i="5"/>
  <c r="B497" i="5"/>
  <c r="C497" i="5"/>
  <c r="E497" i="5"/>
  <c r="F497" i="5"/>
  <c r="G497" i="5"/>
  <c r="O497" i="5"/>
  <c r="P497" i="5"/>
  <c r="Q497" i="5"/>
  <c r="R497" i="5"/>
  <c r="S497" i="5"/>
  <c r="T497" i="5"/>
  <c r="U497" i="5"/>
  <c r="V497" i="5"/>
  <c r="W497" i="5"/>
  <c r="X497" i="5"/>
  <c r="A498" i="5"/>
  <c r="B498" i="5"/>
  <c r="C498" i="5"/>
  <c r="E498" i="5"/>
  <c r="F498" i="5"/>
  <c r="G498" i="5"/>
  <c r="O498" i="5"/>
  <c r="P498" i="5"/>
  <c r="Q498" i="5"/>
  <c r="R498" i="5"/>
  <c r="S498" i="5"/>
  <c r="T498" i="5"/>
  <c r="U498" i="5"/>
  <c r="V498" i="5"/>
  <c r="W498" i="5"/>
  <c r="X498" i="5"/>
  <c r="A499" i="5"/>
  <c r="B499" i="5"/>
  <c r="C499" i="5"/>
  <c r="E499" i="5"/>
  <c r="F499" i="5"/>
  <c r="G499" i="5"/>
  <c r="O499" i="5"/>
  <c r="P499" i="5"/>
  <c r="Q499" i="5"/>
  <c r="R499" i="5"/>
  <c r="S499" i="5"/>
  <c r="T499" i="5"/>
  <c r="U499" i="5"/>
  <c r="V499" i="5"/>
  <c r="W499" i="5"/>
  <c r="X499" i="5"/>
  <c r="A500" i="5"/>
  <c r="B500" i="5"/>
  <c r="C500" i="5"/>
  <c r="E500" i="5"/>
  <c r="F500" i="5"/>
  <c r="G500" i="5"/>
  <c r="O500" i="5"/>
  <c r="P500" i="5"/>
  <c r="Q500" i="5"/>
  <c r="R500" i="5"/>
  <c r="S500" i="5"/>
  <c r="T500" i="5"/>
  <c r="U500" i="5"/>
  <c r="V500" i="5"/>
  <c r="W500" i="5"/>
  <c r="X500" i="5"/>
  <c r="A501" i="5"/>
  <c r="B501" i="5"/>
  <c r="C501" i="5"/>
  <c r="E501" i="5"/>
  <c r="F501" i="5"/>
  <c r="G501" i="5"/>
  <c r="O501" i="5"/>
  <c r="P501" i="5"/>
  <c r="Q501" i="5"/>
  <c r="R501" i="5"/>
  <c r="S501" i="5"/>
  <c r="T501" i="5"/>
  <c r="U501" i="5"/>
  <c r="V501" i="5"/>
  <c r="W501" i="5"/>
  <c r="X501" i="5"/>
  <c r="A502" i="5"/>
  <c r="B502" i="5"/>
  <c r="C502" i="5"/>
  <c r="E502" i="5"/>
  <c r="F502" i="5"/>
  <c r="G502" i="5"/>
  <c r="O502" i="5"/>
  <c r="P502" i="5"/>
  <c r="Q502" i="5"/>
  <c r="R502" i="5"/>
  <c r="S502" i="5"/>
  <c r="T502" i="5"/>
  <c r="U502" i="5"/>
  <c r="V502" i="5"/>
  <c r="W502" i="5"/>
  <c r="X502" i="5"/>
  <c r="A503" i="5"/>
  <c r="B503" i="5"/>
  <c r="C503" i="5"/>
  <c r="E503" i="5"/>
  <c r="F503" i="5"/>
  <c r="G503" i="5"/>
  <c r="O503" i="5"/>
  <c r="P503" i="5"/>
  <c r="Q503" i="5"/>
  <c r="R503" i="5"/>
  <c r="S503" i="5"/>
  <c r="T503" i="5"/>
  <c r="U503" i="5"/>
  <c r="V503" i="5"/>
  <c r="W503" i="5"/>
  <c r="X503" i="5"/>
  <c r="A504" i="5"/>
  <c r="B504" i="5"/>
  <c r="C504" i="5"/>
  <c r="E504" i="5"/>
  <c r="F504" i="5"/>
  <c r="G504" i="5"/>
  <c r="O504" i="5"/>
  <c r="P504" i="5"/>
  <c r="Q504" i="5"/>
  <c r="R504" i="5"/>
  <c r="S504" i="5"/>
  <c r="T504" i="5"/>
  <c r="U504" i="5"/>
  <c r="V504" i="5"/>
  <c r="W504" i="5"/>
  <c r="X504" i="5"/>
  <c r="A505" i="5"/>
  <c r="B505" i="5"/>
  <c r="C505" i="5"/>
  <c r="E505" i="5"/>
  <c r="F505" i="5"/>
  <c r="G505" i="5"/>
  <c r="O505" i="5"/>
  <c r="P505" i="5"/>
  <c r="Q505" i="5"/>
  <c r="R505" i="5"/>
  <c r="S505" i="5"/>
  <c r="T505" i="5"/>
  <c r="U505" i="5"/>
  <c r="V505" i="5"/>
  <c r="W505" i="5"/>
  <c r="X505" i="5"/>
  <c r="A506" i="5"/>
  <c r="B506" i="5"/>
  <c r="C506" i="5"/>
  <c r="E506" i="5"/>
  <c r="F506" i="5"/>
  <c r="G506" i="5"/>
  <c r="O506" i="5"/>
  <c r="P506" i="5"/>
  <c r="Q506" i="5"/>
  <c r="R506" i="5"/>
  <c r="S506" i="5"/>
  <c r="T506" i="5"/>
  <c r="U506" i="5"/>
  <c r="V506" i="5"/>
  <c r="W506" i="5"/>
  <c r="X506" i="5"/>
  <c r="A507" i="5"/>
  <c r="B507" i="5"/>
  <c r="C507" i="5"/>
  <c r="E507" i="5"/>
  <c r="F507" i="5"/>
  <c r="G507" i="5"/>
  <c r="O507" i="5"/>
  <c r="P507" i="5"/>
  <c r="Q507" i="5"/>
  <c r="R507" i="5"/>
  <c r="S507" i="5"/>
  <c r="T507" i="5"/>
  <c r="U507" i="5"/>
  <c r="V507" i="5"/>
  <c r="W507" i="5"/>
  <c r="X507" i="5"/>
  <c r="A508" i="5"/>
  <c r="B508" i="5"/>
  <c r="C508" i="5"/>
  <c r="E508" i="5"/>
  <c r="F508" i="5"/>
  <c r="G508" i="5"/>
  <c r="O508" i="5"/>
  <c r="P508" i="5"/>
  <c r="Q508" i="5"/>
  <c r="R508" i="5"/>
  <c r="S508" i="5"/>
  <c r="T508" i="5"/>
  <c r="U508" i="5"/>
  <c r="V508" i="5"/>
  <c r="W508" i="5"/>
  <c r="X508" i="5"/>
  <c r="A509" i="5"/>
  <c r="B509" i="5"/>
  <c r="C509" i="5"/>
  <c r="E509" i="5"/>
  <c r="F509" i="5"/>
  <c r="G509" i="5"/>
  <c r="O509" i="5"/>
  <c r="P509" i="5"/>
  <c r="Q509" i="5"/>
  <c r="R509" i="5"/>
  <c r="S509" i="5"/>
  <c r="T509" i="5"/>
  <c r="U509" i="5"/>
  <c r="V509" i="5"/>
  <c r="W509" i="5"/>
  <c r="X509" i="5"/>
  <c r="A510" i="5"/>
  <c r="B510" i="5"/>
  <c r="C510" i="5"/>
  <c r="E510" i="5"/>
  <c r="F510" i="5"/>
  <c r="G510" i="5"/>
  <c r="O510" i="5"/>
  <c r="P510" i="5"/>
  <c r="Q510" i="5"/>
  <c r="R510" i="5"/>
  <c r="S510" i="5"/>
  <c r="T510" i="5"/>
  <c r="U510" i="5"/>
  <c r="V510" i="5"/>
  <c r="W510" i="5"/>
  <c r="X510" i="5"/>
  <c r="A511" i="5"/>
  <c r="B511" i="5"/>
  <c r="C511" i="5"/>
  <c r="E511" i="5"/>
  <c r="F511" i="5"/>
  <c r="G511" i="5"/>
  <c r="O511" i="5"/>
  <c r="P511" i="5"/>
  <c r="Q511" i="5"/>
  <c r="R511" i="5"/>
  <c r="S511" i="5"/>
  <c r="T511" i="5"/>
  <c r="U511" i="5"/>
  <c r="V511" i="5"/>
  <c r="W511" i="5"/>
  <c r="X511" i="5"/>
  <c r="A512" i="5"/>
  <c r="B512" i="5"/>
  <c r="C512" i="5"/>
  <c r="E512" i="5"/>
  <c r="F512" i="5"/>
  <c r="G512" i="5"/>
  <c r="O512" i="5"/>
  <c r="P512" i="5"/>
  <c r="Q512" i="5"/>
  <c r="R512" i="5"/>
  <c r="S512" i="5"/>
  <c r="T512" i="5"/>
  <c r="U512" i="5"/>
  <c r="V512" i="5"/>
  <c r="W512" i="5"/>
  <c r="X512" i="5"/>
  <c r="A513" i="5"/>
  <c r="B513" i="5"/>
  <c r="C513" i="5"/>
  <c r="E513" i="5"/>
  <c r="F513" i="5"/>
  <c r="G513" i="5"/>
  <c r="O513" i="5"/>
  <c r="P513" i="5"/>
  <c r="Q513" i="5"/>
  <c r="R513" i="5"/>
  <c r="S513" i="5"/>
  <c r="T513" i="5"/>
  <c r="U513" i="5"/>
  <c r="V513" i="5"/>
  <c r="W513" i="5"/>
  <c r="X513" i="5"/>
  <c r="A514" i="5"/>
  <c r="B514" i="5"/>
  <c r="C514" i="5"/>
  <c r="E514" i="5"/>
  <c r="F514" i="5"/>
  <c r="G514" i="5"/>
  <c r="O514" i="5"/>
  <c r="P514" i="5"/>
  <c r="Q514" i="5"/>
  <c r="R514" i="5"/>
  <c r="S514" i="5"/>
  <c r="T514" i="5"/>
  <c r="U514" i="5"/>
  <c r="V514" i="5"/>
  <c r="W514" i="5"/>
  <c r="X514" i="5"/>
  <c r="A515" i="5"/>
  <c r="B515" i="5"/>
  <c r="C515" i="5"/>
  <c r="E515" i="5"/>
  <c r="F515" i="5"/>
  <c r="G515" i="5"/>
  <c r="O515" i="5"/>
  <c r="P515" i="5"/>
  <c r="Q515" i="5"/>
  <c r="R515" i="5"/>
  <c r="S515" i="5"/>
  <c r="T515" i="5"/>
  <c r="U515" i="5"/>
  <c r="V515" i="5"/>
  <c r="W515" i="5"/>
  <c r="X515" i="5"/>
  <c r="A516" i="5"/>
  <c r="B516" i="5"/>
  <c r="C516" i="5"/>
  <c r="E516" i="5"/>
  <c r="F516" i="5"/>
  <c r="G516" i="5"/>
  <c r="O516" i="5"/>
  <c r="P516" i="5"/>
  <c r="Q516" i="5"/>
  <c r="R516" i="5"/>
  <c r="S516" i="5"/>
  <c r="T516" i="5"/>
  <c r="U516" i="5"/>
  <c r="V516" i="5"/>
  <c r="W516" i="5"/>
  <c r="X516" i="5"/>
  <c r="A517" i="5"/>
  <c r="B517" i="5"/>
  <c r="C517" i="5"/>
  <c r="E517" i="5"/>
  <c r="F517" i="5"/>
  <c r="G517" i="5"/>
  <c r="O517" i="5"/>
  <c r="P517" i="5"/>
  <c r="Q517" i="5"/>
  <c r="R517" i="5"/>
  <c r="S517" i="5"/>
  <c r="T517" i="5"/>
  <c r="U517" i="5"/>
  <c r="V517" i="5"/>
  <c r="W517" i="5"/>
  <c r="X517" i="5"/>
  <c r="A518" i="5"/>
  <c r="B518" i="5"/>
  <c r="C518" i="5"/>
  <c r="E518" i="5"/>
  <c r="F518" i="5"/>
  <c r="G518" i="5"/>
  <c r="O518" i="5"/>
  <c r="P518" i="5"/>
  <c r="Q518" i="5"/>
  <c r="R518" i="5"/>
  <c r="S518" i="5"/>
  <c r="T518" i="5"/>
  <c r="U518" i="5"/>
  <c r="V518" i="5"/>
  <c r="W518" i="5"/>
  <c r="X518" i="5"/>
  <c r="A519" i="5"/>
  <c r="B519" i="5"/>
  <c r="C519" i="5"/>
  <c r="E519" i="5"/>
  <c r="F519" i="5"/>
  <c r="G519" i="5"/>
  <c r="O519" i="5"/>
  <c r="P519" i="5"/>
  <c r="Q519" i="5"/>
  <c r="R519" i="5"/>
  <c r="S519" i="5"/>
  <c r="T519" i="5"/>
  <c r="U519" i="5"/>
  <c r="V519" i="5"/>
  <c r="W519" i="5"/>
  <c r="X519" i="5"/>
  <c r="A520" i="5"/>
  <c r="B520" i="5"/>
  <c r="C520" i="5"/>
  <c r="E520" i="5"/>
  <c r="F520" i="5"/>
  <c r="G520" i="5"/>
  <c r="O520" i="5"/>
  <c r="P520" i="5"/>
  <c r="Q520" i="5"/>
  <c r="R520" i="5"/>
  <c r="S520" i="5"/>
  <c r="T520" i="5"/>
  <c r="U520" i="5"/>
  <c r="V520" i="5"/>
  <c r="W520" i="5"/>
  <c r="X520" i="5"/>
  <c r="A521" i="5"/>
  <c r="B521" i="5"/>
  <c r="C521" i="5"/>
  <c r="E521" i="5"/>
  <c r="F521" i="5"/>
  <c r="G521" i="5"/>
  <c r="O521" i="5"/>
  <c r="P521" i="5"/>
  <c r="Q521" i="5"/>
  <c r="R521" i="5"/>
  <c r="S521" i="5"/>
  <c r="T521" i="5"/>
  <c r="U521" i="5"/>
  <c r="V521" i="5"/>
  <c r="W521" i="5"/>
  <c r="X521" i="5"/>
  <c r="A522" i="5"/>
  <c r="B522" i="5"/>
  <c r="C522" i="5"/>
  <c r="E522" i="5"/>
  <c r="F522" i="5"/>
  <c r="G522" i="5"/>
  <c r="O522" i="5"/>
  <c r="P522" i="5"/>
  <c r="Q522" i="5"/>
  <c r="R522" i="5"/>
  <c r="S522" i="5"/>
  <c r="T522" i="5"/>
  <c r="U522" i="5"/>
  <c r="V522" i="5"/>
  <c r="W522" i="5"/>
  <c r="X522" i="5"/>
  <c r="A523" i="5"/>
  <c r="B523" i="5"/>
  <c r="C523" i="5"/>
  <c r="E523" i="5"/>
  <c r="F523" i="5"/>
  <c r="G523" i="5"/>
  <c r="O523" i="5"/>
  <c r="P523" i="5"/>
  <c r="Q523" i="5"/>
  <c r="R523" i="5"/>
  <c r="S523" i="5"/>
  <c r="T523" i="5"/>
  <c r="U523" i="5"/>
  <c r="V523" i="5"/>
  <c r="W523" i="5"/>
  <c r="X523" i="5"/>
  <c r="A524" i="5"/>
  <c r="B524" i="5"/>
  <c r="C524" i="5"/>
  <c r="E524" i="5"/>
  <c r="F524" i="5"/>
  <c r="G524" i="5"/>
  <c r="O524" i="5"/>
  <c r="P524" i="5"/>
  <c r="Q524" i="5"/>
  <c r="R524" i="5"/>
  <c r="S524" i="5"/>
  <c r="T524" i="5"/>
  <c r="U524" i="5"/>
  <c r="V524" i="5"/>
  <c r="W524" i="5"/>
  <c r="X524" i="5"/>
  <c r="A525" i="5"/>
  <c r="B525" i="5"/>
  <c r="C525" i="5"/>
  <c r="E525" i="5"/>
  <c r="F525" i="5"/>
  <c r="G525" i="5"/>
  <c r="O525" i="5"/>
  <c r="P525" i="5"/>
  <c r="Q525" i="5"/>
  <c r="R525" i="5"/>
  <c r="S525" i="5"/>
  <c r="T525" i="5"/>
  <c r="U525" i="5"/>
  <c r="V525" i="5"/>
  <c r="W525" i="5"/>
  <c r="X525" i="5"/>
  <c r="A526" i="5"/>
  <c r="B526" i="5"/>
  <c r="C526" i="5"/>
  <c r="E526" i="5"/>
  <c r="F526" i="5"/>
  <c r="G526" i="5"/>
  <c r="O526" i="5"/>
  <c r="P526" i="5"/>
  <c r="Q526" i="5"/>
  <c r="R526" i="5"/>
  <c r="S526" i="5"/>
  <c r="T526" i="5"/>
  <c r="U526" i="5"/>
  <c r="V526" i="5"/>
  <c r="W526" i="5"/>
  <c r="X526" i="5"/>
  <c r="A527" i="5"/>
  <c r="B527" i="5"/>
  <c r="C527" i="5"/>
  <c r="E527" i="5"/>
  <c r="F527" i="5"/>
  <c r="G527" i="5"/>
  <c r="O527" i="5"/>
  <c r="P527" i="5"/>
  <c r="Q527" i="5"/>
  <c r="R527" i="5"/>
  <c r="S527" i="5"/>
  <c r="T527" i="5"/>
  <c r="U527" i="5"/>
  <c r="V527" i="5"/>
  <c r="W527" i="5"/>
  <c r="X527" i="5"/>
  <c r="A528" i="5"/>
  <c r="B528" i="5"/>
  <c r="C528" i="5"/>
  <c r="E528" i="5"/>
  <c r="F528" i="5"/>
  <c r="G528" i="5"/>
  <c r="O528" i="5"/>
  <c r="P528" i="5"/>
  <c r="Q528" i="5"/>
  <c r="R528" i="5"/>
  <c r="S528" i="5"/>
  <c r="T528" i="5"/>
  <c r="U528" i="5"/>
  <c r="V528" i="5"/>
  <c r="W528" i="5"/>
  <c r="X528" i="5"/>
  <c r="A529" i="5"/>
  <c r="B529" i="5"/>
  <c r="C529" i="5"/>
  <c r="E529" i="5"/>
  <c r="F529" i="5"/>
  <c r="G529" i="5"/>
  <c r="O529" i="5"/>
  <c r="P529" i="5"/>
  <c r="Q529" i="5"/>
  <c r="R529" i="5"/>
  <c r="S529" i="5"/>
  <c r="T529" i="5"/>
  <c r="U529" i="5"/>
  <c r="V529" i="5"/>
  <c r="W529" i="5"/>
  <c r="X529" i="5"/>
  <c r="A530" i="5"/>
  <c r="B530" i="5"/>
  <c r="C530" i="5"/>
  <c r="E530" i="5"/>
  <c r="F530" i="5"/>
  <c r="G530" i="5"/>
  <c r="O530" i="5"/>
  <c r="P530" i="5"/>
  <c r="Q530" i="5"/>
  <c r="R530" i="5"/>
  <c r="S530" i="5"/>
  <c r="T530" i="5"/>
  <c r="U530" i="5"/>
  <c r="V530" i="5"/>
  <c r="W530" i="5"/>
  <c r="X530" i="5"/>
  <c r="A531" i="5"/>
  <c r="B531" i="5"/>
  <c r="C531" i="5"/>
  <c r="E531" i="5"/>
  <c r="F531" i="5"/>
  <c r="G531" i="5"/>
  <c r="O531" i="5"/>
  <c r="P531" i="5"/>
  <c r="Q531" i="5"/>
  <c r="R531" i="5"/>
  <c r="S531" i="5"/>
  <c r="T531" i="5"/>
  <c r="U531" i="5"/>
  <c r="V531" i="5"/>
  <c r="W531" i="5"/>
  <c r="X531" i="5"/>
  <c r="A532" i="5"/>
  <c r="B532" i="5"/>
  <c r="C532" i="5"/>
  <c r="E532" i="5"/>
  <c r="F532" i="5"/>
  <c r="G532" i="5"/>
  <c r="O532" i="5"/>
  <c r="P532" i="5"/>
  <c r="Q532" i="5"/>
  <c r="R532" i="5"/>
  <c r="S532" i="5"/>
  <c r="T532" i="5"/>
  <c r="U532" i="5"/>
  <c r="V532" i="5"/>
  <c r="W532" i="5"/>
  <c r="X532" i="5"/>
  <c r="A533" i="5"/>
  <c r="B533" i="5"/>
  <c r="C533" i="5"/>
  <c r="E533" i="5"/>
  <c r="F533" i="5"/>
  <c r="G533" i="5"/>
  <c r="O533" i="5"/>
  <c r="P533" i="5"/>
  <c r="Q533" i="5"/>
  <c r="R533" i="5"/>
  <c r="S533" i="5"/>
  <c r="T533" i="5"/>
  <c r="U533" i="5"/>
  <c r="V533" i="5"/>
  <c r="W533" i="5"/>
  <c r="X533" i="5"/>
  <c r="A534" i="5"/>
  <c r="B534" i="5"/>
  <c r="C534" i="5"/>
  <c r="E534" i="5"/>
  <c r="F534" i="5"/>
  <c r="G534" i="5"/>
  <c r="O534" i="5"/>
  <c r="P534" i="5"/>
  <c r="Q534" i="5"/>
  <c r="R534" i="5"/>
  <c r="S534" i="5"/>
  <c r="T534" i="5"/>
  <c r="U534" i="5"/>
  <c r="V534" i="5"/>
  <c r="W534" i="5"/>
  <c r="X534" i="5"/>
  <c r="A535" i="5"/>
  <c r="B535" i="5"/>
  <c r="C535" i="5"/>
  <c r="E535" i="5"/>
  <c r="F535" i="5"/>
  <c r="G535" i="5"/>
  <c r="O535" i="5"/>
  <c r="P535" i="5"/>
  <c r="Q535" i="5"/>
  <c r="R535" i="5"/>
  <c r="S535" i="5"/>
  <c r="T535" i="5"/>
  <c r="U535" i="5"/>
  <c r="V535" i="5"/>
  <c r="W535" i="5"/>
  <c r="X535" i="5"/>
  <c r="A536" i="5"/>
  <c r="B536" i="5"/>
  <c r="C536" i="5"/>
  <c r="E536" i="5"/>
  <c r="F536" i="5"/>
  <c r="G536" i="5"/>
  <c r="O536" i="5"/>
  <c r="P536" i="5"/>
  <c r="Q536" i="5"/>
  <c r="R536" i="5"/>
  <c r="S536" i="5"/>
  <c r="T536" i="5"/>
  <c r="U536" i="5"/>
  <c r="V536" i="5"/>
  <c r="W536" i="5"/>
  <c r="X536" i="5"/>
  <c r="A537" i="5"/>
  <c r="B537" i="5"/>
  <c r="C537" i="5"/>
  <c r="E537" i="5"/>
  <c r="F537" i="5"/>
  <c r="G537" i="5"/>
  <c r="O537" i="5"/>
  <c r="P537" i="5"/>
  <c r="Q537" i="5"/>
  <c r="R537" i="5"/>
  <c r="S537" i="5"/>
  <c r="T537" i="5"/>
  <c r="U537" i="5"/>
  <c r="V537" i="5"/>
  <c r="W537" i="5"/>
  <c r="X537" i="5"/>
  <c r="A538" i="5"/>
  <c r="B538" i="5"/>
  <c r="C538" i="5"/>
  <c r="E538" i="5"/>
  <c r="F538" i="5"/>
  <c r="G538" i="5"/>
  <c r="O538" i="5"/>
  <c r="P538" i="5"/>
  <c r="Q538" i="5"/>
  <c r="R538" i="5"/>
  <c r="S538" i="5"/>
  <c r="T538" i="5"/>
  <c r="U538" i="5"/>
  <c r="V538" i="5"/>
  <c r="W538" i="5"/>
  <c r="X538" i="5"/>
  <c r="A539" i="5"/>
  <c r="B539" i="5"/>
  <c r="C539" i="5"/>
  <c r="E539" i="5"/>
  <c r="F539" i="5"/>
  <c r="G539" i="5"/>
  <c r="O539" i="5"/>
  <c r="P539" i="5"/>
  <c r="Q539" i="5"/>
  <c r="R539" i="5"/>
  <c r="S539" i="5"/>
  <c r="T539" i="5"/>
  <c r="U539" i="5"/>
  <c r="V539" i="5"/>
  <c r="W539" i="5"/>
  <c r="X539" i="5"/>
  <c r="A540" i="5"/>
  <c r="B540" i="5"/>
  <c r="C540" i="5"/>
  <c r="E540" i="5"/>
  <c r="F540" i="5"/>
  <c r="G540" i="5"/>
  <c r="O540" i="5"/>
  <c r="P540" i="5"/>
  <c r="Q540" i="5"/>
  <c r="R540" i="5"/>
  <c r="S540" i="5"/>
  <c r="T540" i="5"/>
  <c r="U540" i="5"/>
  <c r="V540" i="5"/>
  <c r="W540" i="5"/>
  <c r="X540" i="5"/>
  <c r="A541" i="5"/>
  <c r="B541" i="5"/>
  <c r="C541" i="5"/>
  <c r="E541" i="5"/>
  <c r="F541" i="5"/>
  <c r="G541" i="5"/>
  <c r="O541" i="5"/>
  <c r="P541" i="5"/>
  <c r="Q541" i="5"/>
  <c r="R541" i="5"/>
  <c r="S541" i="5"/>
  <c r="T541" i="5"/>
  <c r="U541" i="5"/>
  <c r="V541" i="5"/>
  <c r="W541" i="5"/>
  <c r="X541" i="5"/>
  <c r="A542" i="5"/>
  <c r="B542" i="5"/>
  <c r="C542" i="5"/>
  <c r="E542" i="5"/>
  <c r="F542" i="5"/>
  <c r="G542" i="5"/>
  <c r="O542" i="5"/>
  <c r="P542" i="5"/>
  <c r="Q542" i="5"/>
  <c r="R542" i="5"/>
  <c r="S542" i="5"/>
  <c r="T542" i="5"/>
  <c r="U542" i="5"/>
  <c r="V542" i="5"/>
  <c r="W542" i="5"/>
  <c r="X542" i="5"/>
  <c r="A543" i="5"/>
  <c r="B543" i="5"/>
  <c r="C543" i="5"/>
  <c r="E543" i="5"/>
  <c r="F543" i="5"/>
  <c r="G543" i="5"/>
  <c r="O543" i="5"/>
  <c r="P543" i="5"/>
  <c r="Q543" i="5"/>
  <c r="R543" i="5"/>
  <c r="S543" i="5"/>
  <c r="T543" i="5"/>
  <c r="U543" i="5"/>
  <c r="V543" i="5"/>
  <c r="W543" i="5"/>
  <c r="X543" i="5"/>
  <c r="A544" i="5"/>
  <c r="B544" i="5"/>
  <c r="C544" i="5"/>
  <c r="E544" i="5"/>
  <c r="F544" i="5"/>
  <c r="G544" i="5"/>
  <c r="O544" i="5"/>
  <c r="P544" i="5"/>
  <c r="Q544" i="5"/>
  <c r="R544" i="5"/>
  <c r="S544" i="5"/>
  <c r="T544" i="5"/>
  <c r="U544" i="5"/>
  <c r="V544" i="5"/>
  <c r="W544" i="5"/>
  <c r="X544" i="5"/>
  <c r="A545" i="5"/>
  <c r="B545" i="5"/>
  <c r="C545" i="5"/>
  <c r="E545" i="5"/>
  <c r="F545" i="5"/>
  <c r="G545" i="5"/>
  <c r="O545" i="5"/>
  <c r="P545" i="5"/>
  <c r="Q545" i="5"/>
  <c r="R545" i="5"/>
  <c r="S545" i="5"/>
  <c r="T545" i="5"/>
  <c r="U545" i="5"/>
  <c r="V545" i="5"/>
  <c r="W545" i="5"/>
  <c r="X545" i="5"/>
  <c r="A546" i="5"/>
  <c r="B546" i="5"/>
  <c r="C546" i="5"/>
  <c r="E546" i="5"/>
  <c r="F546" i="5"/>
  <c r="G546" i="5"/>
  <c r="O546" i="5"/>
  <c r="P546" i="5"/>
  <c r="Q546" i="5"/>
  <c r="R546" i="5"/>
  <c r="S546" i="5"/>
  <c r="T546" i="5"/>
  <c r="U546" i="5"/>
  <c r="V546" i="5"/>
  <c r="W546" i="5"/>
  <c r="X546" i="5"/>
  <c r="A547" i="5"/>
  <c r="B547" i="5"/>
  <c r="C547" i="5"/>
  <c r="E547" i="5"/>
  <c r="F547" i="5"/>
  <c r="G547" i="5"/>
  <c r="O547" i="5"/>
  <c r="P547" i="5"/>
  <c r="Q547" i="5"/>
  <c r="R547" i="5"/>
  <c r="S547" i="5"/>
  <c r="T547" i="5"/>
  <c r="U547" i="5"/>
  <c r="V547" i="5"/>
  <c r="W547" i="5"/>
  <c r="X547" i="5"/>
  <c r="A548" i="5"/>
  <c r="B548" i="5"/>
  <c r="C548" i="5"/>
  <c r="E548" i="5"/>
  <c r="F548" i="5"/>
  <c r="G548" i="5"/>
  <c r="O548" i="5"/>
  <c r="P548" i="5"/>
  <c r="Q548" i="5"/>
  <c r="R548" i="5"/>
  <c r="S548" i="5"/>
  <c r="T548" i="5"/>
  <c r="U548" i="5"/>
  <c r="V548" i="5"/>
  <c r="W548" i="5"/>
  <c r="X548" i="5"/>
  <c r="A549" i="5"/>
  <c r="B549" i="5"/>
  <c r="C549" i="5"/>
  <c r="E549" i="5"/>
  <c r="F549" i="5"/>
  <c r="G549" i="5"/>
  <c r="O549" i="5"/>
  <c r="P549" i="5"/>
  <c r="Q549" i="5"/>
  <c r="R549" i="5"/>
  <c r="S549" i="5"/>
  <c r="T549" i="5"/>
  <c r="U549" i="5"/>
  <c r="V549" i="5"/>
  <c r="W549" i="5"/>
  <c r="X549" i="5"/>
  <c r="A550" i="5"/>
  <c r="B550" i="5"/>
  <c r="C550" i="5"/>
  <c r="E550" i="5"/>
  <c r="F550" i="5"/>
  <c r="G550" i="5"/>
  <c r="O550" i="5"/>
  <c r="P550" i="5"/>
  <c r="Q550" i="5"/>
  <c r="R550" i="5"/>
  <c r="S550" i="5"/>
  <c r="T550" i="5"/>
  <c r="U550" i="5"/>
  <c r="V550" i="5"/>
  <c r="W550" i="5"/>
  <c r="X550" i="5"/>
  <c r="A551" i="5"/>
  <c r="B551" i="5"/>
  <c r="C551" i="5"/>
  <c r="E551" i="5"/>
  <c r="F551" i="5"/>
  <c r="G551" i="5"/>
  <c r="O551" i="5"/>
  <c r="P551" i="5"/>
  <c r="Q551" i="5"/>
  <c r="R551" i="5"/>
  <c r="S551" i="5"/>
  <c r="T551" i="5"/>
  <c r="U551" i="5"/>
  <c r="V551" i="5"/>
  <c r="W551" i="5"/>
  <c r="X551" i="5"/>
  <c r="A552" i="5"/>
  <c r="B552" i="5"/>
  <c r="C552" i="5"/>
  <c r="E552" i="5"/>
  <c r="F552" i="5"/>
  <c r="G552" i="5"/>
  <c r="O552" i="5"/>
  <c r="P552" i="5"/>
  <c r="Q552" i="5"/>
  <c r="R552" i="5"/>
  <c r="S552" i="5"/>
  <c r="T552" i="5"/>
  <c r="U552" i="5"/>
  <c r="V552" i="5"/>
  <c r="W552" i="5"/>
  <c r="X552" i="5"/>
  <c r="A553" i="5"/>
  <c r="B553" i="5"/>
  <c r="C553" i="5"/>
  <c r="E553" i="5"/>
  <c r="F553" i="5"/>
  <c r="G553" i="5"/>
  <c r="O553" i="5"/>
  <c r="P553" i="5"/>
  <c r="Q553" i="5"/>
  <c r="R553" i="5"/>
  <c r="S553" i="5"/>
  <c r="T553" i="5"/>
  <c r="U553" i="5"/>
  <c r="V553" i="5"/>
  <c r="W553" i="5"/>
  <c r="X553" i="5"/>
  <c r="A554" i="5"/>
  <c r="B554" i="5"/>
  <c r="C554" i="5"/>
  <c r="E554" i="5"/>
  <c r="F554" i="5"/>
  <c r="G554" i="5"/>
  <c r="O554" i="5"/>
  <c r="P554" i="5"/>
  <c r="Q554" i="5"/>
  <c r="R554" i="5"/>
  <c r="S554" i="5"/>
  <c r="T554" i="5"/>
  <c r="U554" i="5"/>
  <c r="V554" i="5"/>
  <c r="W554" i="5"/>
  <c r="X554" i="5"/>
  <c r="A555" i="5"/>
  <c r="B555" i="5"/>
  <c r="C555" i="5"/>
  <c r="E555" i="5"/>
  <c r="F555" i="5"/>
  <c r="G555" i="5"/>
  <c r="O555" i="5"/>
  <c r="P555" i="5"/>
  <c r="Q555" i="5"/>
  <c r="R555" i="5"/>
  <c r="S555" i="5"/>
  <c r="T555" i="5"/>
  <c r="U555" i="5"/>
  <c r="V555" i="5"/>
  <c r="W555" i="5"/>
  <c r="X555" i="5"/>
  <c r="A556" i="5"/>
  <c r="B556" i="5"/>
  <c r="C556" i="5"/>
  <c r="E556" i="5"/>
  <c r="F556" i="5"/>
  <c r="G556" i="5"/>
  <c r="O556" i="5"/>
  <c r="P556" i="5"/>
  <c r="Q556" i="5"/>
  <c r="R556" i="5"/>
  <c r="S556" i="5"/>
  <c r="T556" i="5"/>
  <c r="U556" i="5"/>
  <c r="V556" i="5"/>
  <c r="W556" i="5"/>
  <c r="X556" i="5"/>
  <c r="A557" i="5"/>
  <c r="B557" i="5"/>
  <c r="C557" i="5"/>
  <c r="E557" i="5"/>
  <c r="F557" i="5"/>
  <c r="G557" i="5"/>
  <c r="O557" i="5"/>
  <c r="P557" i="5"/>
  <c r="Q557" i="5"/>
  <c r="R557" i="5"/>
  <c r="S557" i="5"/>
  <c r="T557" i="5"/>
  <c r="U557" i="5"/>
  <c r="V557" i="5"/>
  <c r="W557" i="5"/>
  <c r="X557" i="5"/>
  <c r="A558" i="5"/>
  <c r="B558" i="5"/>
  <c r="C558" i="5"/>
  <c r="E558" i="5"/>
  <c r="F558" i="5"/>
  <c r="G558" i="5"/>
  <c r="O558" i="5"/>
  <c r="P558" i="5"/>
  <c r="Q558" i="5"/>
  <c r="R558" i="5"/>
  <c r="S558" i="5"/>
  <c r="T558" i="5"/>
  <c r="U558" i="5"/>
  <c r="V558" i="5"/>
  <c r="W558" i="5"/>
  <c r="X558" i="5"/>
  <c r="A559" i="5"/>
  <c r="B559" i="5"/>
  <c r="C559" i="5"/>
  <c r="E559" i="5"/>
  <c r="F559" i="5"/>
  <c r="G559" i="5"/>
  <c r="O559" i="5"/>
  <c r="P559" i="5"/>
  <c r="Q559" i="5"/>
  <c r="R559" i="5"/>
  <c r="S559" i="5"/>
  <c r="T559" i="5"/>
  <c r="U559" i="5"/>
  <c r="V559" i="5"/>
  <c r="W559" i="5"/>
  <c r="X559" i="5"/>
  <c r="A560" i="5"/>
  <c r="B560" i="5"/>
  <c r="C560" i="5"/>
  <c r="E560" i="5"/>
  <c r="F560" i="5"/>
  <c r="G560" i="5"/>
  <c r="O560" i="5"/>
  <c r="P560" i="5"/>
  <c r="Q560" i="5"/>
  <c r="R560" i="5"/>
  <c r="S560" i="5"/>
  <c r="T560" i="5"/>
  <c r="U560" i="5"/>
  <c r="V560" i="5"/>
  <c r="W560" i="5"/>
  <c r="X560" i="5"/>
  <c r="A561" i="5"/>
  <c r="B561" i="5"/>
  <c r="C561" i="5"/>
  <c r="E561" i="5"/>
  <c r="F561" i="5"/>
  <c r="G561" i="5"/>
  <c r="O561" i="5"/>
  <c r="P561" i="5"/>
  <c r="Q561" i="5"/>
  <c r="R561" i="5"/>
  <c r="S561" i="5"/>
  <c r="T561" i="5"/>
  <c r="U561" i="5"/>
  <c r="V561" i="5"/>
  <c r="W561" i="5"/>
  <c r="X561" i="5"/>
  <c r="A562" i="5"/>
  <c r="B562" i="5"/>
  <c r="C562" i="5"/>
  <c r="E562" i="5"/>
  <c r="F562" i="5"/>
  <c r="G562" i="5"/>
  <c r="O562" i="5"/>
  <c r="P562" i="5"/>
  <c r="Q562" i="5"/>
  <c r="R562" i="5"/>
  <c r="S562" i="5"/>
  <c r="T562" i="5"/>
  <c r="U562" i="5"/>
  <c r="V562" i="5"/>
  <c r="W562" i="5"/>
  <c r="X562" i="5"/>
  <c r="A563" i="5"/>
  <c r="B563" i="5"/>
  <c r="C563" i="5"/>
  <c r="E563" i="5"/>
  <c r="F563" i="5"/>
  <c r="G563" i="5"/>
  <c r="O563" i="5"/>
  <c r="P563" i="5"/>
  <c r="Q563" i="5"/>
  <c r="R563" i="5"/>
  <c r="S563" i="5"/>
  <c r="T563" i="5"/>
  <c r="U563" i="5"/>
  <c r="V563" i="5"/>
  <c r="W563" i="5"/>
  <c r="X563" i="5"/>
  <c r="A564" i="5"/>
  <c r="B564" i="5"/>
  <c r="C564" i="5"/>
  <c r="E564" i="5"/>
  <c r="F564" i="5"/>
  <c r="G564" i="5"/>
  <c r="O564" i="5"/>
  <c r="P564" i="5"/>
  <c r="Q564" i="5"/>
  <c r="R564" i="5"/>
  <c r="S564" i="5"/>
  <c r="T564" i="5"/>
  <c r="U564" i="5"/>
  <c r="V564" i="5"/>
  <c r="W564" i="5"/>
  <c r="X564" i="5"/>
  <c r="A565" i="5"/>
  <c r="B565" i="5"/>
  <c r="C565" i="5"/>
  <c r="E565" i="5"/>
  <c r="F565" i="5"/>
  <c r="G565" i="5"/>
  <c r="O565" i="5"/>
  <c r="P565" i="5"/>
  <c r="Q565" i="5"/>
  <c r="R565" i="5"/>
  <c r="S565" i="5"/>
  <c r="T565" i="5"/>
  <c r="U565" i="5"/>
  <c r="V565" i="5"/>
  <c r="W565" i="5"/>
  <c r="X565" i="5"/>
  <c r="A566" i="5"/>
  <c r="B566" i="5"/>
  <c r="C566" i="5"/>
  <c r="E566" i="5"/>
  <c r="F566" i="5"/>
  <c r="G566" i="5"/>
  <c r="O566" i="5"/>
  <c r="P566" i="5"/>
  <c r="Q566" i="5"/>
  <c r="R566" i="5"/>
  <c r="S566" i="5"/>
  <c r="T566" i="5"/>
  <c r="U566" i="5"/>
  <c r="V566" i="5"/>
  <c r="W566" i="5"/>
  <c r="X566" i="5"/>
  <c r="A567" i="5"/>
  <c r="B567" i="5"/>
  <c r="C567" i="5"/>
  <c r="E567" i="5"/>
  <c r="F567" i="5"/>
  <c r="G567" i="5"/>
  <c r="O567" i="5"/>
  <c r="P567" i="5"/>
  <c r="Q567" i="5"/>
  <c r="R567" i="5"/>
  <c r="S567" i="5"/>
  <c r="T567" i="5"/>
  <c r="U567" i="5"/>
  <c r="V567" i="5"/>
  <c r="W567" i="5"/>
  <c r="X567" i="5"/>
  <c r="A568" i="5"/>
  <c r="B568" i="5"/>
  <c r="C568" i="5"/>
  <c r="E568" i="5"/>
  <c r="F568" i="5"/>
  <c r="G568" i="5"/>
  <c r="O568" i="5"/>
  <c r="P568" i="5"/>
  <c r="Q568" i="5"/>
  <c r="R568" i="5"/>
  <c r="S568" i="5"/>
  <c r="T568" i="5"/>
  <c r="U568" i="5"/>
  <c r="V568" i="5"/>
  <c r="W568" i="5"/>
  <c r="X568" i="5"/>
  <c r="A569" i="5"/>
  <c r="B569" i="5"/>
  <c r="C569" i="5"/>
  <c r="E569" i="5"/>
  <c r="F569" i="5"/>
  <c r="G569" i="5"/>
  <c r="O569" i="5"/>
  <c r="P569" i="5"/>
  <c r="Q569" i="5"/>
  <c r="R569" i="5"/>
  <c r="S569" i="5"/>
  <c r="T569" i="5"/>
  <c r="U569" i="5"/>
  <c r="V569" i="5"/>
  <c r="W569" i="5"/>
  <c r="X569" i="5"/>
  <c r="A570" i="5"/>
  <c r="B570" i="5"/>
  <c r="C570" i="5"/>
  <c r="E570" i="5"/>
  <c r="F570" i="5"/>
  <c r="G570" i="5"/>
  <c r="O570" i="5"/>
  <c r="P570" i="5"/>
  <c r="Q570" i="5"/>
  <c r="R570" i="5"/>
  <c r="S570" i="5"/>
  <c r="T570" i="5"/>
  <c r="U570" i="5"/>
  <c r="V570" i="5"/>
  <c r="W570" i="5"/>
  <c r="X570" i="5"/>
  <c r="A571" i="5"/>
  <c r="B571" i="5"/>
  <c r="C571" i="5"/>
  <c r="E571" i="5"/>
  <c r="F571" i="5"/>
  <c r="G571" i="5"/>
  <c r="O571" i="5"/>
  <c r="P571" i="5"/>
  <c r="Q571" i="5"/>
  <c r="R571" i="5"/>
  <c r="S571" i="5"/>
  <c r="T571" i="5"/>
  <c r="U571" i="5"/>
  <c r="V571" i="5"/>
  <c r="W571" i="5"/>
  <c r="X571" i="5"/>
  <c r="A572" i="5"/>
  <c r="B572" i="5"/>
  <c r="C572" i="5"/>
  <c r="E572" i="5"/>
  <c r="F572" i="5"/>
  <c r="G572" i="5"/>
  <c r="O572" i="5"/>
  <c r="P572" i="5"/>
  <c r="Q572" i="5"/>
  <c r="R572" i="5"/>
  <c r="S572" i="5"/>
  <c r="T572" i="5"/>
  <c r="U572" i="5"/>
  <c r="V572" i="5"/>
  <c r="W572" i="5"/>
  <c r="X572" i="5"/>
  <c r="A573" i="5"/>
  <c r="B573" i="5"/>
  <c r="C573" i="5"/>
  <c r="E573" i="5"/>
  <c r="F573" i="5"/>
  <c r="G573" i="5"/>
  <c r="O573" i="5"/>
  <c r="P573" i="5"/>
  <c r="Q573" i="5"/>
  <c r="R573" i="5"/>
  <c r="S573" i="5"/>
  <c r="T573" i="5"/>
  <c r="U573" i="5"/>
  <c r="V573" i="5"/>
  <c r="W573" i="5"/>
  <c r="X573" i="5"/>
  <c r="A574" i="5"/>
  <c r="B574" i="5"/>
  <c r="C574" i="5"/>
  <c r="E574" i="5"/>
  <c r="F574" i="5"/>
  <c r="G574" i="5"/>
  <c r="O574" i="5"/>
  <c r="P574" i="5"/>
  <c r="Q574" i="5"/>
  <c r="R574" i="5"/>
  <c r="S574" i="5"/>
  <c r="T574" i="5"/>
  <c r="U574" i="5"/>
  <c r="V574" i="5"/>
  <c r="W574" i="5"/>
  <c r="X574" i="5"/>
  <c r="A575" i="5"/>
  <c r="B575" i="5"/>
  <c r="C575" i="5"/>
  <c r="E575" i="5"/>
  <c r="F575" i="5"/>
  <c r="G575" i="5"/>
  <c r="O575" i="5"/>
  <c r="P575" i="5"/>
  <c r="Q575" i="5"/>
  <c r="R575" i="5"/>
  <c r="S575" i="5"/>
  <c r="T575" i="5"/>
  <c r="U575" i="5"/>
  <c r="V575" i="5"/>
  <c r="W575" i="5"/>
  <c r="X575" i="5"/>
  <c r="A576" i="5"/>
  <c r="B576" i="5"/>
  <c r="C576" i="5"/>
  <c r="E576" i="5"/>
  <c r="F576" i="5"/>
  <c r="G576" i="5"/>
  <c r="O576" i="5"/>
  <c r="P576" i="5"/>
  <c r="Q576" i="5"/>
  <c r="R576" i="5"/>
  <c r="S576" i="5"/>
  <c r="T576" i="5"/>
  <c r="U576" i="5"/>
  <c r="V576" i="5"/>
  <c r="W576" i="5"/>
  <c r="X576" i="5"/>
  <c r="A577" i="5"/>
  <c r="B577" i="5"/>
  <c r="C577" i="5"/>
  <c r="E577" i="5"/>
  <c r="F577" i="5"/>
  <c r="G577" i="5"/>
  <c r="O577" i="5"/>
  <c r="P577" i="5"/>
  <c r="Q577" i="5"/>
  <c r="R577" i="5"/>
  <c r="S577" i="5"/>
  <c r="T577" i="5"/>
  <c r="U577" i="5"/>
  <c r="V577" i="5"/>
  <c r="W577" i="5"/>
  <c r="X577" i="5"/>
  <c r="A578" i="5"/>
  <c r="B578" i="5"/>
  <c r="C578" i="5"/>
  <c r="E578" i="5"/>
  <c r="F578" i="5"/>
  <c r="G578" i="5"/>
  <c r="O578" i="5"/>
  <c r="P578" i="5"/>
  <c r="Q578" i="5"/>
  <c r="R578" i="5"/>
  <c r="S578" i="5"/>
  <c r="T578" i="5"/>
  <c r="U578" i="5"/>
  <c r="V578" i="5"/>
  <c r="W578" i="5"/>
  <c r="X578" i="5"/>
  <c r="A579" i="5"/>
  <c r="B579" i="5"/>
  <c r="C579" i="5"/>
  <c r="E579" i="5"/>
  <c r="F579" i="5"/>
  <c r="G579" i="5"/>
  <c r="O579" i="5"/>
  <c r="P579" i="5"/>
  <c r="Q579" i="5"/>
  <c r="R579" i="5"/>
  <c r="S579" i="5"/>
  <c r="T579" i="5"/>
  <c r="U579" i="5"/>
  <c r="V579" i="5"/>
  <c r="W579" i="5"/>
  <c r="X579" i="5"/>
  <c r="A580" i="5"/>
  <c r="B580" i="5"/>
  <c r="C580" i="5"/>
  <c r="E580" i="5"/>
  <c r="F580" i="5"/>
  <c r="G580" i="5"/>
  <c r="O580" i="5"/>
  <c r="P580" i="5"/>
  <c r="Q580" i="5"/>
  <c r="R580" i="5"/>
  <c r="S580" i="5"/>
  <c r="T580" i="5"/>
  <c r="U580" i="5"/>
  <c r="V580" i="5"/>
  <c r="W580" i="5"/>
  <c r="X580" i="5"/>
  <c r="A581" i="5"/>
  <c r="B581" i="5"/>
  <c r="C581" i="5"/>
  <c r="E581" i="5"/>
  <c r="F581" i="5"/>
  <c r="G581" i="5"/>
  <c r="O581" i="5"/>
  <c r="P581" i="5"/>
  <c r="Q581" i="5"/>
  <c r="R581" i="5"/>
  <c r="S581" i="5"/>
  <c r="T581" i="5"/>
  <c r="U581" i="5"/>
  <c r="V581" i="5"/>
  <c r="W581" i="5"/>
  <c r="X581" i="5"/>
  <c r="A582" i="5"/>
  <c r="B582" i="5"/>
  <c r="C582" i="5"/>
  <c r="E582" i="5"/>
  <c r="F582" i="5"/>
  <c r="G582" i="5"/>
  <c r="O582" i="5"/>
  <c r="P582" i="5"/>
  <c r="Q582" i="5"/>
  <c r="R582" i="5"/>
  <c r="S582" i="5"/>
  <c r="T582" i="5"/>
  <c r="U582" i="5"/>
  <c r="V582" i="5"/>
  <c r="W582" i="5"/>
  <c r="X582" i="5"/>
  <c r="A583" i="5"/>
  <c r="B583" i="5"/>
  <c r="C583" i="5"/>
  <c r="E583" i="5"/>
  <c r="F583" i="5"/>
  <c r="G583" i="5"/>
  <c r="O583" i="5"/>
  <c r="P583" i="5"/>
  <c r="Q583" i="5"/>
  <c r="R583" i="5"/>
  <c r="S583" i="5"/>
  <c r="T583" i="5"/>
  <c r="U583" i="5"/>
  <c r="V583" i="5"/>
  <c r="W583" i="5"/>
  <c r="X583" i="5"/>
  <c r="A584" i="5"/>
  <c r="B584" i="5"/>
  <c r="C584" i="5"/>
  <c r="E584" i="5"/>
  <c r="F584" i="5"/>
  <c r="G584" i="5"/>
  <c r="O584" i="5"/>
  <c r="P584" i="5"/>
  <c r="Q584" i="5"/>
  <c r="R584" i="5"/>
  <c r="S584" i="5"/>
  <c r="T584" i="5"/>
  <c r="U584" i="5"/>
  <c r="V584" i="5"/>
  <c r="W584" i="5"/>
  <c r="X584" i="5"/>
  <c r="A585" i="5"/>
  <c r="B585" i="5"/>
  <c r="C585" i="5"/>
  <c r="E585" i="5"/>
  <c r="F585" i="5"/>
  <c r="G585" i="5"/>
  <c r="O585" i="5"/>
  <c r="P585" i="5"/>
  <c r="Q585" i="5"/>
  <c r="R585" i="5"/>
  <c r="S585" i="5"/>
  <c r="T585" i="5"/>
  <c r="U585" i="5"/>
  <c r="V585" i="5"/>
  <c r="W585" i="5"/>
  <c r="X585" i="5"/>
  <c r="A586" i="5"/>
  <c r="B586" i="5"/>
  <c r="C586" i="5"/>
  <c r="E586" i="5"/>
  <c r="F586" i="5"/>
  <c r="G586" i="5"/>
  <c r="O586" i="5"/>
  <c r="P586" i="5"/>
  <c r="Q586" i="5"/>
  <c r="R586" i="5"/>
  <c r="S586" i="5"/>
  <c r="T586" i="5"/>
  <c r="U586" i="5"/>
  <c r="V586" i="5"/>
  <c r="W586" i="5"/>
  <c r="X586" i="5"/>
  <c r="A587" i="5"/>
  <c r="B587" i="5"/>
  <c r="C587" i="5"/>
  <c r="E587" i="5"/>
  <c r="F587" i="5"/>
  <c r="G587" i="5"/>
  <c r="O587" i="5"/>
  <c r="P587" i="5"/>
  <c r="Q587" i="5"/>
  <c r="R587" i="5"/>
  <c r="S587" i="5"/>
  <c r="T587" i="5"/>
  <c r="U587" i="5"/>
  <c r="V587" i="5"/>
  <c r="W587" i="5"/>
  <c r="X587" i="5"/>
  <c r="A588" i="5"/>
  <c r="B588" i="5"/>
  <c r="C588" i="5"/>
  <c r="E588" i="5"/>
  <c r="F588" i="5"/>
  <c r="G588" i="5"/>
  <c r="O588" i="5"/>
  <c r="P588" i="5"/>
  <c r="Q588" i="5"/>
  <c r="R588" i="5"/>
  <c r="S588" i="5"/>
  <c r="T588" i="5"/>
  <c r="U588" i="5"/>
  <c r="V588" i="5"/>
  <c r="W588" i="5"/>
  <c r="X588" i="5"/>
  <c r="A589" i="5"/>
  <c r="B589" i="5"/>
  <c r="C589" i="5"/>
  <c r="E589" i="5"/>
  <c r="F589" i="5"/>
  <c r="G589" i="5"/>
  <c r="O589" i="5"/>
  <c r="P589" i="5"/>
  <c r="Q589" i="5"/>
  <c r="R589" i="5"/>
  <c r="S589" i="5"/>
  <c r="T589" i="5"/>
  <c r="U589" i="5"/>
  <c r="V589" i="5"/>
  <c r="W589" i="5"/>
  <c r="X589" i="5"/>
  <c r="A590" i="5"/>
  <c r="B590" i="5"/>
  <c r="C590" i="5"/>
  <c r="E590" i="5"/>
  <c r="F590" i="5"/>
  <c r="G590" i="5"/>
  <c r="O590" i="5"/>
  <c r="P590" i="5"/>
  <c r="Q590" i="5"/>
  <c r="R590" i="5"/>
  <c r="S590" i="5"/>
  <c r="T590" i="5"/>
  <c r="U590" i="5"/>
  <c r="V590" i="5"/>
  <c r="W590" i="5"/>
  <c r="X590" i="5"/>
  <c r="A591" i="5"/>
  <c r="B591" i="5"/>
  <c r="C591" i="5"/>
  <c r="E591" i="5"/>
  <c r="F591" i="5"/>
  <c r="G591" i="5"/>
  <c r="O591" i="5"/>
  <c r="P591" i="5"/>
  <c r="Q591" i="5"/>
  <c r="R591" i="5"/>
  <c r="S591" i="5"/>
  <c r="T591" i="5"/>
  <c r="U591" i="5"/>
  <c r="V591" i="5"/>
  <c r="W591" i="5"/>
  <c r="X591" i="5"/>
  <c r="A592" i="5"/>
  <c r="B592" i="5"/>
  <c r="C592" i="5"/>
  <c r="E592" i="5"/>
  <c r="F592" i="5"/>
  <c r="G592" i="5"/>
  <c r="O592" i="5"/>
  <c r="P592" i="5"/>
  <c r="Q592" i="5"/>
  <c r="R592" i="5"/>
  <c r="S592" i="5"/>
  <c r="T592" i="5"/>
  <c r="U592" i="5"/>
  <c r="V592" i="5"/>
  <c r="W592" i="5"/>
  <c r="X592" i="5"/>
  <c r="A593" i="5"/>
  <c r="B593" i="5"/>
  <c r="C593" i="5"/>
  <c r="E593" i="5"/>
  <c r="F593" i="5"/>
  <c r="G593" i="5"/>
  <c r="O593" i="5"/>
  <c r="P593" i="5"/>
  <c r="Q593" i="5"/>
  <c r="R593" i="5"/>
  <c r="S593" i="5"/>
  <c r="T593" i="5"/>
  <c r="U593" i="5"/>
  <c r="V593" i="5"/>
  <c r="W593" i="5"/>
  <c r="X593" i="5"/>
  <c r="A594" i="5"/>
  <c r="B594" i="5"/>
  <c r="C594" i="5"/>
  <c r="E594" i="5"/>
  <c r="F594" i="5"/>
  <c r="G594" i="5"/>
  <c r="O594" i="5"/>
  <c r="P594" i="5"/>
  <c r="Q594" i="5"/>
  <c r="R594" i="5"/>
  <c r="S594" i="5"/>
  <c r="T594" i="5"/>
  <c r="U594" i="5"/>
  <c r="V594" i="5"/>
  <c r="W594" i="5"/>
  <c r="X594" i="5"/>
  <c r="A595" i="5"/>
  <c r="B595" i="5"/>
  <c r="C595" i="5"/>
  <c r="E595" i="5"/>
  <c r="F595" i="5"/>
  <c r="G595" i="5"/>
  <c r="O595" i="5"/>
  <c r="P595" i="5"/>
  <c r="Q595" i="5"/>
  <c r="R595" i="5"/>
  <c r="S595" i="5"/>
  <c r="T595" i="5"/>
  <c r="U595" i="5"/>
  <c r="V595" i="5"/>
  <c r="W595" i="5"/>
  <c r="X595" i="5"/>
  <c r="A596" i="5"/>
  <c r="B596" i="5"/>
  <c r="C596" i="5"/>
  <c r="E596" i="5"/>
  <c r="F596" i="5"/>
  <c r="G596" i="5"/>
  <c r="O596" i="5"/>
  <c r="P596" i="5"/>
  <c r="Q596" i="5"/>
  <c r="R596" i="5"/>
  <c r="S596" i="5"/>
  <c r="T596" i="5"/>
  <c r="U596" i="5"/>
  <c r="V596" i="5"/>
  <c r="W596" i="5"/>
  <c r="X596" i="5"/>
  <c r="A597" i="5"/>
  <c r="B597" i="5"/>
  <c r="C597" i="5"/>
  <c r="E597" i="5"/>
  <c r="F597" i="5"/>
  <c r="G597" i="5"/>
  <c r="O597" i="5"/>
  <c r="P597" i="5"/>
  <c r="Q597" i="5"/>
  <c r="R597" i="5"/>
  <c r="S597" i="5"/>
  <c r="T597" i="5"/>
  <c r="U597" i="5"/>
  <c r="V597" i="5"/>
  <c r="W597" i="5"/>
  <c r="X597" i="5"/>
  <c r="A598" i="5"/>
  <c r="B598" i="5"/>
  <c r="C598" i="5"/>
  <c r="E598" i="5"/>
  <c r="F598" i="5"/>
  <c r="G598" i="5"/>
  <c r="O598" i="5"/>
  <c r="P598" i="5"/>
  <c r="Q598" i="5"/>
  <c r="R598" i="5"/>
  <c r="S598" i="5"/>
  <c r="T598" i="5"/>
  <c r="U598" i="5"/>
  <c r="V598" i="5"/>
  <c r="W598" i="5"/>
  <c r="X598" i="5"/>
  <c r="A599" i="5"/>
  <c r="B599" i="5"/>
  <c r="C599" i="5"/>
  <c r="E599" i="5"/>
  <c r="F599" i="5"/>
  <c r="G599" i="5"/>
  <c r="O599" i="5"/>
  <c r="P599" i="5"/>
  <c r="Q599" i="5"/>
  <c r="R599" i="5"/>
  <c r="S599" i="5"/>
  <c r="T599" i="5"/>
  <c r="U599" i="5"/>
  <c r="V599" i="5"/>
  <c r="W599" i="5"/>
  <c r="X599" i="5"/>
  <c r="A600" i="5"/>
  <c r="B600" i="5"/>
  <c r="C600" i="5"/>
  <c r="E600" i="5"/>
  <c r="F600" i="5"/>
  <c r="G600" i="5"/>
  <c r="O600" i="5"/>
  <c r="P600" i="5"/>
  <c r="Q600" i="5"/>
  <c r="R600" i="5"/>
  <c r="S600" i="5"/>
  <c r="T600" i="5"/>
  <c r="U600" i="5"/>
  <c r="V600" i="5"/>
  <c r="W600" i="5"/>
  <c r="X600" i="5"/>
  <c r="A601" i="5"/>
  <c r="B601" i="5"/>
  <c r="C601" i="5"/>
  <c r="E601" i="5"/>
  <c r="F601" i="5"/>
  <c r="G601" i="5"/>
  <c r="O601" i="5"/>
  <c r="P601" i="5"/>
  <c r="Q601" i="5"/>
  <c r="R601" i="5"/>
  <c r="S601" i="5"/>
  <c r="T601" i="5"/>
  <c r="U601" i="5"/>
  <c r="V601" i="5"/>
  <c r="W601" i="5"/>
  <c r="X601" i="5"/>
  <c r="A602" i="5"/>
  <c r="B602" i="5"/>
  <c r="C602" i="5"/>
  <c r="E602" i="5"/>
  <c r="F602" i="5"/>
  <c r="G602" i="5"/>
  <c r="O602" i="5"/>
  <c r="P602" i="5"/>
  <c r="Q602" i="5"/>
  <c r="R602" i="5"/>
  <c r="S602" i="5"/>
  <c r="T602" i="5"/>
  <c r="U602" i="5"/>
  <c r="V602" i="5"/>
  <c r="W602" i="5"/>
  <c r="X602" i="5"/>
  <c r="A603" i="5"/>
  <c r="B603" i="5"/>
  <c r="C603" i="5"/>
  <c r="E603" i="5"/>
  <c r="F603" i="5"/>
  <c r="G603" i="5"/>
  <c r="O603" i="5"/>
  <c r="P603" i="5"/>
  <c r="Q603" i="5"/>
  <c r="R603" i="5"/>
  <c r="S603" i="5"/>
  <c r="T603" i="5"/>
  <c r="U603" i="5"/>
  <c r="V603" i="5"/>
  <c r="W603" i="5"/>
  <c r="X603" i="5"/>
  <c r="A604" i="5"/>
  <c r="B604" i="5"/>
  <c r="C604" i="5"/>
  <c r="E604" i="5"/>
  <c r="F604" i="5"/>
  <c r="G604" i="5"/>
  <c r="O604" i="5"/>
  <c r="P604" i="5"/>
  <c r="Q604" i="5"/>
  <c r="R604" i="5"/>
  <c r="S604" i="5"/>
  <c r="T604" i="5"/>
  <c r="U604" i="5"/>
  <c r="V604" i="5"/>
  <c r="W604" i="5"/>
  <c r="X604" i="5"/>
  <c r="A605" i="5"/>
  <c r="B605" i="5"/>
  <c r="C605" i="5"/>
  <c r="E605" i="5"/>
  <c r="F605" i="5"/>
  <c r="G605" i="5"/>
  <c r="O605" i="5"/>
  <c r="P605" i="5"/>
  <c r="Q605" i="5"/>
  <c r="R605" i="5"/>
  <c r="S605" i="5"/>
  <c r="T605" i="5"/>
  <c r="U605" i="5"/>
  <c r="V605" i="5"/>
  <c r="W605" i="5"/>
  <c r="X605" i="5"/>
  <c r="A606" i="5"/>
  <c r="B606" i="5"/>
  <c r="C606" i="5"/>
  <c r="E606" i="5"/>
  <c r="F606" i="5"/>
  <c r="G606" i="5"/>
  <c r="O606" i="5"/>
  <c r="P606" i="5"/>
  <c r="Q606" i="5"/>
  <c r="R606" i="5"/>
  <c r="S606" i="5"/>
  <c r="T606" i="5"/>
  <c r="U606" i="5"/>
  <c r="V606" i="5"/>
  <c r="W606" i="5"/>
  <c r="X606" i="5"/>
  <c r="A607" i="5"/>
  <c r="B607" i="5"/>
  <c r="C607" i="5"/>
  <c r="E607" i="5"/>
  <c r="F607" i="5"/>
  <c r="G607" i="5"/>
  <c r="O607" i="5"/>
  <c r="P607" i="5"/>
  <c r="Q607" i="5"/>
  <c r="R607" i="5"/>
  <c r="S607" i="5"/>
  <c r="T607" i="5"/>
  <c r="U607" i="5"/>
  <c r="V607" i="5"/>
  <c r="W607" i="5"/>
  <c r="X607" i="5"/>
  <c r="A608" i="5"/>
  <c r="B608" i="5"/>
  <c r="C608" i="5"/>
  <c r="E608" i="5"/>
  <c r="F608" i="5"/>
  <c r="G608" i="5"/>
  <c r="O608" i="5"/>
  <c r="P608" i="5"/>
  <c r="Q608" i="5"/>
  <c r="R608" i="5"/>
  <c r="S608" i="5"/>
  <c r="T608" i="5"/>
  <c r="U608" i="5"/>
  <c r="V608" i="5"/>
  <c r="W608" i="5"/>
  <c r="X608" i="5"/>
  <c r="A609" i="5"/>
  <c r="B609" i="5"/>
  <c r="C609" i="5"/>
  <c r="E609" i="5"/>
  <c r="F609" i="5"/>
  <c r="G609" i="5"/>
  <c r="O609" i="5"/>
  <c r="P609" i="5"/>
  <c r="Q609" i="5"/>
  <c r="R609" i="5"/>
  <c r="S609" i="5"/>
  <c r="T609" i="5"/>
  <c r="U609" i="5"/>
  <c r="V609" i="5"/>
  <c r="W609" i="5"/>
  <c r="X609" i="5"/>
  <c r="A610" i="5"/>
  <c r="B610" i="5"/>
  <c r="C610" i="5"/>
  <c r="E610" i="5"/>
  <c r="F610" i="5"/>
  <c r="G610" i="5"/>
  <c r="O610" i="5"/>
  <c r="P610" i="5"/>
  <c r="Q610" i="5"/>
  <c r="R610" i="5"/>
  <c r="S610" i="5"/>
  <c r="T610" i="5"/>
  <c r="U610" i="5"/>
  <c r="V610" i="5"/>
  <c r="W610" i="5"/>
  <c r="X610" i="5"/>
  <c r="A611" i="5"/>
  <c r="B611" i="5"/>
  <c r="C611" i="5"/>
  <c r="E611" i="5"/>
  <c r="F611" i="5"/>
  <c r="G611" i="5"/>
  <c r="O611" i="5"/>
  <c r="P611" i="5"/>
  <c r="Q611" i="5"/>
  <c r="R611" i="5"/>
  <c r="S611" i="5"/>
  <c r="T611" i="5"/>
  <c r="U611" i="5"/>
  <c r="V611" i="5"/>
  <c r="W611" i="5"/>
  <c r="X611" i="5"/>
  <c r="A612" i="5"/>
  <c r="B612" i="5"/>
  <c r="C612" i="5"/>
  <c r="E612" i="5"/>
  <c r="F612" i="5"/>
  <c r="G612" i="5"/>
  <c r="O612" i="5"/>
  <c r="P612" i="5"/>
  <c r="Q612" i="5"/>
  <c r="R612" i="5"/>
  <c r="S612" i="5"/>
  <c r="T612" i="5"/>
  <c r="U612" i="5"/>
  <c r="V612" i="5"/>
  <c r="W612" i="5"/>
  <c r="X612" i="5"/>
  <c r="A613" i="5"/>
  <c r="B613" i="5"/>
  <c r="C613" i="5"/>
  <c r="E613" i="5"/>
  <c r="F613" i="5"/>
  <c r="G613" i="5"/>
  <c r="O613" i="5"/>
  <c r="P613" i="5"/>
  <c r="Q613" i="5"/>
  <c r="R613" i="5"/>
  <c r="S613" i="5"/>
  <c r="T613" i="5"/>
  <c r="U613" i="5"/>
  <c r="V613" i="5"/>
  <c r="W613" i="5"/>
  <c r="X613" i="5"/>
  <c r="A614" i="5"/>
  <c r="B614" i="5"/>
  <c r="C614" i="5"/>
  <c r="E614" i="5"/>
  <c r="F614" i="5"/>
  <c r="G614" i="5"/>
  <c r="O614" i="5"/>
  <c r="P614" i="5"/>
  <c r="Q614" i="5"/>
  <c r="R614" i="5"/>
  <c r="S614" i="5"/>
  <c r="T614" i="5"/>
  <c r="U614" i="5"/>
  <c r="V614" i="5"/>
  <c r="W614" i="5"/>
  <c r="X614" i="5"/>
  <c r="A615" i="5"/>
  <c r="B615" i="5"/>
  <c r="C615" i="5"/>
  <c r="E615" i="5"/>
  <c r="F615" i="5"/>
  <c r="G615" i="5"/>
  <c r="O615" i="5"/>
  <c r="P615" i="5"/>
  <c r="Q615" i="5"/>
  <c r="R615" i="5"/>
  <c r="S615" i="5"/>
  <c r="T615" i="5"/>
  <c r="U615" i="5"/>
  <c r="V615" i="5"/>
  <c r="W615" i="5"/>
  <c r="X615" i="5"/>
  <c r="A616" i="5"/>
  <c r="B616" i="5"/>
  <c r="C616" i="5"/>
  <c r="E616" i="5"/>
  <c r="F616" i="5"/>
  <c r="G616" i="5"/>
  <c r="O616" i="5"/>
  <c r="P616" i="5"/>
  <c r="Q616" i="5"/>
  <c r="R616" i="5"/>
  <c r="S616" i="5"/>
  <c r="T616" i="5"/>
  <c r="U616" i="5"/>
  <c r="V616" i="5"/>
  <c r="W616" i="5"/>
  <c r="X616" i="5"/>
  <c r="A617" i="5"/>
  <c r="B617" i="5"/>
  <c r="C617" i="5"/>
  <c r="E617" i="5"/>
  <c r="F617" i="5"/>
  <c r="G617" i="5"/>
  <c r="O617" i="5"/>
  <c r="P617" i="5"/>
  <c r="Q617" i="5"/>
  <c r="R617" i="5"/>
  <c r="S617" i="5"/>
  <c r="T617" i="5"/>
  <c r="U617" i="5"/>
  <c r="V617" i="5"/>
  <c r="W617" i="5"/>
  <c r="X617" i="5"/>
  <c r="A618" i="5"/>
  <c r="B618" i="5"/>
  <c r="C618" i="5"/>
  <c r="E618" i="5"/>
  <c r="F618" i="5"/>
  <c r="G618" i="5"/>
  <c r="O618" i="5"/>
  <c r="P618" i="5"/>
  <c r="Q618" i="5"/>
  <c r="R618" i="5"/>
  <c r="S618" i="5"/>
  <c r="T618" i="5"/>
  <c r="U618" i="5"/>
  <c r="V618" i="5"/>
  <c r="W618" i="5"/>
  <c r="X618" i="5"/>
  <c r="A619" i="5"/>
  <c r="B619" i="5"/>
  <c r="C619" i="5"/>
  <c r="E619" i="5"/>
  <c r="F619" i="5"/>
  <c r="G619" i="5"/>
  <c r="O619" i="5"/>
  <c r="P619" i="5"/>
  <c r="Q619" i="5"/>
  <c r="R619" i="5"/>
  <c r="S619" i="5"/>
  <c r="T619" i="5"/>
  <c r="U619" i="5"/>
  <c r="V619" i="5"/>
  <c r="W619" i="5"/>
  <c r="X619" i="5"/>
  <c r="A620" i="5"/>
  <c r="B620" i="5"/>
  <c r="C620" i="5"/>
  <c r="E620" i="5"/>
  <c r="F620" i="5"/>
  <c r="G620" i="5"/>
  <c r="O620" i="5"/>
  <c r="P620" i="5"/>
  <c r="Q620" i="5"/>
  <c r="R620" i="5"/>
  <c r="S620" i="5"/>
  <c r="T620" i="5"/>
  <c r="U620" i="5"/>
  <c r="V620" i="5"/>
  <c r="W620" i="5"/>
  <c r="X620" i="5"/>
  <c r="A621" i="5"/>
  <c r="B621" i="5"/>
  <c r="C621" i="5"/>
  <c r="E621" i="5"/>
  <c r="F621" i="5"/>
  <c r="G621" i="5"/>
  <c r="O621" i="5"/>
  <c r="P621" i="5"/>
  <c r="Q621" i="5"/>
  <c r="R621" i="5"/>
  <c r="S621" i="5"/>
  <c r="T621" i="5"/>
  <c r="U621" i="5"/>
  <c r="V621" i="5"/>
  <c r="W621" i="5"/>
  <c r="X621" i="5"/>
  <c r="A622" i="5"/>
  <c r="B622" i="5"/>
  <c r="C622" i="5"/>
  <c r="E622" i="5"/>
  <c r="F622" i="5"/>
  <c r="G622" i="5"/>
  <c r="O622" i="5"/>
  <c r="P622" i="5"/>
  <c r="Q622" i="5"/>
  <c r="R622" i="5"/>
  <c r="S622" i="5"/>
  <c r="T622" i="5"/>
  <c r="U622" i="5"/>
  <c r="V622" i="5"/>
  <c r="W622" i="5"/>
  <c r="X622" i="5"/>
  <c r="A623" i="5"/>
  <c r="B623" i="5"/>
  <c r="C623" i="5"/>
  <c r="E623" i="5"/>
  <c r="F623" i="5"/>
  <c r="G623" i="5"/>
  <c r="O623" i="5"/>
  <c r="P623" i="5"/>
  <c r="Q623" i="5"/>
  <c r="R623" i="5"/>
  <c r="S623" i="5"/>
  <c r="T623" i="5"/>
  <c r="U623" i="5"/>
  <c r="V623" i="5"/>
  <c r="W623" i="5"/>
  <c r="X623" i="5"/>
  <c r="A624" i="5"/>
  <c r="B624" i="5"/>
  <c r="C624" i="5"/>
  <c r="E624" i="5"/>
  <c r="F624" i="5"/>
  <c r="G624" i="5"/>
  <c r="O624" i="5"/>
  <c r="P624" i="5"/>
  <c r="Q624" i="5"/>
  <c r="R624" i="5"/>
  <c r="S624" i="5"/>
  <c r="T624" i="5"/>
  <c r="U624" i="5"/>
  <c r="V624" i="5"/>
  <c r="W624" i="5"/>
  <c r="X624" i="5"/>
  <c r="A625" i="5"/>
  <c r="B625" i="5"/>
  <c r="C625" i="5"/>
  <c r="E625" i="5"/>
  <c r="F625" i="5"/>
  <c r="G625" i="5"/>
  <c r="O625" i="5"/>
  <c r="P625" i="5"/>
  <c r="Q625" i="5"/>
  <c r="R625" i="5"/>
  <c r="S625" i="5"/>
  <c r="T625" i="5"/>
  <c r="U625" i="5"/>
  <c r="V625" i="5"/>
  <c r="W625" i="5"/>
  <c r="X625" i="5"/>
  <c r="A626" i="5"/>
  <c r="B626" i="5"/>
  <c r="C626" i="5"/>
  <c r="E626" i="5"/>
  <c r="F626" i="5"/>
  <c r="G626" i="5"/>
  <c r="O626" i="5"/>
  <c r="P626" i="5"/>
  <c r="Q626" i="5"/>
  <c r="R626" i="5"/>
  <c r="S626" i="5"/>
  <c r="T626" i="5"/>
  <c r="U626" i="5"/>
  <c r="V626" i="5"/>
  <c r="W626" i="5"/>
  <c r="X626" i="5"/>
  <c r="A627" i="5"/>
  <c r="B627" i="5"/>
  <c r="C627" i="5"/>
  <c r="E627" i="5"/>
  <c r="F627" i="5"/>
  <c r="G627" i="5"/>
  <c r="O627" i="5"/>
  <c r="P627" i="5"/>
  <c r="Q627" i="5"/>
  <c r="R627" i="5"/>
  <c r="S627" i="5"/>
  <c r="T627" i="5"/>
  <c r="U627" i="5"/>
  <c r="V627" i="5"/>
  <c r="W627" i="5"/>
  <c r="X627" i="5"/>
  <c r="A628" i="5"/>
  <c r="B628" i="5"/>
  <c r="C628" i="5"/>
  <c r="E628" i="5"/>
  <c r="F628" i="5"/>
  <c r="G628" i="5"/>
  <c r="O628" i="5"/>
  <c r="P628" i="5"/>
  <c r="Q628" i="5"/>
  <c r="R628" i="5"/>
  <c r="S628" i="5"/>
  <c r="T628" i="5"/>
  <c r="U628" i="5"/>
  <c r="V628" i="5"/>
  <c r="W628" i="5"/>
  <c r="X628" i="5"/>
  <c r="A629" i="5"/>
  <c r="B629" i="5"/>
  <c r="C629" i="5"/>
  <c r="E629" i="5"/>
  <c r="F629" i="5"/>
  <c r="G629" i="5"/>
  <c r="O629" i="5"/>
  <c r="P629" i="5"/>
  <c r="Q629" i="5"/>
  <c r="R629" i="5"/>
  <c r="S629" i="5"/>
  <c r="T629" i="5"/>
  <c r="U629" i="5"/>
  <c r="V629" i="5"/>
  <c r="W629" i="5"/>
  <c r="X629" i="5"/>
  <c r="A630" i="5"/>
  <c r="B630" i="5"/>
  <c r="C630" i="5"/>
  <c r="E630" i="5"/>
  <c r="F630" i="5"/>
  <c r="G630" i="5"/>
  <c r="O630" i="5"/>
  <c r="P630" i="5"/>
  <c r="Q630" i="5"/>
  <c r="R630" i="5"/>
  <c r="S630" i="5"/>
  <c r="T630" i="5"/>
  <c r="U630" i="5"/>
  <c r="V630" i="5"/>
  <c r="W630" i="5"/>
  <c r="X630" i="5"/>
  <c r="A631" i="5"/>
  <c r="B631" i="5"/>
  <c r="C631" i="5"/>
  <c r="E631" i="5"/>
  <c r="F631" i="5"/>
  <c r="G631" i="5"/>
  <c r="O631" i="5"/>
  <c r="P631" i="5"/>
  <c r="Q631" i="5"/>
  <c r="R631" i="5"/>
  <c r="S631" i="5"/>
  <c r="T631" i="5"/>
  <c r="U631" i="5"/>
  <c r="V631" i="5"/>
  <c r="W631" i="5"/>
  <c r="X631" i="5"/>
  <c r="A632" i="5"/>
  <c r="B632" i="5"/>
  <c r="C632" i="5"/>
  <c r="E632" i="5"/>
  <c r="F632" i="5"/>
  <c r="G632" i="5"/>
  <c r="O632" i="5"/>
  <c r="P632" i="5"/>
  <c r="Q632" i="5"/>
  <c r="R632" i="5"/>
  <c r="S632" i="5"/>
  <c r="T632" i="5"/>
  <c r="U632" i="5"/>
  <c r="V632" i="5"/>
  <c r="W632" i="5"/>
  <c r="X632" i="5"/>
  <c r="A633" i="5"/>
  <c r="B633" i="5"/>
  <c r="C633" i="5"/>
  <c r="E633" i="5"/>
  <c r="F633" i="5"/>
  <c r="G633" i="5"/>
  <c r="O633" i="5"/>
  <c r="P633" i="5"/>
  <c r="Q633" i="5"/>
  <c r="R633" i="5"/>
  <c r="S633" i="5"/>
  <c r="T633" i="5"/>
  <c r="U633" i="5"/>
  <c r="V633" i="5"/>
  <c r="W633" i="5"/>
  <c r="X633" i="5"/>
  <c r="A634" i="5"/>
  <c r="B634" i="5"/>
  <c r="C634" i="5"/>
  <c r="E634" i="5"/>
  <c r="F634" i="5"/>
  <c r="G634" i="5"/>
  <c r="O634" i="5"/>
  <c r="P634" i="5"/>
  <c r="Q634" i="5"/>
  <c r="R634" i="5"/>
  <c r="S634" i="5"/>
  <c r="T634" i="5"/>
  <c r="U634" i="5"/>
  <c r="V634" i="5"/>
  <c r="W634" i="5"/>
  <c r="X634" i="5"/>
  <c r="A635" i="5"/>
  <c r="B635" i="5"/>
  <c r="C635" i="5"/>
  <c r="E635" i="5"/>
  <c r="F635" i="5"/>
  <c r="G635" i="5"/>
  <c r="O635" i="5"/>
  <c r="P635" i="5"/>
  <c r="Q635" i="5"/>
  <c r="R635" i="5"/>
  <c r="S635" i="5"/>
  <c r="T635" i="5"/>
  <c r="U635" i="5"/>
  <c r="V635" i="5"/>
  <c r="W635" i="5"/>
  <c r="X635" i="5"/>
  <c r="A636" i="5"/>
  <c r="B636" i="5"/>
  <c r="C636" i="5"/>
  <c r="E636" i="5"/>
  <c r="F636" i="5"/>
  <c r="G636" i="5"/>
  <c r="O636" i="5"/>
  <c r="P636" i="5"/>
  <c r="Q636" i="5"/>
  <c r="R636" i="5"/>
  <c r="S636" i="5"/>
  <c r="T636" i="5"/>
  <c r="U636" i="5"/>
  <c r="V636" i="5"/>
  <c r="W636" i="5"/>
  <c r="X636" i="5"/>
  <c r="A637" i="5"/>
  <c r="B637" i="5"/>
  <c r="C637" i="5"/>
  <c r="E637" i="5"/>
  <c r="F637" i="5"/>
  <c r="G637" i="5"/>
  <c r="O637" i="5"/>
  <c r="P637" i="5"/>
  <c r="Q637" i="5"/>
  <c r="R637" i="5"/>
  <c r="S637" i="5"/>
  <c r="T637" i="5"/>
  <c r="U637" i="5"/>
  <c r="V637" i="5"/>
  <c r="W637" i="5"/>
  <c r="X637" i="5"/>
  <c r="A638" i="5"/>
  <c r="B638" i="5"/>
  <c r="C638" i="5"/>
  <c r="E638" i="5"/>
  <c r="F638" i="5"/>
  <c r="G638" i="5"/>
  <c r="O638" i="5"/>
  <c r="P638" i="5"/>
  <c r="Q638" i="5"/>
  <c r="R638" i="5"/>
  <c r="S638" i="5"/>
  <c r="T638" i="5"/>
  <c r="U638" i="5"/>
  <c r="V638" i="5"/>
  <c r="W638" i="5"/>
  <c r="X638" i="5"/>
  <c r="A639" i="5"/>
  <c r="B639" i="5"/>
  <c r="C639" i="5"/>
  <c r="E639" i="5"/>
  <c r="F639" i="5"/>
  <c r="G639" i="5"/>
  <c r="O639" i="5"/>
  <c r="P639" i="5"/>
  <c r="Q639" i="5"/>
  <c r="R639" i="5"/>
  <c r="S639" i="5"/>
  <c r="T639" i="5"/>
  <c r="U639" i="5"/>
  <c r="V639" i="5"/>
  <c r="W639" i="5"/>
  <c r="X639" i="5"/>
  <c r="A640" i="5"/>
  <c r="B640" i="5"/>
  <c r="C640" i="5"/>
  <c r="E640" i="5"/>
  <c r="F640" i="5"/>
  <c r="G640" i="5"/>
  <c r="O640" i="5"/>
  <c r="P640" i="5"/>
  <c r="Q640" i="5"/>
  <c r="R640" i="5"/>
  <c r="S640" i="5"/>
  <c r="T640" i="5"/>
  <c r="U640" i="5"/>
  <c r="V640" i="5"/>
  <c r="W640" i="5"/>
  <c r="X640" i="5"/>
  <c r="A641" i="5"/>
  <c r="B641" i="5"/>
  <c r="C641" i="5"/>
  <c r="E641" i="5"/>
  <c r="F641" i="5"/>
  <c r="G641" i="5"/>
  <c r="O641" i="5"/>
  <c r="P641" i="5"/>
  <c r="Q641" i="5"/>
  <c r="R641" i="5"/>
  <c r="S641" i="5"/>
  <c r="T641" i="5"/>
  <c r="U641" i="5"/>
  <c r="V641" i="5"/>
  <c r="W641" i="5"/>
  <c r="X641" i="5"/>
  <c r="A642" i="5"/>
  <c r="B642" i="5"/>
  <c r="C642" i="5"/>
  <c r="E642" i="5"/>
  <c r="F642" i="5"/>
  <c r="G642" i="5"/>
  <c r="O642" i="5"/>
  <c r="P642" i="5"/>
  <c r="Q642" i="5"/>
  <c r="R642" i="5"/>
  <c r="S642" i="5"/>
  <c r="T642" i="5"/>
  <c r="U642" i="5"/>
  <c r="V642" i="5"/>
  <c r="W642" i="5"/>
  <c r="X642" i="5"/>
  <c r="A643" i="5"/>
  <c r="B643" i="5"/>
  <c r="C643" i="5"/>
  <c r="E643" i="5"/>
  <c r="F643" i="5"/>
  <c r="G643" i="5"/>
  <c r="O643" i="5"/>
  <c r="P643" i="5"/>
  <c r="Q643" i="5"/>
  <c r="R643" i="5"/>
  <c r="S643" i="5"/>
  <c r="T643" i="5"/>
  <c r="U643" i="5"/>
  <c r="V643" i="5"/>
  <c r="W643" i="5"/>
  <c r="X643" i="5"/>
  <c r="A644" i="5"/>
  <c r="B644" i="5"/>
  <c r="C644" i="5"/>
  <c r="E644" i="5"/>
  <c r="F644" i="5"/>
  <c r="G644" i="5"/>
  <c r="O644" i="5"/>
  <c r="P644" i="5"/>
  <c r="Q644" i="5"/>
  <c r="R644" i="5"/>
  <c r="S644" i="5"/>
  <c r="T644" i="5"/>
  <c r="U644" i="5"/>
  <c r="V644" i="5"/>
  <c r="W644" i="5"/>
  <c r="X644" i="5"/>
  <c r="A645" i="5"/>
  <c r="B645" i="5"/>
  <c r="C645" i="5"/>
  <c r="E645" i="5"/>
  <c r="F645" i="5"/>
  <c r="G645" i="5"/>
  <c r="O645" i="5"/>
  <c r="P645" i="5"/>
  <c r="Q645" i="5"/>
  <c r="R645" i="5"/>
  <c r="S645" i="5"/>
  <c r="T645" i="5"/>
  <c r="U645" i="5"/>
  <c r="V645" i="5"/>
  <c r="W645" i="5"/>
  <c r="X645" i="5"/>
  <c r="A646" i="5"/>
  <c r="B646" i="5"/>
  <c r="C646" i="5"/>
  <c r="E646" i="5"/>
  <c r="F646" i="5"/>
  <c r="G646" i="5"/>
  <c r="O646" i="5"/>
  <c r="P646" i="5"/>
  <c r="Q646" i="5"/>
  <c r="R646" i="5"/>
  <c r="S646" i="5"/>
  <c r="T646" i="5"/>
  <c r="U646" i="5"/>
  <c r="V646" i="5"/>
  <c r="W646" i="5"/>
  <c r="X646" i="5"/>
  <c r="A647" i="5"/>
  <c r="B647" i="5"/>
  <c r="C647" i="5"/>
  <c r="E647" i="5"/>
  <c r="F647" i="5"/>
  <c r="G647" i="5"/>
  <c r="O647" i="5"/>
  <c r="P647" i="5"/>
  <c r="Q647" i="5"/>
  <c r="R647" i="5"/>
  <c r="S647" i="5"/>
  <c r="T647" i="5"/>
  <c r="U647" i="5"/>
  <c r="V647" i="5"/>
  <c r="W647" i="5"/>
  <c r="X647" i="5"/>
  <c r="A648" i="5"/>
  <c r="B648" i="5"/>
  <c r="C648" i="5"/>
  <c r="E648" i="5"/>
  <c r="F648" i="5"/>
  <c r="G648" i="5"/>
  <c r="O648" i="5"/>
  <c r="P648" i="5"/>
  <c r="Q648" i="5"/>
  <c r="R648" i="5"/>
  <c r="S648" i="5"/>
  <c r="T648" i="5"/>
  <c r="U648" i="5"/>
  <c r="V648" i="5"/>
  <c r="W648" i="5"/>
  <c r="X648" i="5"/>
  <c r="A649" i="5"/>
  <c r="B649" i="5"/>
  <c r="C649" i="5"/>
  <c r="E649" i="5"/>
  <c r="F649" i="5"/>
  <c r="G649" i="5"/>
  <c r="O649" i="5"/>
  <c r="P649" i="5"/>
  <c r="Q649" i="5"/>
  <c r="R649" i="5"/>
  <c r="S649" i="5"/>
  <c r="T649" i="5"/>
  <c r="U649" i="5"/>
  <c r="V649" i="5"/>
  <c r="W649" i="5"/>
  <c r="X649" i="5"/>
  <c r="A650" i="5"/>
  <c r="B650" i="5"/>
  <c r="C650" i="5"/>
  <c r="E650" i="5"/>
  <c r="F650" i="5"/>
  <c r="G650" i="5"/>
  <c r="O650" i="5"/>
  <c r="P650" i="5"/>
  <c r="Q650" i="5"/>
  <c r="R650" i="5"/>
  <c r="S650" i="5"/>
  <c r="T650" i="5"/>
  <c r="U650" i="5"/>
  <c r="V650" i="5"/>
  <c r="W650" i="5"/>
  <c r="X650" i="5"/>
  <c r="A651" i="5"/>
  <c r="B651" i="5"/>
  <c r="C651" i="5"/>
  <c r="E651" i="5"/>
  <c r="F651" i="5"/>
  <c r="G651" i="5"/>
  <c r="O651" i="5"/>
  <c r="P651" i="5"/>
  <c r="Q651" i="5"/>
  <c r="R651" i="5"/>
  <c r="S651" i="5"/>
  <c r="T651" i="5"/>
  <c r="U651" i="5"/>
  <c r="V651" i="5"/>
  <c r="W651" i="5"/>
  <c r="X651" i="5"/>
  <c r="A652" i="5"/>
  <c r="B652" i="5"/>
  <c r="C652" i="5"/>
  <c r="E652" i="5"/>
  <c r="F652" i="5"/>
  <c r="G652" i="5"/>
  <c r="O652" i="5"/>
  <c r="P652" i="5"/>
  <c r="Q652" i="5"/>
  <c r="R652" i="5"/>
  <c r="S652" i="5"/>
  <c r="T652" i="5"/>
  <c r="U652" i="5"/>
  <c r="V652" i="5"/>
  <c r="W652" i="5"/>
  <c r="X652" i="5"/>
  <c r="A653" i="5"/>
  <c r="B653" i="5"/>
  <c r="C653" i="5"/>
  <c r="E653" i="5"/>
  <c r="F653" i="5"/>
  <c r="G653" i="5"/>
  <c r="O653" i="5"/>
  <c r="P653" i="5"/>
  <c r="Q653" i="5"/>
  <c r="R653" i="5"/>
  <c r="S653" i="5"/>
  <c r="T653" i="5"/>
  <c r="U653" i="5"/>
  <c r="V653" i="5"/>
  <c r="W653" i="5"/>
  <c r="X653" i="5"/>
  <c r="A654" i="5"/>
  <c r="B654" i="5"/>
  <c r="C654" i="5"/>
  <c r="E654" i="5"/>
  <c r="F654" i="5"/>
  <c r="G654" i="5"/>
  <c r="O654" i="5"/>
  <c r="P654" i="5"/>
  <c r="Q654" i="5"/>
  <c r="R654" i="5"/>
  <c r="S654" i="5"/>
  <c r="T654" i="5"/>
  <c r="U654" i="5"/>
  <c r="V654" i="5"/>
  <c r="W654" i="5"/>
  <c r="X654" i="5"/>
  <c r="A655" i="5"/>
  <c r="B655" i="5"/>
  <c r="C655" i="5"/>
  <c r="E655" i="5"/>
  <c r="F655" i="5"/>
  <c r="G655" i="5"/>
  <c r="O655" i="5"/>
  <c r="P655" i="5"/>
  <c r="Q655" i="5"/>
  <c r="R655" i="5"/>
  <c r="S655" i="5"/>
  <c r="T655" i="5"/>
  <c r="U655" i="5"/>
  <c r="V655" i="5"/>
  <c r="W655" i="5"/>
  <c r="X655" i="5"/>
  <c r="A656" i="5"/>
  <c r="B656" i="5"/>
  <c r="C656" i="5"/>
  <c r="E656" i="5"/>
  <c r="F656" i="5"/>
  <c r="G656" i="5"/>
  <c r="O656" i="5"/>
  <c r="P656" i="5"/>
  <c r="Q656" i="5"/>
  <c r="R656" i="5"/>
  <c r="S656" i="5"/>
  <c r="T656" i="5"/>
  <c r="U656" i="5"/>
  <c r="V656" i="5"/>
  <c r="W656" i="5"/>
  <c r="X656" i="5"/>
  <c r="A657" i="5"/>
  <c r="B657" i="5"/>
  <c r="C657" i="5"/>
  <c r="E657" i="5"/>
  <c r="F657" i="5"/>
  <c r="G657" i="5"/>
  <c r="O657" i="5"/>
  <c r="P657" i="5"/>
  <c r="Q657" i="5"/>
  <c r="R657" i="5"/>
  <c r="S657" i="5"/>
  <c r="T657" i="5"/>
  <c r="U657" i="5"/>
  <c r="V657" i="5"/>
  <c r="W657" i="5"/>
  <c r="X657" i="5"/>
  <c r="A658" i="5"/>
  <c r="B658" i="5"/>
  <c r="C658" i="5"/>
  <c r="E658" i="5"/>
  <c r="F658" i="5"/>
  <c r="G658" i="5"/>
  <c r="O658" i="5"/>
  <c r="P658" i="5"/>
  <c r="Q658" i="5"/>
  <c r="R658" i="5"/>
  <c r="S658" i="5"/>
  <c r="T658" i="5"/>
  <c r="U658" i="5"/>
  <c r="V658" i="5"/>
  <c r="W658" i="5"/>
  <c r="X658" i="5"/>
  <c r="A659" i="5"/>
  <c r="B659" i="5"/>
  <c r="C659" i="5"/>
  <c r="E659" i="5"/>
  <c r="F659" i="5"/>
  <c r="G659" i="5"/>
  <c r="O659" i="5"/>
  <c r="P659" i="5"/>
  <c r="Q659" i="5"/>
  <c r="R659" i="5"/>
  <c r="S659" i="5"/>
  <c r="T659" i="5"/>
  <c r="U659" i="5"/>
  <c r="V659" i="5"/>
  <c r="W659" i="5"/>
  <c r="X659" i="5"/>
  <c r="A660" i="5"/>
  <c r="B660" i="5"/>
  <c r="C660" i="5"/>
  <c r="E660" i="5"/>
  <c r="F660" i="5"/>
  <c r="G660" i="5"/>
  <c r="O660" i="5"/>
  <c r="P660" i="5"/>
  <c r="Q660" i="5"/>
  <c r="R660" i="5"/>
  <c r="S660" i="5"/>
  <c r="T660" i="5"/>
  <c r="U660" i="5"/>
  <c r="V660" i="5"/>
  <c r="W660" i="5"/>
  <c r="X660" i="5"/>
  <c r="A661" i="5"/>
  <c r="B661" i="5"/>
  <c r="C661" i="5"/>
  <c r="E661" i="5"/>
  <c r="F661" i="5"/>
  <c r="G661" i="5"/>
  <c r="O661" i="5"/>
  <c r="P661" i="5"/>
  <c r="Q661" i="5"/>
  <c r="R661" i="5"/>
  <c r="S661" i="5"/>
  <c r="T661" i="5"/>
  <c r="U661" i="5"/>
  <c r="V661" i="5"/>
  <c r="W661" i="5"/>
  <c r="X661" i="5"/>
  <c r="A662" i="5"/>
  <c r="B662" i="5"/>
  <c r="C662" i="5"/>
  <c r="E662" i="5"/>
  <c r="F662" i="5"/>
  <c r="G662" i="5"/>
  <c r="O662" i="5"/>
  <c r="P662" i="5"/>
  <c r="Q662" i="5"/>
  <c r="R662" i="5"/>
  <c r="S662" i="5"/>
  <c r="T662" i="5"/>
  <c r="U662" i="5"/>
  <c r="V662" i="5"/>
  <c r="W662" i="5"/>
  <c r="X662" i="5"/>
  <c r="A663" i="5"/>
  <c r="B663" i="5"/>
  <c r="C663" i="5"/>
  <c r="E663" i="5"/>
  <c r="F663" i="5"/>
  <c r="G663" i="5"/>
  <c r="O663" i="5"/>
  <c r="P663" i="5"/>
  <c r="Q663" i="5"/>
  <c r="R663" i="5"/>
  <c r="S663" i="5"/>
  <c r="T663" i="5"/>
  <c r="U663" i="5"/>
  <c r="V663" i="5"/>
  <c r="W663" i="5"/>
  <c r="X663" i="5"/>
  <c r="A664" i="5"/>
  <c r="B664" i="5"/>
  <c r="C664" i="5"/>
  <c r="E664" i="5"/>
  <c r="F664" i="5"/>
  <c r="G664" i="5"/>
  <c r="O664" i="5"/>
  <c r="P664" i="5"/>
  <c r="Q664" i="5"/>
  <c r="R664" i="5"/>
  <c r="S664" i="5"/>
  <c r="T664" i="5"/>
  <c r="U664" i="5"/>
  <c r="V664" i="5"/>
  <c r="W664" i="5"/>
  <c r="X664" i="5"/>
  <c r="A665" i="5"/>
  <c r="B665" i="5"/>
  <c r="C665" i="5"/>
  <c r="E665" i="5"/>
  <c r="F665" i="5"/>
  <c r="G665" i="5"/>
  <c r="O665" i="5"/>
  <c r="P665" i="5"/>
  <c r="Q665" i="5"/>
  <c r="R665" i="5"/>
  <c r="S665" i="5"/>
  <c r="T665" i="5"/>
  <c r="U665" i="5"/>
  <c r="V665" i="5"/>
  <c r="W665" i="5"/>
  <c r="X665" i="5"/>
  <c r="A666" i="5"/>
  <c r="B666" i="5"/>
  <c r="C666" i="5"/>
  <c r="E666" i="5"/>
  <c r="F666" i="5"/>
  <c r="G666" i="5"/>
  <c r="O666" i="5"/>
  <c r="P666" i="5"/>
  <c r="Q666" i="5"/>
  <c r="R666" i="5"/>
  <c r="S666" i="5"/>
  <c r="T666" i="5"/>
  <c r="U666" i="5"/>
  <c r="V666" i="5"/>
  <c r="W666" i="5"/>
  <c r="X666" i="5"/>
  <c r="A667" i="5"/>
  <c r="B667" i="5"/>
  <c r="C667" i="5"/>
  <c r="E667" i="5"/>
  <c r="F667" i="5"/>
  <c r="G667" i="5"/>
  <c r="O667" i="5"/>
  <c r="P667" i="5"/>
  <c r="Q667" i="5"/>
  <c r="R667" i="5"/>
  <c r="S667" i="5"/>
  <c r="T667" i="5"/>
  <c r="U667" i="5"/>
  <c r="V667" i="5"/>
  <c r="W667" i="5"/>
  <c r="X667" i="5"/>
  <c r="A668" i="5"/>
  <c r="B668" i="5"/>
  <c r="C668" i="5"/>
  <c r="E668" i="5"/>
  <c r="F668" i="5"/>
  <c r="G668" i="5"/>
  <c r="O668" i="5"/>
  <c r="P668" i="5"/>
  <c r="Q668" i="5"/>
  <c r="R668" i="5"/>
  <c r="S668" i="5"/>
  <c r="T668" i="5"/>
  <c r="U668" i="5"/>
  <c r="V668" i="5"/>
  <c r="W668" i="5"/>
  <c r="X668" i="5"/>
  <c r="A669" i="5"/>
  <c r="B669" i="5"/>
  <c r="C669" i="5"/>
  <c r="E669" i="5"/>
  <c r="F669" i="5"/>
  <c r="G669" i="5"/>
  <c r="O669" i="5"/>
  <c r="P669" i="5"/>
  <c r="Q669" i="5"/>
  <c r="R669" i="5"/>
  <c r="S669" i="5"/>
  <c r="T669" i="5"/>
  <c r="U669" i="5"/>
  <c r="V669" i="5"/>
  <c r="W669" i="5"/>
  <c r="X669" i="5"/>
  <c r="A670" i="5"/>
  <c r="B670" i="5"/>
  <c r="C670" i="5"/>
  <c r="E670" i="5"/>
  <c r="F670" i="5"/>
  <c r="G670" i="5"/>
  <c r="O670" i="5"/>
  <c r="P670" i="5"/>
  <c r="Q670" i="5"/>
  <c r="R670" i="5"/>
  <c r="S670" i="5"/>
  <c r="T670" i="5"/>
  <c r="U670" i="5"/>
  <c r="V670" i="5"/>
  <c r="W670" i="5"/>
  <c r="X670" i="5"/>
  <c r="A671" i="5"/>
  <c r="B671" i="5"/>
  <c r="C671" i="5"/>
  <c r="E671" i="5"/>
  <c r="F671" i="5"/>
  <c r="G671" i="5"/>
  <c r="O671" i="5"/>
  <c r="P671" i="5"/>
  <c r="Q671" i="5"/>
  <c r="R671" i="5"/>
  <c r="S671" i="5"/>
  <c r="T671" i="5"/>
  <c r="U671" i="5"/>
  <c r="V671" i="5"/>
  <c r="W671" i="5"/>
  <c r="X671" i="5"/>
  <c r="A672" i="5"/>
  <c r="B672" i="5"/>
  <c r="C672" i="5"/>
  <c r="E672" i="5"/>
  <c r="F672" i="5"/>
  <c r="G672" i="5"/>
  <c r="O672" i="5"/>
  <c r="P672" i="5"/>
  <c r="Q672" i="5"/>
  <c r="R672" i="5"/>
  <c r="S672" i="5"/>
  <c r="T672" i="5"/>
  <c r="U672" i="5"/>
  <c r="V672" i="5"/>
  <c r="W672" i="5"/>
  <c r="X672" i="5"/>
  <c r="A673" i="5"/>
  <c r="B673" i="5"/>
  <c r="C673" i="5"/>
  <c r="E673" i="5"/>
  <c r="F673" i="5"/>
  <c r="G673" i="5"/>
  <c r="O673" i="5"/>
  <c r="P673" i="5"/>
  <c r="Q673" i="5"/>
  <c r="R673" i="5"/>
  <c r="S673" i="5"/>
  <c r="T673" i="5"/>
  <c r="U673" i="5"/>
  <c r="V673" i="5"/>
  <c r="W673" i="5"/>
  <c r="X673" i="5"/>
  <c r="A674" i="5"/>
  <c r="B674" i="5"/>
  <c r="C674" i="5"/>
  <c r="E674" i="5"/>
  <c r="F674" i="5"/>
  <c r="G674" i="5"/>
  <c r="O674" i="5"/>
  <c r="P674" i="5"/>
  <c r="Q674" i="5"/>
  <c r="R674" i="5"/>
  <c r="S674" i="5"/>
  <c r="T674" i="5"/>
  <c r="U674" i="5"/>
  <c r="V674" i="5"/>
  <c r="W674" i="5"/>
  <c r="X674" i="5"/>
  <c r="A675" i="5"/>
  <c r="B675" i="5"/>
  <c r="C675" i="5"/>
  <c r="E675" i="5"/>
  <c r="F675" i="5"/>
  <c r="G675" i="5"/>
  <c r="O675" i="5"/>
  <c r="P675" i="5"/>
  <c r="Q675" i="5"/>
  <c r="R675" i="5"/>
  <c r="S675" i="5"/>
  <c r="T675" i="5"/>
  <c r="U675" i="5"/>
  <c r="V675" i="5"/>
  <c r="W675" i="5"/>
  <c r="X675" i="5"/>
  <c r="A676" i="5"/>
  <c r="B676" i="5"/>
  <c r="C676" i="5"/>
  <c r="E676" i="5"/>
  <c r="F676" i="5"/>
  <c r="G676" i="5"/>
  <c r="O676" i="5"/>
  <c r="P676" i="5"/>
  <c r="Q676" i="5"/>
  <c r="R676" i="5"/>
  <c r="S676" i="5"/>
  <c r="T676" i="5"/>
  <c r="U676" i="5"/>
  <c r="V676" i="5"/>
  <c r="W676" i="5"/>
  <c r="X676" i="5"/>
  <c r="A677" i="5"/>
  <c r="B677" i="5"/>
  <c r="C677" i="5"/>
  <c r="E677" i="5"/>
  <c r="F677" i="5"/>
  <c r="G677" i="5"/>
  <c r="O677" i="5"/>
  <c r="P677" i="5"/>
  <c r="Q677" i="5"/>
  <c r="R677" i="5"/>
  <c r="S677" i="5"/>
  <c r="T677" i="5"/>
  <c r="U677" i="5"/>
  <c r="V677" i="5"/>
  <c r="W677" i="5"/>
  <c r="X677" i="5"/>
  <c r="A678" i="5"/>
  <c r="B678" i="5"/>
  <c r="C678" i="5"/>
  <c r="E678" i="5"/>
  <c r="F678" i="5"/>
  <c r="G678" i="5"/>
  <c r="O678" i="5"/>
  <c r="P678" i="5"/>
  <c r="Q678" i="5"/>
  <c r="R678" i="5"/>
  <c r="S678" i="5"/>
  <c r="T678" i="5"/>
  <c r="U678" i="5"/>
  <c r="V678" i="5"/>
  <c r="W678" i="5"/>
  <c r="X678" i="5"/>
  <c r="A679" i="5"/>
  <c r="B679" i="5"/>
  <c r="C679" i="5"/>
  <c r="E679" i="5"/>
  <c r="F679" i="5"/>
  <c r="G679" i="5"/>
  <c r="O679" i="5"/>
  <c r="P679" i="5"/>
  <c r="Q679" i="5"/>
  <c r="R679" i="5"/>
  <c r="S679" i="5"/>
  <c r="T679" i="5"/>
  <c r="U679" i="5"/>
  <c r="V679" i="5"/>
  <c r="W679" i="5"/>
  <c r="X679" i="5"/>
  <c r="A680" i="5"/>
  <c r="B680" i="5"/>
  <c r="C680" i="5"/>
  <c r="E680" i="5"/>
  <c r="F680" i="5"/>
  <c r="G680" i="5"/>
  <c r="O680" i="5"/>
  <c r="P680" i="5"/>
  <c r="Q680" i="5"/>
  <c r="R680" i="5"/>
  <c r="S680" i="5"/>
  <c r="T680" i="5"/>
  <c r="U680" i="5"/>
  <c r="V680" i="5"/>
  <c r="W680" i="5"/>
  <c r="X680" i="5"/>
  <c r="A681" i="5"/>
  <c r="B681" i="5"/>
  <c r="C681" i="5"/>
  <c r="E681" i="5"/>
  <c r="F681" i="5"/>
  <c r="G681" i="5"/>
  <c r="O681" i="5"/>
  <c r="P681" i="5"/>
  <c r="Q681" i="5"/>
  <c r="R681" i="5"/>
  <c r="S681" i="5"/>
  <c r="T681" i="5"/>
  <c r="U681" i="5"/>
  <c r="V681" i="5"/>
  <c r="W681" i="5"/>
  <c r="X681" i="5"/>
  <c r="A682" i="5"/>
  <c r="B682" i="5"/>
  <c r="C682" i="5"/>
  <c r="E682" i="5"/>
  <c r="F682" i="5"/>
  <c r="G682" i="5"/>
  <c r="O682" i="5"/>
  <c r="P682" i="5"/>
  <c r="Q682" i="5"/>
  <c r="R682" i="5"/>
  <c r="S682" i="5"/>
  <c r="T682" i="5"/>
  <c r="U682" i="5"/>
  <c r="V682" i="5"/>
  <c r="W682" i="5"/>
  <c r="X682" i="5"/>
  <c r="A683" i="5"/>
  <c r="B683" i="5"/>
  <c r="C683" i="5"/>
  <c r="E683" i="5"/>
  <c r="F683" i="5"/>
  <c r="G683" i="5"/>
  <c r="O683" i="5"/>
  <c r="P683" i="5"/>
  <c r="Q683" i="5"/>
  <c r="R683" i="5"/>
  <c r="S683" i="5"/>
  <c r="T683" i="5"/>
  <c r="U683" i="5"/>
  <c r="V683" i="5"/>
  <c r="W683" i="5"/>
  <c r="X683" i="5"/>
  <c r="A684" i="5"/>
  <c r="B684" i="5"/>
  <c r="C684" i="5"/>
  <c r="E684" i="5"/>
  <c r="F684" i="5"/>
  <c r="G684" i="5"/>
  <c r="O684" i="5"/>
  <c r="P684" i="5"/>
  <c r="Q684" i="5"/>
  <c r="R684" i="5"/>
  <c r="S684" i="5"/>
  <c r="T684" i="5"/>
  <c r="U684" i="5"/>
  <c r="V684" i="5"/>
  <c r="W684" i="5"/>
  <c r="X684" i="5"/>
  <c r="A685" i="5"/>
  <c r="B685" i="5"/>
  <c r="C685" i="5"/>
  <c r="E685" i="5"/>
  <c r="F685" i="5"/>
  <c r="G685" i="5"/>
  <c r="O685" i="5"/>
  <c r="P685" i="5"/>
  <c r="Q685" i="5"/>
  <c r="R685" i="5"/>
  <c r="S685" i="5"/>
  <c r="T685" i="5"/>
  <c r="U685" i="5"/>
  <c r="V685" i="5"/>
  <c r="W685" i="5"/>
  <c r="X685" i="5"/>
  <c r="A686" i="5"/>
  <c r="B686" i="5"/>
  <c r="C686" i="5"/>
  <c r="E686" i="5"/>
  <c r="F686" i="5"/>
  <c r="G686" i="5"/>
  <c r="O686" i="5"/>
  <c r="P686" i="5"/>
  <c r="Q686" i="5"/>
  <c r="R686" i="5"/>
  <c r="S686" i="5"/>
  <c r="T686" i="5"/>
  <c r="U686" i="5"/>
  <c r="V686" i="5"/>
  <c r="W686" i="5"/>
  <c r="X686" i="5"/>
  <c r="A687" i="5"/>
  <c r="B687" i="5"/>
  <c r="C687" i="5"/>
  <c r="E687" i="5"/>
  <c r="F687" i="5"/>
  <c r="G687" i="5"/>
  <c r="O687" i="5"/>
  <c r="P687" i="5"/>
  <c r="Q687" i="5"/>
  <c r="R687" i="5"/>
  <c r="S687" i="5"/>
  <c r="T687" i="5"/>
  <c r="U687" i="5"/>
  <c r="V687" i="5"/>
  <c r="W687" i="5"/>
  <c r="X687" i="5"/>
  <c r="A688" i="5"/>
  <c r="B688" i="5"/>
  <c r="C688" i="5"/>
  <c r="E688" i="5"/>
  <c r="F688" i="5"/>
  <c r="G688" i="5"/>
  <c r="O688" i="5"/>
  <c r="P688" i="5"/>
  <c r="Q688" i="5"/>
  <c r="R688" i="5"/>
  <c r="S688" i="5"/>
  <c r="T688" i="5"/>
  <c r="U688" i="5"/>
  <c r="V688" i="5"/>
  <c r="W688" i="5"/>
  <c r="X688" i="5"/>
  <c r="A689" i="5"/>
  <c r="B689" i="5"/>
  <c r="C689" i="5"/>
  <c r="E689" i="5"/>
  <c r="F689" i="5"/>
  <c r="G689" i="5"/>
  <c r="O689" i="5"/>
  <c r="P689" i="5"/>
  <c r="Q689" i="5"/>
  <c r="R689" i="5"/>
  <c r="S689" i="5"/>
  <c r="T689" i="5"/>
  <c r="U689" i="5"/>
  <c r="V689" i="5"/>
  <c r="W689" i="5"/>
  <c r="X689" i="5"/>
  <c r="A690" i="5"/>
  <c r="B690" i="5"/>
  <c r="C690" i="5"/>
  <c r="E690" i="5"/>
  <c r="F690" i="5"/>
  <c r="G690" i="5"/>
  <c r="O690" i="5"/>
  <c r="P690" i="5"/>
  <c r="Q690" i="5"/>
  <c r="R690" i="5"/>
  <c r="S690" i="5"/>
  <c r="T690" i="5"/>
  <c r="U690" i="5"/>
  <c r="V690" i="5"/>
  <c r="W690" i="5"/>
  <c r="X690" i="5"/>
  <c r="A691" i="5"/>
  <c r="B691" i="5"/>
  <c r="C691" i="5"/>
  <c r="E691" i="5"/>
  <c r="F691" i="5"/>
  <c r="G691" i="5"/>
  <c r="O691" i="5"/>
  <c r="P691" i="5"/>
  <c r="Q691" i="5"/>
  <c r="R691" i="5"/>
  <c r="S691" i="5"/>
  <c r="T691" i="5"/>
  <c r="U691" i="5"/>
  <c r="V691" i="5"/>
  <c r="W691" i="5"/>
  <c r="X691" i="5"/>
  <c r="A692" i="5"/>
  <c r="B692" i="5"/>
  <c r="C692" i="5"/>
  <c r="E692" i="5"/>
  <c r="F692" i="5"/>
  <c r="G692" i="5"/>
  <c r="O692" i="5"/>
  <c r="P692" i="5"/>
  <c r="Q692" i="5"/>
  <c r="R692" i="5"/>
  <c r="S692" i="5"/>
  <c r="T692" i="5"/>
  <c r="U692" i="5"/>
  <c r="V692" i="5"/>
  <c r="W692" i="5"/>
  <c r="X692" i="5"/>
  <c r="A693" i="5"/>
  <c r="B693" i="5"/>
  <c r="C693" i="5"/>
  <c r="E693" i="5"/>
  <c r="F693" i="5"/>
  <c r="G693" i="5"/>
  <c r="O693" i="5"/>
  <c r="P693" i="5"/>
  <c r="Q693" i="5"/>
  <c r="R693" i="5"/>
  <c r="S693" i="5"/>
  <c r="T693" i="5"/>
  <c r="U693" i="5"/>
  <c r="V693" i="5"/>
  <c r="W693" i="5"/>
  <c r="X693" i="5"/>
  <c r="A694" i="5"/>
  <c r="B694" i="5"/>
  <c r="C694" i="5"/>
  <c r="E694" i="5"/>
  <c r="F694" i="5"/>
  <c r="G694" i="5"/>
  <c r="O694" i="5"/>
  <c r="P694" i="5"/>
  <c r="Q694" i="5"/>
  <c r="R694" i="5"/>
  <c r="S694" i="5"/>
  <c r="T694" i="5"/>
  <c r="U694" i="5"/>
  <c r="V694" i="5"/>
  <c r="W694" i="5"/>
  <c r="X694" i="5"/>
  <c r="A695" i="5"/>
  <c r="B695" i="5"/>
  <c r="C695" i="5"/>
  <c r="E695" i="5"/>
  <c r="F695" i="5"/>
  <c r="G695" i="5"/>
  <c r="O695" i="5"/>
  <c r="P695" i="5"/>
  <c r="Q695" i="5"/>
  <c r="R695" i="5"/>
  <c r="S695" i="5"/>
  <c r="T695" i="5"/>
  <c r="U695" i="5"/>
  <c r="V695" i="5"/>
  <c r="W695" i="5"/>
  <c r="X695" i="5"/>
  <c r="A696" i="5"/>
  <c r="B696" i="5"/>
  <c r="C696" i="5"/>
  <c r="E696" i="5"/>
  <c r="F696" i="5"/>
  <c r="G696" i="5"/>
  <c r="O696" i="5"/>
  <c r="P696" i="5"/>
  <c r="Q696" i="5"/>
  <c r="R696" i="5"/>
  <c r="S696" i="5"/>
  <c r="T696" i="5"/>
  <c r="U696" i="5"/>
  <c r="V696" i="5"/>
  <c r="W696" i="5"/>
  <c r="X696" i="5"/>
  <c r="A697" i="5"/>
  <c r="B697" i="5"/>
  <c r="C697" i="5"/>
  <c r="E697" i="5"/>
  <c r="F697" i="5"/>
  <c r="G697" i="5"/>
  <c r="O697" i="5"/>
  <c r="P697" i="5"/>
  <c r="Q697" i="5"/>
  <c r="R697" i="5"/>
  <c r="S697" i="5"/>
  <c r="T697" i="5"/>
  <c r="U697" i="5"/>
  <c r="V697" i="5"/>
  <c r="W697" i="5"/>
  <c r="X697" i="5"/>
  <c r="A698" i="5"/>
  <c r="B698" i="5"/>
  <c r="C698" i="5"/>
  <c r="E698" i="5"/>
  <c r="F698" i="5"/>
  <c r="G698" i="5"/>
  <c r="O698" i="5"/>
  <c r="P698" i="5"/>
  <c r="Q698" i="5"/>
  <c r="R698" i="5"/>
  <c r="S698" i="5"/>
  <c r="T698" i="5"/>
  <c r="U698" i="5"/>
  <c r="V698" i="5"/>
  <c r="W698" i="5"/>
  <c r="X698" i="5"/>
  <c r="A699" i="5"/>
  <c r="B699" i="5"/>
  <c r="C699" i="5"/>
  <c r="E699" i="5"/>
  <c r="F699" i="5"/>
  <c r="G699" i="5"/>
  <c r="O699" i="5"/>
  <c r="P699" i="5"/>
  <c r="Q699" i="5"/>
  <c r="R699" i="5"/>
  <c r="S699" i="5"/>
  <c r="T699" i="5"/>
  <c r="U699" i="5"/>
  <c r="V699" i="5"/>
  <c r="W699" i="5"/>
  <c r="X699" i="5"/>
  <c r="A700" i="5"/>
  <c r="B700" i="5"/>
  <c r="C700" i="5"/>
  <c r="E700" i="5"/>
  <c r="F700" i="5"/>
  <c r="G700" i="5"/>
  <c r="O700" i="5"/>
  <c r="P700" i="5"/>
  <c r="Q700" i="5"/>
  <c r="R700" i="5"/>
  <c r="S700" i="5"/>
  <c r="T700" i="5"/>
  <c r="U700" i="5"/>
  <c r="V700" i="5"/>
  <c r="W700" i="5"/>
  <c r="X700" i="5"/>
  <c r="A701" i="5"/>
  <c r="B701" i="5"/>
  <c r="C701" i="5"/>
  <c r="E701" i="5"/>
  <c r="F701" i="5"/>
  <c r="G701" i="5"/>
  <c r="O701" i="5"/>
  <c r="P701" i="5"/>
  <c r="Q701" i="5"/>
  <c r="R701" i="5"/>
  <c r="S701" i="5"/>
  <c r="T701" i="5"/>
  <c r="U701" i="5"/>
  <c r="V701" i="5"/>
  <c r="W701" i="5"/>
  <c r="X701" i="5"/>
  <c r="A702" i="5"/>
  <c r="B702" i="5"/>
  <c r="C702" i="5"/>
  <c r="E702" i="5"/>
  <c r="F702" i="5"/>
  <c r="G702" i="5"/>
  <c r="O702" i="5"/>
  <c r="P702" i="5"/>
  <c r="Q702" i="5"/>
  <c r="R702" i="5"/>
  <c r="S702" i="5"/>
  <c r="T702" i="5"/>
  <c r="U702" i="5"/>
  <c r="V702" i="5"/>
  <c r="W702" i="5"/>
  <c r="X702" i="5"/>
  <c r="A703" i="5"/>
  <c r="B703" i="5"/>
  <c r="C703" i="5"/>
  <c r="E703" i="5"/>
  <c r="F703" i="5"/>
  <c r="G703" i="5"/>
  <c r="O703" i="5"/>
  <c r="P703" i="5"/>
  <c r="Q703" i="5"/>
  <c r="R703" i="5"/>
  <c r="S703" i="5"/>
  <c r="T703" i="5"/>
  <c r="U703" i="5"/>
  <c r="V703" i="5"/>
  <c r="W703" i="5"/>
  <c r="X703" i="5"/>
  <c r="A704" i="5"/>
  <c r="B704" i="5"/>
  <c r="C704" i="5"/>
  <c r="E704" i="5"/>
  <c r="F704" i="5"/>
  <c r="G704" i="5"/>
  <c r="O704" i="5"/>
  <c r="P704" i="5"/>
  <c r="Q704" i="5"/>
  <c r="R704" i="5"/>
  <c r="S704" i="5"/>
  <c r="T704" i="5"/>
  <c r="U704" i="5"/>
  <c r="V704" i="5"/>
  <c r="W704" i="5"/>
  <c r="X704" i="5"/>
  <c r="A705" i="5"/>
  <c r="B705" i="5"/>
  <c r="C705" i="5"/>
  <c r="E705" i="5"/>
  <c r="F705" i="5"/>
  <c r="G705" i="5"/>
  <c r="O705" i="5"/>
  <c r="P705" i="5"/>
  <c r="Q705" i="5"/>
  <c r="R705" i="5"/>
  <c r="S705" i="5"/>
  <c r="T705" i="5"/>
  <c r="U705" i="5"/>
  <c r="V705" i="5"/>
  <c r="W705" i="5"/>
  <c r="X705" i="5"/>
  <c r="A706" i="5"/>
  <c r="B706" i="5"/>
  <c r="C706" i="5"/>
  <c r="E706" i="5"/>
  <c r="F706" i="5"/>
  <c r="G706" i="5"/>
  <c r="O706" i="5"/>
  <c r="P706" i="5"/>
  <c r="Q706" i="5"/>
  <c r="R706" i="5"/>
  <c r="S706" i="5"/>
  <c r="T706" i="5"/>
  <c r="U706" i="5"/>
  <c r="V706" i="5"/>
  <c r="W706" i="5"/>
  <c r="X706" i="5"/>
  <c r="A707" i="5"/>
  <c r="B707" i="5"/>
  <c r="C707" i="5"/>
  <c r="E707" i="5"/>
  <c r="F707" i="5"/>
  <c r="G707" i="5"/>
  <c r="O707" i="5"/>
  <c r="P707" i="5"/>
  <c r="Q707" i="5"/>
  <c r="R707" i="5"/>
  <c r="S707" i="5"/>
  <c r="T707" i="5"/>
  <c r="U707" i="5"/>
  <c r="V707" i="5"/>
  <c r="W707" i="5"/>
  <c r="X707" i="5"/>
  <c r="A708" i="5"/>
  <c r="B708" i="5"/>
  <c r="C708" i="5"/>
  <c r="E708" i="5"/>
  <c r="F708" i="5"/>
  <c r="G708" i="5"/>
  <c r="O708" i="5"/>
  <c r="P708" i="5"/>
  <c r="Q708" i="5"/>
  <c r="R708" i="5"/>
  <c r="S708" i="5"/>
  <c r="T708" i="5"/>
  <c r="U708" i="5"/>
  <c r="V708" i="5"/>
  <c r="W708" i="5"/>
  <c r="X708" i="5"/>
  <c r="A709" i="5"/>
  <c r="B709" i="5"/>
  <c r="C709" i="5"/>
  <c r="E709" i="5"/>
  <c r="F709" i="5"/>
  <c r="G709" i="5"/>
  <c r="O709" i="5"/>
  <c r="P709" i="5"/>
  <c r="Q709" i="5"/>
  <c r="R709" i="5"/>
  <c r="S709" i="5"/>
  <c r="T709" i="5"/>
  <c r="U709" i="5"/>
  <c r="V709" i="5"/>
  <c r="W709" i="5"/>
  <c r="X709" i="5"/>
  <c r="A710" i="5"/>
  <c r="B710" i="5"/>
  <c r="C710" i="5"/>
  <c r="E710" i="5"/>
  <c r="F710" i="5"/>
  <c r="G710" i="5"/>
  <c r="O710" i="5"/>
  <c r="P710" i="5"/>
  <c r="Q710" i="5"/>
  <c r="R710" i="5"/>
  <c r="S710" i="5"/>
  <c r="T710" i="5"/>
  <c r="U710" i="5"/>
  <c r="V710" i="5"/>
  <c r="W710" i="5"/>
  <c r="X710" i="5"/>
  <c r="A711" i="5"/>
  <c r="B711" i="5"/>
  <c r="C711" i="5"/>
  <c r="E711" i="5"/>
  <c r="F711" i="5"/>
  <c r="G711" i="5"/>
  <c r="O711" i="5"/>
  <c r="P711" i="5"/>
  <c r="Q711" i="5"/>
  <c r="R711" i="5"/>
  <c r="S711" i="5"/>
  <c r="T711" i="5"/>
  <c r="U711" i="5"/>
  <c r="V711" i="5"/>
  <c r="W711" i="5"/>
  <c r="X711" i="5"/>
  <c r="A712" i="5"/>
  <c r="B712" i="5"/>
  <c r="C712" i="5"/>
  <c r="E712" i="5"/>
  <c r="F712" i="5"/>
  <c r="G712" i="5"/>
  <c r="O712" i="5"/>
  <c r="P712" i="5"/>
  <c r="Q712" i="5"/>
  <c r="R712" i="5"/>
  <c r="S712" i="5"/>
  <c r="T712" i="5"/>
  <c r="U712" i="5"/>
  <c r="V712" i="5"/>
  <c r="W712" i="5"/>
  <c r="X712" i="5"/>
  <c r="A713" i="5"/>
  <c r="B713" i="5"/>
  <c r="C713" i="5"/>
  <c r="E713" i="5"/>
  <c r="F713" i="5"/>
  <c r="G713" i="5"/>
  <c r="O713" i="5"/>
  <c r="P713" i="5"/>
  <c r="Q713" i="5"/>
  <c r="R713" i="5"/>
  <c r="S713" i="5"/>
  <c r="T713" i="5"/>
  <c r="U713" i="5"/>
  <c r="V713" i="5"/>
  <c r="W713" i="5"/>
  <c r="X713" i="5"/>
  <c r="A714" i="5"/>
  <c r="B714" i="5"/>
  <c r="C714" i="5"/>
  <c r="E714" i="5"/>
  <c r="F714" i="5"/>
  <c r="G714" i="5"/>
  <c r="O714" i="5"/>
  <c r="P714" i="5"/>
  <c r="Q714" i="5"/>
  <c r="R714" i="5"/>
  <c r="S714" i="5"/>
  <c r="T714" i="5"/>
  <c r="U714" i="5"/>
  <c r="V714" i="5"/>
  <c r="W714" i="5"/>
  <c r="X714" i="5"/>
  <c r="A715" i="5"/>
  <c r="B715" i="5"/>
  <c r="C715" i="5"/>
  <c r="E715" i="5"/>
  <c r="F715" i="5"/>
  <c r="G715" i="5"/>
  <c r="O715" i="5"/>
  <c r="P715" i="5"/>
  <c r="Q715" i="5"/>
  <c r="R715" i="5"/>
  <c r="S715" i="5"/>
  <c r="T715" i="5"/>
  <c r="U715" i="5"/>
  <c r="V715" i="5"/>
  <c r="W715" i="5"/>
  <c r="X715" i="5"/>
  <c r="A716" i="5"/>
  <c r="B716" i="5"/>
  <c r="C716" i="5"/>
  <c r="E716" i="5"/>
  <c r="F716" i="5"/>
  <c r="G716" i="5"/>
  <c r="O716" i="5"/>
  <c r="P716" i="5"/>
  <c r="Q716" i="5"/>
  <c r="R716" i="5"/>
  <c r="S716" i="5"/>
  <c r="T716" i="5"/>
  <c r="U716" i="5"/>
  <c r="V716" i="5"/>
  <c r="W716" i="5"/>
  <c r="X716" i="5"/>
  <c r="A717" i="5"/>
  <c r="B717" i="5"/>
  <c r="C717" i="5"/>
  <c r="E717" i="5"/>
  <c r="F717" i="5"/>
  <c r="G717" i="5"/>
  <c r="O717" i="5"/>
  <c r="P717" i="5"/>
  <c r="Q717" i="5"/>
  <c r="R717" i="5"/>
  <c r="S717" i="5"/>
  <c r="T717" i="5"/>
  <c r="U717" i="5"/>
  <c r="V717" i="5"/>
  <c r="W717" i="5"/>
  <c r="X717" i="5"/>
  <c r="A718" i="5"/>
  <c r="B718" i="5"/>
  <c r="C718" i="5"/>
  <c r="E718" i="5"/>
  <c r="F718" i="5"/>
  <c r="G718" i="5"/>
  <c r="O718" i="5"/>
  <c r="P718" i="5"/>
  <c r="Q718" i="5"/>
  <c r="R718" i="5"/>
  <c r="S718" i="5"/>
  <c r="T718" i="5"/>
  <c r="U718" i="5"/>
  <c r="V718" i="5"/>
  <c r="W718" i="5"/>
  <c r="X718" i="5"/>
  <c r="A719" i="5"/>
  <c r="B719" i="5"/>
  <c r="C719" i="5"/>
  <c r="E719" i="5"/>
  <c r="F719" i="5"/>
  <c r="G719" i="5"/>
  <c r="O719" i="5"/>
  <c r="P719" i="5"/>
  <c r="Q719" i="5"/>
  <c r="R719" i="5"/>
  <c r="S719" i="5"/>
  <c r="T719" i="5"/>
  <c r="U719" i="5"/>
  <c r="V719" i="5"/>
  <c r="W719" i="5"/>
  <c r="X719" i="5"/>
  <c r="A720" i="5"/>
  <c r="B720" i="5"/>
  <c r="C720" i="5"/>
  <c r="E720" i="5"/>
  <c r="F720" i="5"/>
  <c r="G720" i="5"/>
  <c r="O720" i="5"/>
  <c r="P720" i="5"/>
  <c r="Q720" i="5"/>
  <c r="R720" i="5"/>
  <c r="S720" i="5"/>
  <c r="T720" i="5"/>
  <c r="U720" i="5"/>
  <c r="V720" i="5"/>
  <c r="W720" i="5"/>
  <c r="X720" i="5"/>
  <c r="A721" i="5"/>
  <c r="B721" i="5"/>
  <c r="C721" i="5"/>
  <c r="E721" i="5"/>
  <c r="F721" i="5"/>
  <c r="G721" i="5"/>
  <c r="O721" i="5"/>
  <c r="P721" i="5"/>
  <c r="Q721" i="5"/>
  <c r="R721" i="5"/>
  <c r="S721" i="5"/>
  <c r="T721" i="5"/>
  <c r="U721" i="5"/>
  <c r="V721" i="5"/>
  <c r="W721" i="5"/>
  <c r="X721" i="5"/>
  <c r="A722" i="5"/>
  <c r="B722" i="5"/>
  <c r="C722" i="5"/>
  <c r="E722" i="5"/>
  <c r="F722" i="5"/>
  <c r="G722" i="5"/>
  <c r="O722" i="5"/>
  <c r="P722" i="5"/>
  <c r="Q722" i="5"/>
  <c r="R722" i="5"/>
  <c r="S722" i="5"/>
  <c r="T722" i="5"/>
  <c r="U722" i="5"/>
  <c r="V722" i="5"/>
  <c r="W722" i="5"/>
  <c r="X722" i="5"/>
  <c r="A723" i="5"/>
  <c r="B723" i="5"/>
  <c r="C723" i="5"/>
  <c r="E723" i="5"/>
  <c r="F723" i="5"/>
  <c r="G723" i="5"/>
  <c r="O723" i="5"/>
  <c r="P723" i="5"/>
  <c r="Q723" i="5"/>
  <c r="R723" i="5"/>
  <c r="S723" i="5"/>
  <c r="T723" i="5"/>
  <c r="U723" i="5"/>
  <c r="V723" i="5"/>
  <c r="W723" i="5"/>
  <c r="X723" i="5"/>
  <c r="A724" i="5"/>
  <c r="B724" i="5"/>
  <c r="C724" i="5"/>
  <c r="E724" i="5"/>
  <c r="F724" i="5"/>
  <c r="G724" i="5"/>
  <c r="O724" i="5"/>
  <c r="P724" i="5"/>
  <c r="Q724" i="5"/>
  <c r="R724" i="5"/>
  <c r="S724" i="5"/>
  <c r="T724" i="5"/>
  <c r="U724" i="5"/>
  <c r="V724" i="5"/>
  <c r="W724" i="5"/>
  <c r="X724" i="5"/>
  <c r="A725" i="5"/>
  <c r="B725" i="5"/>
  <c r="C725" i="5"/>
  <c r="E725" i="5"/>
  <c r="F725" i="5"/>
  <c r="G725" i="5"/>
  <c r="O725" i="5"/>
  <c r="P725" i="5"/>
  <c r="Q725" i="5"/>
  <c r="R725" i="5"/>
  <c r="S725" i="5"/>
  <c r="T725" i="5"/>
  <c r="U725" i="5"/>
  <c r="V725" i="5"/>
  <c r="W725" i="5"/>
  <c r="X725" i="5"/>
  <c r="A726" i="5"/>
  <c r="B726" i="5"/>
  <c r="C726" i="5"/>
  <c r="E726" i="5"/>
  <c r="F726" i="5"/>
  <c r="G726" i="5"/>
  <c r="O726" i="5"/>
  <c r="P726" i="5"/>
  <c r="Q726" i="5"/>
  <c r="R726" i="5"/>
  <c r="S726" i="5"/>
  <c r="T726" i="5"/>
  <c r="U726" i="5"/>
  <c r="V726" i="5"/>
  <c r="W726" i="5"/>
  <c r="X726" i="5"/>
  <c r="A727" i="5"/>
  <c r="B727" i="5"/>
  <c r="C727" i="5"/>
  <c r="E727" i="5"/>
  <c r="F727" i="5"/>
  <c r="G727" i="5"/>
  <c r="O727" i="5"/>
  <c r="P727" i="5"/>
  <c r="Q727" i="5"/>
  <c r="R727" i="5"/>
  <c r="S727" i="5"/>
  <c r="T727" i="5"/>
  <c r="U727" i="5"/>
  <c r="V727" i="5"/>
  <c r="W727" i="5"/>
  <c r="X727" i="5"/>
  <c r="A728" i="5"/>
  <c r="B728" i="5"/>
  <c r="C728" i="5"/>
  <c r="E728" i="5"/>
  <c r="F728" i="5"/>
  <c r="G728" i="5"/>
  <c r="O728" i="5"/>
  <c r="P728" i="5"/>
  <c r="Q728" i="5"/>
  <c r="R728" i="5"/>
  <c r="S728" i="5"/>
  <c r="T728" i="5"/>
  <c r="U728" i="5"/>
  <c r="V728" i="5"/>
  <c r="W728" i="5"/>
  <c r="X728" i="5"/>
  <c r="A729" i="5"/>
  <c r="B729" i="5"/>
  <c r="C729" i="5"/>
  <c r="E729" i="5"/>
  <c r="F729" i="5"/>
  <c r="G729" i="5"/>
  <c r="O729" i="5"/>
  <c r="P729" i="5"/>
  <c r="Q729" i="5"/>
  <c r="R729" i="5"/>
  <c r="S729" i="5"/>
  <c r="T729" i="5"/>
  <c r="U729" i="5"/>
  <c r="V729" i="5"/>
  <c r="W729" i="5"/>
  <c r="X729" i="5"/>
  <c r="A730" i="5"/>
  <c r="B730" i="5"/>
  <c r="C730" i="5"/>
  <c r="E730" i="5"/>
  <c r="F730" i="5"/>
  <c r="G730" i="5"/>
  <c r="O730" i="5"/>
  <c r="P730" i="5"/>
  <c r="Q730" i="5"/>
  <c r="R730" i="5"/>
  <c r="S730" i="5"/>
  <c r="T730" i="5"/>
  <c r="U730" i="5"/>
  <c r="V730" i="5"/>
  <c r="W730" i="5"/>
  <c r="X730" i="5"/>
  <c r="A731" i="5"/>
  <c r="B731" i="5"/>
  <c r="C731" i="5"/>
  <c r="E731" i="5"/>
  <c r="F731" i="5"/>
  <c r="G731" i="5"/>
  <c r="O731" i="5"/>
  <c r="P731" i="5"/>
  <c r="Q731" i="5"/>
  <c r="R731" i="5"/>
  <c r="S731" i="5"/>
  <c r="T731" i="5"/>
  <c r="U731" i="5"/>
  <c r="V731" i="5"/>
  <c r="W731" i="5"/>
  <c r="X731" i="5"/>
  <c r="A732" i="5"/>
  <c r="B732" i="5"/>
  <c r="C732" i="5"/>
  <c r="E732" i="5"/>
  <c r="F732" i="5"/>
  <c r="G732" i="5"/>
  <c r="O732" i="5"/>
  <c r="P732" i="5"/>
  <c r="Q732" i="5"/>
  <c r="R732" i="5"/>
  <c r="S732" i="5"/>
  <c r="T732" i="5"/>
  <c r="U732" i="5"/>
  <c r="V732" i="5"/>
  <c r="W732" i="5"/>
  <c r="X732" i="5"/>
  <c r="A733" i="5"/>
  <c r="B733" i="5"/>
  <c r="C733" i="5"/>
  <c r="E733" i="5"/>
  <c r="F733" i="5"/>
  <c r="G733" i="5"/>
  <c r="O733" i="5"/>
  <c r="P733" i="5"/>
  <c r="Q733" i="5"/>
  <c r="R733" i="5"/>
  <c r="S733" i="5"/>
  <c r="T733" i="5"/>
  <c r="U733" i="5"/>
  <c r="V733" i="5"/>
  <c r="W733" i="5"/>
  <c r="X733" i="5"/>
  <c r="A734" i="5"/>
  <c r="B734" i="5"/>
  <c r="C734" i="5"/>
  <c r="E734" i="5"/>
  <c r="F734" i="5"/>
  <c r="G734" i="5"/>
  <c r="O734" i="5"/>
  <c r="P734" i="5"/>
  <c r="Q734" i="5"/>
  <c r="R734" i="5"/>
  <c r="S734" i="5"/>
  <c r="T734" i="5"/>
  <c r="U734" i="5"/>
  <c r="V734" i="5"/>
  <c r="W734" i="5"/>
  <c r="X734" i="5"/>
  <c r="A735" i="5"/>
  <c r="B735" i="5"/>
  <c r="C735" i="5"/>
  <c r="E735" i="5"/>
  <c r="F735" i="5"/>
  <c r="G735" i="5"/>
  <c r="O735" i="5"/>
  <c r="P735" i="5"/>
  <c r="Q735" i="5"/>
  <c r="R735" i="5"/>
  <c r="S735" i="5"/>
  <c r="T735" i="5"/>
  <c r="U735" i="5"/>
  <c r="V735" i="5"/>
  <c r="W735" i="5"/>
  <c r="X735" i="5"/>
  <c r="A736" i="5"/>
  <c r="B736" i="5"/>
  <c r="C736" i="5"/>
  <c r="E736" i="5"/>
  <c r="F736" i="5"/>
  <c r="G736" i="5"/>
  <c r="O736" i="5"/>
  <c r="P736" i="5"/>
  <c r="Q736" i="5"/>
  <c r="R736" i="5"/>
  <c r="S736" i="5"/>
  <c r="T736" i="5"/>
  <c r="U736" i="5"/>
  <c r="V736" i="5"/>
  <c r="W736" i="5"/>
  <c r="X736" i="5"/>
  <c r="A737" i="5"/>
  <c r="B737" i="5"/>
  <c r="C737" i="5"/>
  <c r="E737" i="5"/>
  <c r="F737" i="5"/>
  <c r="G737" i="5"/>
  <c r="O737" i="5"/>
  <c r="P737" i="5"/>
  <c r="Q737" i="5"/>
  <c r="R737" i="5"/>
  <c r="S737" i="5"/>
  <c r="T737" i="5"/>
  <c r="U737" i="5"/>
  <c r="V737" i="5"/>
  <c r="W737" i="5"/>
  <c r="X737" i="5"/>
  <c r="A738" i="5"/>
  <c r="B738" i="5"/>
  <c r="C738" i="5"/>
  <c r="E738" i="5"/>
  <c r="F738" i="5"/>
  <c r="G738" i="5"/>
  <c r="O738" i="5"/>
  <c r="P738" i="5"/>
  <c r="Q738" i="5"/>
  <c r="R738" i="5"/>
  <c r="S738" i="5"/>
  <c r="T738" i="5"/>
  <c r="U738" i="5"/>
  <c r="V738" i="5"/>
  <c r="W738" i="5"/>
  <c r="X738" i="5"/>
  <c r="A739" i="5"/>
  <c r="B739" i="5"/>
  <c r="C739" i="5"/>
  <c r="E739" i="5"/>
  <c r="F739" i="5"/>
  <c r="G739" i="5"/>
  <c r="O739" i="5"/>
  <c r="P739" i="5"/>
  <c r="Q739" i="5"/>
  <c r="R739" i="5"/>
  <c r="S739" i="5"/>
  <c r="T739" i="5"/>
  <c r="U739" i="5"/>
  <c r="V739" i="5"/>
  <c r="W739" i="5"/>
  <c r="X739" i="5"/>
  <c r="A740" i="5"/>
  <c r="B740" i="5"/>
  <c r="C740" i="5"/>
  <c r="E740" i="5"/>
  <c r="F740" i="5"/>
  <c r="G740" i="5"/>
  <c r="O740" i="5"/>
  <c r="P740" i="5"/>
  <c r="Q740" i="5"/>
  <c r="R740" i="5"/>
  <c r="S740" i="5"/>
  <c r="T740" i="5"/>
  <c r="U740" i="5"/>
  <c r="V740" i="5"/>
  <c r="W740" i="5"/>
  <c r="X740" i="5"/>
  <c r="A741" i="5"/>
  <c r="B741" i="5"/>
  <c r="C741" i="5"/>
  <c r="E741" i="5"/>
  <c r="F741" i="5"/>
  <c r="G741" i="5"/>
  <c r="O741" i="5"/>
  <c r="P741" i="5"/>
  <c r="Q741" i="5"/>
  <c r="R741" i="5"/>
  <c r="S741" i="5"/>
  <c r="T741" i="5"/>
  <c r="U741" i="5"/>
  <c r="V741" i="5"/>
  <c r="W741" i="5"/>
  <c r="X741" i="5"/>
  <c r="A742" i="5"/>
  <c r="B742" i="5"/>
  <c r="C742" i="5"/>
  <c r="E742" i="5"/>
  <c r="F742" i="5"/>
  <c r="G742" i="5"/>
  <c r="O742" i="5"/>
  <c r="P742" i="5"/>
  <c r="Q742" i="5"/>
  <c r="R742" i="5"/>
  <c r="S742" i="5"/>
  <c r="T742" i="5"/>
  <c r="U742" i="5"/>
  <c r="V742" i="5"/>
  <c r="W742" i="5"/>
  <c r="X742" i="5"/>
  <c r="A743" i="5"/>
  <c r="B743" i="5"/>
  <c r="C743" i="5"/>
  <c r="E743" i="5"/>
  <c r="F743" i="5"/>
  <c r="G743" i="5"/>
  <c r="O743" i="5"/>
  <c r="P743" i="5"/>
  <c r="Q743" i="5"/>
  <c r="R743" i="5"/>
  <c r="S743" i="5"/>
  <c r="T743" i="5"/>
  <c r="U743" i="5"/>
  <c r="V743" i="5"/>
  <c r="W743" i="5"/>
  <c r="X743" i="5"/>
  <c r="A744" i="5"/>
  <c r="B744" i="5"/>
  <c r="C744" i="5"/>
  <c r="E744" i="5"/>
  <c r="F744" i="5"/>
  <c r="G744" i="5"/>
  <c r="O744" i="5"/>
  <c r="P744" i="5"/>
  <c r="Q744" i="5"/>
  <c r="R744" i="5"/>
  <c r="S744" i="5"/>
  <c r="T744" i="5"/>
  <c r="U744" i="5"/>
  <c r="V744" i="5"/>
  <c r="W744" i="5"/>
  <c r="X744" i="5"/>
  <c r="A745" i="5"/>
  <c r="B745" i="5"/>
  <c r="C745" i="5"/>
  <c r="E745" i="5"/>
  <c r="F745" i="5"/>
  <c r="G745" i="5"/>
  <c r="O745" i="5"/>
  <c r="P745" i="5"/>
  <c r="Q745" i="5"/>
  <c r="R745" i="5"/>
  <c r="S745" i="5"/>
  <c r="T745" i="5"/>
  <c r="U745" i="5"/>
  <c r="V745" i="5"/>
  <c r="W745" i="5"/>
  <c r="X745" i="5"/>
  <c r="A746" i="5"/>
  <c r="B746" i="5"/>
  <c r="C746" i="5"/>
  <c r="E746" i="5"/>
  <c r="F746" i="5"/>
  <c r="G746" i="5"/>
  <c r="O746" i="5"/>
  <c r="P746" i="5"/>
  <c r="Q746" i="5"/>
  <c r="R746" i="5"/>
  <c r="S746" i="5"/>
  <c r="T746" i="5"/>
  <c r="U746" i="5"/>
  <c r="V746" i="5"/>
  <c r="W746" i="5"/>
  <c r="X746" i="5"/>
  <c r="A747" i="5"/>
  <c r="B747" i="5"/>
  <c r="C747" i="5"/>
  <c r="E747" i="5"/>
  <c r="F747" i="5"/>
  <c r="G747" i="5"/>
  <c r="O747" i="5"/>
  <c r="P747" i="5"/>
  <c r="Q747" i="5"/>
  <c r="R747" i="5"/>
  <c r="S747" i="5"/>
  <c r="T747" i="5"/>
  <c r="U747" i="5"/>
  <c r="V747" i="5"/>
  <c r="W747" i="5"/>
  <c r="X747" i="5"/>
  <c r="A748" i="5"/>
  <c r="B748" i="5"/>
  <c r="C748" i="5"/>
  <c r="E748" i="5"/>
  <c r="F748" i="5"/>
  <c r="G748" i="5"/>
  <c r="O748" i="5"/>
  <c r="P748" i="5"/>
  <c r="Q748" i="5"/>
  <c r="R748" i="5"/>
  <c r="S748" i="5"/>
  <c r="T748" i="5"/>
  <c r="U748" i="5"/>
  <c r="V748" i="5"/>
  <c r="W748" i="5"/>
  <c r="X748" i="5"/>
  <c r="A749" i="5"/>
  <c r="B749" i="5"/>
  <c r="C749" i="5"/>
  <c r="E749" i="5"/>
  <c r="F749" i="5"/>
  <c r="G749" i="5"/>
  <c r="O749" i="5"/>
  <c r="P749" i="5"/>
  <c r="Q749" i="5"/>
  <c r="R749" i="5"/>
  <c r="S749" i="5"/>
  <c r="T749" i="5"/>
  <c r="U749" i="5"/>
  <c r="V749" i="5"/>
  <c r="W749" i="5"/>
  <c r="X749" i="5"/>
  <c r="A750" i="5"/>
  <c r="B750" i="5"/>
  <c r="C750" i="5"/>
  <c r="E750" i="5"/>
  <c r="F750" i="5"/>
  <c r="G750" i="5"/>
  <c r="O750" i="5"/>
  <c r="P750" i="5"/>
  <c r="Q750" i="5"/>
  <c r="R750" i="5"/>
  <c r="S750" i="5"/>
  <c r="T750" i="5"/>
  <c r="U750" i="5"/>
  <c r="V750" i="5"/>
  <c r="W750" i="5"/>
  <c r="X750" i="5"/>
  <c r="A751" i="5"/>
  <c r="B751" i="5"/>
  <c r="C751" i="5"/>
  <c r="E751" i="5"/>
  <c r="F751" i="5"/>
  <c r="G751" i="5"/>
  <c r="O751" i="5"/>
  <c r="P751" i="5"/>
  <c r="Q751" i="5"/>
  <c r="R751" i="5"/>
  <c r="S751" i="5"/>
  <c r="T751" i="5"/>
  <c r="U751" i="5"/>
  <c r="V751" i="5"/>
  <c r="W751" i="5"/>
  <c r="X751" i="5"/>
  <c r="A752" i="5"/>
  <c r="B752" i="5"/>
  <c r="C752" i="5"/>
  <c r="E752" i="5"/>
  <c r="F752" i="5"/>
  <c r="G752" i="5"/>
  <c r="O752" i="5"/>
  <c r="P752" i="5"/>
  <c r="Q752" i="5"/>
  <c r="R752" i="5"/>
  <c r="S752" i="5"/>
  <c r="T752" i="5"/>
  <c r="U752" i="5"/>
  <c r="V752" i="5"/>
  <c r="W752" i="5"/>
  <c r="X752" i="5"/>
  <c r="A753" i="5"/>
  <c r="B753" i="5"/>
  <c r="C753" i="5"/>
  <c r="E753" i="5"/>
  <c r="F753" i="5"/>
  <c r="G753" i="5"/>
  <c r="O753" i="5"/>
  <c r="P753" i="5"/>
  <c r="Q753" i="5"/>
  <c r="R753" i="5"/>
  <c r="S753" i="5"/>
  <c r="T753" i="5"/>
  <c r="U753" i="5"/>
  <c r="V753" i="5"/>
  <c r="W753" i="5"/>
  <c r="X753" i="5"/>
  <c r="A754" i="5"/>
  <c r="B754" i="5"/>
  <c r="C754" i="5"/>
  <c r="E754" i="5"/>
  <c r="F754" i="5"/>
  <c r="G754" i="5"/>
  <c r="O754" i="5"/>
  <c r="P754" i="5"/>
  <c r="Q754" i="5"/>
  <c r="R754" i="5"/>
  <c r="S754" i="5"/>
  <c r="T754" i="5"/>
  <c r="U754" i="5"/>
  <c r="V754" i="5"/>
  <c r="W754" i="5"/>
  <c r="X754" i="5"/>
  <c r="A755" i="5"/>
  <c r="B755" i="5"/>
  <c r="C755" i="5"/>
  <c r="E755" i="5"/>
  <c r="F755" i="5"/>
  <c r="G755" i="5"/>
  <c r="O755" i="5"/>
  <c r="P755" i="5"/>
  <c r="Q755" i="5"/>
  <c r="R755" i="5"/>
  <c r="S755" i="5"/>
  <c r="T755" i="5"/>
  <c r="U755" i="5"/>
  <c r="V755" i="5"/>
  <c r="W755" i="5"/>
  <c r="X755" i="5"/>
  <c r="A756" i="5"/>
  <c r="B756" i="5"/>
  <c r="C756" i="5"/>
  <c r="E756" i="5"/>
  <c r="F756" i="5"/>
  <c r="G756" i="5"/>
  <c r="O756" i="5"/>
  <c r="P756" i="5"/>
  <c r="Q756" i="5"/>
  <c r="R756" i="5"/>
  <c r="S756" i="5"/>
  <c r="T756" i="5"/>
  <c r="U756" i="5"/>
  <c r="V756" i="5"/>
  <c r="W756" i="5"/>
  <c r="X756" i="5"/>
  <c r="A757" i="5"/>
  <c r="B757" i="5"/>
  <c r="C757" i="5"/>
  <c r="E757" i="5"/>
  <c r="F757" i="5"/>
  <c r="G757" i="5"/>
  <c r="O757" i="5"/>
  <c r="P757" i="5"/>
  <c r="Q757" i="5"/>
  <c r="R757" i="5"/>
  <c r="S757" i="5"/>
  <c r="T757" i="5"/>
  <c r="U757" i="5"/>
  <c r="V757" i="5"/>
  <c r="W757" i="5"/>
  <c r="X757" i="5"/>
  <c r="A758" i="5"/>
  <c r="B758" i="5"/>
  <c r="C758" i="5"/>
  <c r="E758" i="5"/>
  <c r="F758" i="5"/>
  <c r="G758" i="5"/>
  <c r="O758" i="5"/>
  <c r="P758" i="5"/>
  <c r="Q758" i="5"/>
  <c r="R758" i="5"/>
  <c r="S758" i="5"/>
  <c r="T758" i="5"/>
  <c r="U758" i="5"/>
  <c r="V758" i="5"/>
  <c r="W758" i="5"/>
  <c r="X758" i="5"/>
  <c r="A759" i="5"/>
  <c r="B759" i="5"/>
  <c r="C759" i="5"/>
  <c r="E759" i="5"/>
  <c r="F759" i="5"/>
  <c r="G759" i="5"/>
  <c r="O759" i="5"/>
  <c r="P759" i="5"/>
  <c r="Q759" i="5"/>
  <c r="R759" i="5"/>
  <c r="S759" i="5"/>
  <c r="T759" i="5"/>
  <c r="U759" i="5"/>
  <c r="V759" i="5"/>
  <c r="W759" i="5"/>
  <c r="X759" i="5"/>
  <c r="A760" i="5"/>
  <c r="B760" i="5"/>
  <c r="C760" i="5"/>
  <c r="E760" i="5"/>
  <c r="F760" i="5"/>
  <c r="G760" i="5"/>
  <c r="O760" i="5"/>
  <c r="P760" i="5"/>
  <c r="Q760" i="5"/>
  <c r="R760" i="5"/>
  <c r="S760" i="5"/>
  <c r="T760" i="5"/>
  <c r="U760" i="5"/>
  <c r="V760" i="5"/>
  <c r="W760" i="5"/>
  <c r="X760" i="5"/>
  <c r="A761" i="5"/>
  <c r="B761" i="5"/>
  <c r="C761" i="5"/>
  <c r="E761" i="5"/>
  <c r="F761" i="5"/>
  <c r="G761" i="5"/>
  <c r="O761" i="5"/>
  <c r="P761" i="5"/>
  <c r="Q761" i="5"/>
  <c r="R761" i="5"/>
  <c r="S761" i="5"/>
  <c r="T761" i="5"/>
  <c r="U761" i="5"/>
  <c r="V761" i="5"/>
  <c r="W761" i="5"/>
  <c r="X761" i="5"/>
  <c r="A762" i="5"/>
  <c r="B762" i="5"/>
  <c r="C762" i="5"/>
  <c r="E762" i="5"/>
  <c r="F762" i="5"/>
  <c r="G762" i="5"/>
  <c r="O762" i="5"/>
  <c r="P762" i="5"/>
  <c r="Q762" i="5"/>
  <c r="R762" i="5"/>
  <c r="S762" i="5"/>
  <c r="T762" i="5"/>
  <c r="U762" i="5"/>
  <c r="V762" i="5"/>
  <c r="W762" i="5"/>
  <c r="X762" i="5"/>
  <c r="A763" i="5"/>
  <c r="B763" i="5"/>
  <c r="C763" i="5"/>
  <c r="E763" i="5"/>
  <c r="F763" i="5"/>
  <c r="G763" i="5"/>
  <c r="O763" i="5"/>
  <c r="P763" i="5"/>
  <c r="Q763" i="5"/>
  <c r="R763" i="5"/>
  <c r="S763" i="5"/>
  <c r="T763" i="5"/>
  <c r="U763" i="5"/>
  <c r="V763" i="5"/>
  <c r="W763" i="5"/>
  <c r="X763" i="5"/>
  <c r="A764" i="5"/>
  <c r="B764" i="5"/>
  <c r="C764" i="5"/>
  <c r="E764" i="5"/>
  <c r="F764" i="5"/>
  <c r="G764" i="5"/>
  <c r="O764" i="5"/>
  <c r="P764" i="5"/>
  <c r="Q764" i="5"/>
  <c r="R764" i="5"/>
  <c r="S764" i="5"/>
  <c r="T764" i="5"/>
  <c r="U764" i="5"/>
  <c r="V764" i="5"/>
  <c r="W764" i="5"/>
  <c r="X764" i="5"/>
  <c r="A765" i="5"/>
  <c r="B765" i="5"/>
  <c r="C765" i="5"/>
  <c r="E765" i="5"/>
  <c r="F765" i="5"/>
  <c r="G765" i="5"/>
  <c r="O765" i="5"/>
  <c r="P765" i="5"/>
  <c r="Q765" i="5"/>
  <c r="R765" i="5"/>
  <c r="S765" i="5"/>
  <c r="T765" i="5"/>
  <c r="U765" i="5"/>
  <c r="V765" i="5"/>
  <c r="W765" i="5"/>
  <c r="X765" i="5"/>
  <c r="A766" i="5"/>
  <c r="B766" i="5"/>
  <c r="C766" i="5"/>
  <c r="E766" i="5"/>
  <c r="F766" i="5"/>
  <c r="G766" i="5"/>
  <c r="O766" i="5"/>
  <c r="P766" i="5"/>
  <c r="Q766" i="5"/>
  <c r="R766" i="5"/>
  <c r="S766" i="5"/>
  <c r="T766" i="5"/>
  <c r="U766" i="5"/>
  <c r="V766" i="5"/>
  <c r="W766" i="5"/>
  <c r="X766" i="5"/>
  <c r="A767" i="5"/>
  <c r="B767" i="5"/>
  <c r="C767" i="5"/>
  <c r="E767" i="5"/>
  <c r="F767" i="5"/>
  <c r="G767" i="5"/>
  <c r="O767" i="5"/>
  <c r="P767" i="5"/>
  <c r="Q767" i="5"/>
  <c r="R767" i="5"/>
  <c r="S767" i="5"/>
  <c r="T767" i="5"/>
  <c r="U767" i="5"/>
  <c r="V767" i="5"/>
  <c r="W767" i="5"/>
  <c r="X767" i="5"/>
  <c r="A768" i="5"/>
  <c r="B768" i="5"/>
  <c r="C768" i="5"/>
  <c r="E768" i="5"/>
  <c r="F768" i="5"/>
  <c r="G768" i="5"/>
  <c r="O768" i="5"/>
  <c r="P768" i="5"/>
  <c r="Q768" i="5"/>
  <c r="R768" i="5"/>
  <c r="S768" i="5"/>
  <c r="T768" i="5"/>
  <c r="U768" i="5"/>
  <c r="V768" i="5"/>
  <c r="W768" i="5"/>
  <c r="X768" i="5"/>
  <c r="A769" i="5"/>
  <c r="B769" i="5"/>
  <c r="C769" i="5"/>
  <c r="E769" i="5"/>
  <c r="F769" i="5"/>
  <c r="G769" i="5"/>
  <c r="O769" i="5"/>
  <c r="P769" i="5"/>
  <c r="Q769" i="5"/>
  <c r="R769" i="5"/>
  <c r="S769" i="5"/>
  <c r="T769" i="5"/>
  <c r="U769" i="5"/>
  <c r="V769" i="5"/>
  <c r="W769" i="5"/>
  <c r="X769" i="5"/>
  <c r="A770" i="5"/>
  <c r="B770" i="5"/>
  <c r="C770" i="5"/>
  <c r="E770" i="5"/>
  <c r="F770" i="5"/>
  <c r="G770" i="5"/>
  <c r="O770" i="5"/>
  <c r="P770" i="5"/>
  <c r="Q770" i="5"/>
  <c r="R770" i="5"/>
  <c r="S770" i="5"/>
  <c r="T770" i="5"/>
  <c r="U770" i="5"/>
  <c r="V770" i="5"/>
  <c r="W770" i="5"/>
  <c r="X770" i="5"/>
  <c r="A771" i="5"/>
  <c r="B771" i="5"/>
  <c r="C771" i="5"/>
  <c r="E771" i="5"/>
  <c r="F771" i="5"/>
  <c r="G771" i="5"/>
  <c r="O771" i="5"/>
  <c r="P771" i="5"/>
  <c r="Q771" i="5"/>
  <c r="R771" i="5"/>
  <c r="S771" i="5"/>
  <c r="T771" i="5"/>
  <c r="U771" i="5"/>
  <c r="V771" i="5"/>
  <c r="W771" i="5"/>
  <c r="X771" i="5"/>
  <c r="A772" i="5"/>
  <c r="B772" i="5"/>
  <c r="C772" i="5"/>
  <c r="E772" i="5"/>
  <c r="F772" i="5"/>
  <c r="G772" i="5"/>
  <c r="O772" i="5"/>
  <c r="P772" i="5"/>
  <c r="Q772" i="5"/>
  <c r="R772" i="5"/>
  <c r="S772" i="5"/>
  <c r="T772" i="5"/>
  <c r="U772" i="5"/>
  <c r="V772" i="5"/>
  <c r="W772" i="5"/>
  <c r="X772" i="5"/>
  <c r="A773" i="5"/>
  <c r="B773" i="5"/>
  <c r="C773" i="5"/>
  <c r="E773" i="5"/>
  <c r="F773" i="5"/>
  <c r="G773" i="5"/>
  <c r="O773" i="5"/>
  <c r="P773" i="5"/>
  <c r="Q773" i="5"/>
  <c r="R773" i="5"/>
  <c r="S773" i="5"/>
  <c r="T773" i="5"/>
  <c r="U773" i="5"/>
  <c r="V773" i="5"/>
  <c r="W773" i="5"/>
  <c r="X773" i="5"/>
  <c r="A774" i="5"/>
  <c r="B774" i="5"/>
  <c r="C774" i="5"/>
  <c r="E774" i="5"/>
  <c r="F774" i="5"/>
  <c r="G774" i="5"/>
  <c r="O774" i="5"/>
  <c r="P774" i="5"/>
  <c r="Q774" i="5"/>
  <c r="R774" i="5"/>
  <c r="S774" i="5"/>
  <c r="T774" i="5"/>
  <c r="U774" i="5"/>
  <c r="V774" i="5"/>
  <c r="W774" i="5"/>
  <c r="X774" i="5"/>
  <c r="A775" i="5"/>
  <c r="B775" i="5"/>
  <c r="C775" i="5"/>
  <c r="E775" i="5"/>
  <c r="F775" i="5"/>
  <c r="G775" i="5"/>
  <c r="O775" i="5"/>
  <c r="P775" i="5"/>
  <c r="Q775" i="5"/>
  <c r="R775" i="5"/>
  <c r="S775" i="5"/>
  <c r="T775" i="5"/>
  <c r="U775" i="5"/>
  <c r="V775" i="5"/>
  <c r="W775" i="5"/>
  <c r="X775" i="5"/>
  <c r="A776" i="5"/>
  <c r="B776" i="5"/>
  <c r="C776" i="5"/>
  <c r="E776" i="5"/>
  <c r="F776" i="5"/>
  <c r="G776" i="5"/>
  <c r="O776" i="5"/>
  <c r="P776" i="5"/>
  <c r="Q776" i="5"/>
  <c r="R776" i="5"/>
  <c r="S776" i="5"/>
  <c r="T776" i="5"/>
  <c r="U776" i="5"/>
  <c r="V776" i="5"/>
  <c r="W776" i="5"/>
  <c r="X776" i="5"/>
  <c r="A777" i="5"/>
  <c r="B777" i="5"/>
  <c r="C777" i="5"/>
  <c r="E777" i="5"/>
  <c r="F777" i="5"/>
  <c r="G777" i="5"/>
  <c r="O777" i="5"/>
  <c r="P777" i="5"/>
  <c r="Q777" i="5"/>
  <c r="R777" i="5"/>
  <c r="S777" i="5"/>
  <c r="T777" i="5"/>
  <c r="U777" i="5"/>
  <c r="V777" i="5"/>
  <c r="W777" i="5"/>
  <c r="X777" i="5"/>
  <c r="A778" i="5"/>
  <c r="B778" i="5"/>
  <c r="C778" i="5"/>
  <c r="E778" i="5"/>
  <c r="F778" i="5"/>
  <c r="G778" i="5"/>
  <c r="O778" i="5"/>
  <c r="P778" i="5"/>
  <c r="Q778" i="5"/>
  <c r="R778" i="5"/>
  <c r="S778" i="5"/>
  <c r="T778" i="5"/>
  <c r="U778" i="5"/>
  <c r="V778" i="5"/>
  <c r="W778" i="5"/>
  <c r="X778" i="5"/>
  <c r="A779" i="5"/>
  <c r="B779" i="5"/>
  <c r="C779" i="5"/>
  <c r="E779" i="5"/>
  <c r="F779" i="5"/>
  <c r="G779" i="5"/>
  <c r="O779" i="5"/>
  <c r="P779" i="5"/>
  <c r="Q779" i="5"/>
  <c r="R779" i="5"/>
  <c r="S779" i="5"/>
  <c r="T779" i="5"/>
  <c r="U779" i="5"/>
  <c r="V779" i="5"/>
  <c r="W779" i="5"/>
  <c r="X779" i="5"/>
  <c r="A780" i="5"/>
  <c r="B780" i="5"/>
  <c r="C780" i="5"/>
  <c r="E780" i="5"/>
  <c r="F780" i="5"/>
  <c r="G780" i="5"/>
  <c r="O780" i="5"/>
  <c r="P780" i="5"/>
  <c r="Q780" i="5"/>
  <c r="R780" i="5"/>
  <c r="S780" i="5"/>
  <c r="T780" i="5"/>
  <c r="U780" i="5"/>
  <c r="V780" i="5"/>
  <c r="W780" i="5"/>
  <c r="X780" i="5"/>
  <c r="A781" i="5"/>
  <c r="B781" i="5"/>
  <c r="C781" i="5"/>
  <c r="E781" i="5"/>
  <c r="F781" i="5"/>
  <c r="G781" i="5"/>
  <c r="O781" i="5"/>
  <c r="P781" i="5"/>
  <c r="Q781" i="5"/>
  <c r="R781" i="5"/>
  <c r="S781" i="5"/>
  <c r="T781" i="5"/>
  <c r="U781" i="5"/>
  <c r="V781" i="5"/>
  <c r="W781" i="5"/>
  <c r="X781" i="5"/>
  <c r="A782" i="5"/>
  <c r="B782" i="5"/>
  <c r="C782" i="5"/>
  <c r="E782" i="5"/>
  <c r="F782" i="5"/>
  <c r="G782" i="5"/>
  <c r="O782" i="5"/>
  <c r="P782" i="5"/>
  <c r="Q782" i="5"/>
  <c r="R782" i="5"/>
  <c r="S782" i="5"/>
  <c r="T782" i="5"/>
  <c r="U782" i="5"/>
  <c r="V782" i="5"/>
  <c r="W782" i="5"/>
  <c r="X782" i="5"/>
  <c r="A783" i="5"/>
  <c r="B783" i="5"/>
  <c r="C783" i="5"/>
  <c r="E783" i="5"/>
  <c r="F783" i="5"/>
  <c r="G783" i="5"/>
  <c r="O783" i="5"/>
  <c r="P783" i="5"/>
  <c r="Q783" i="5"/>
  <c r="R783" i="5"/>
  <c r="S783" i="5"/>
  <c r="T783" i="5"/>
  <c r="U783" i="5"/>
  <c r="V783" i="5"/>
  <c r="W783" i="5"/>
  <c r="X783" i="5"/>
  <c r="A784" i="5"/>
  <c r="B784" i="5"/>
  <c r="C784" i="5"/>
  <c r="E784" i="5"/>
  <c r="F784" i="5"/>
  <c r="G784" i="5"/>
  <c r="O784" i="5"/>
  <c r="P784" i="5"/>
  <c r="Q784" i="5"/>
  <c r="R784" i="5"/>
  <c r="S784" i="5"/>
  <c r="T784" i="5"/>
  <c r="U784" i="5"/>
  <c r="V784" i="5"/>
  <c r="W784" i="5"/>
  <c r="X784" i="5"/>
  <c r="A785" i="5"/>
  <c r="B785" i="5"/>
  <c r="C785" i="5"/>
  <c r="E785" i="5"/>
  <c r="F785" i="5"/>
  <c r="G785" i="5"/>
  <c r="O785" i="5"/>
  <c r="P785" i="5"/>
  <c r="Q785" i="5"/>
  <c r="R785" i="5"/>
  <c r="S785" i="5"/>
  <c r="T785" i="5"/>
  <c r="U785" i="5"/>
  <c r="V785" i="5"/>
  <c r="W785" i="5"/>
  <c r="X785" i="5"/>
  <c r="A786" i="5"/>
  <c r="B786" i="5"/>
  <c r="C786" i="5"/>
  <c r="E786" i="5"/>
  <c r="F786" i="5"/>
  <c r="G786" i="5"/>
  <c r="O786" i="5"/>
  <c r="P786" i="5"/>
  <c r="Q786" i="5"/>
  <c r="R786" i="5"/>
  <c r="S786" i="5"/>
  <c r="T786" i="5"/>
  <c r="U786" i="5"/>
  <c r="V786" i="5"/>
  <c r="W786" i="5"/>
  <c r="X786" i="5"/>
  <c r="A787" i="5"/>
  <c r="B787" i="5"/>
  <c r="C787" i="5"/>
  <c r="E787" i="5"/>
  <c r="F787" i="5"/>
  <c r="G787" i="5"/>
  <c r="O787" i="5"/>
  <c r="P787" i="5"/>
  <c r="Q787" i="5"/>
  <c r="R787" i="5"/>
  <c r="S787" i="5"/>
  <c r="T787" i="5"/>
  <c r="U787" i="5"/>
  <c r="V787" i="5"/>
  <c r="W787" i="5"/>
  <c r="X787" i="5"/>
  <c r="A788" i="5"/>
  <c r="B788" i="5"/>
  <c r="C788" i="5"/>
  <c r="E788" i="5"/>
  <c r="F788" i="5"/>
  <c r="G788" i="5"/>
  <c r="O788" i="5"/>
  <c r="P788" i="5"/>
  <c r="Q788" i="5"/>
  <c r="R788" i="5"/>
  <c r="S788" i="5"/>
  <c r="T788" i="5"/>
  <c r="U788" i="5"/>
  <c r="V788" i="5"/>
  <c r="W788" i="5"/>
  <c r="X788" i="5"/>
  <c r="A789" i="5"/>
  <c r="B789" i="5"/>
  <c r="C789" i="5"/>
  <c r="E789" i="5"/>
  <c r="F789" i="5"/>
  <c r="G789" i="5"/>
  <c r="O789" i="5"/>
  <c r="P789" i="5"/>
  <c r="Q789" i="5"/>
  <c r="R789" i="5"/>
  <c r="S789" i="5"/>
  <c r="T789" i="5"/>
  <c r="U789" i="5"/>
  <c r="V789" i="5"/>
  <c r="W789" i="5"/>
  <c r="X789" i="5"/>
  <c r="A790" i="5"/>
  <c r="B790" i="5"/>
  <c r="C790" i="5"/>
  <c r="E790" i="5"/>
  <c r="F790" i="5"/>
  <c r="G790" i="5"/>
  <c r="O790" i="5"/>
  <c r="P790" i="5"/>
  <c r="Q790" i="5"/>
  <c r="R790" i="5"/>
  <c r="S790" i="5"/>
  <c r="T790" i="5"/>
  <c r="U790" i="5"/>
  <c r="V790" i="5"/>
  <c r="W790" i="5"/>
  <c r="X790" i="5"/>
  <c r="A791" i="5"/>
  <c r="B791" i="5"/>
  <c r="C791" i="5"/>
  <c r="E791" i="5"/>
  <c r="F791" i="5"/>
  <c r="G791" i="5"/>
  <c r="O791" i="5"/>
  <c r="P791" i="5"/>
  <c r="Q791" i="5"/>
  <c r="R791" i="5"/>
  <c r="S791" i="5"/>
  <c r="T791" i="5"/>
  <c r="U791" i="5"/>
  <c r="V791" i="5"/>
  <c r="W791" i="5"/>
  <c r="X791" i="5"/>
  <c r="A792" i="5"/>
  <c r="B792" i="5"/>
  <c r="C792" i="5"/>
  <c r="E792" i="5"/>
  <c r="F792" i="5"/>
  <c r="G792" i="5"/>
  <c r="O792" i="5"/>
  <c r="P792" i="5"/>
  <c r="Q792" i="5"/>
  <c r="R792" i="5"/>
  <c r="S792" i="5"/>
  <c r="T792" i="5"/>
  <c r="U792" i="5"/>
  <c r="V792" i="5"/>
  <c r="W792" i="5"/>
  <c r="X792" i="5"/>
  <c r="A793" i="5"/>
  <c r="B793" i="5"/>
  <c r="C793" i="5"/>
  <c r="E793" i="5"/>
  <c r="F793" i="5"/>
  <c r="G793" i="5"/>
  <c r="O793" i="5"/>
  <c r="P793" i="5"/>
  <c r="Q793" i="5"/>
  <c r="R793" i="5"/>
  <c r="S793" i="5"/>
  <c r="T793" i="5"/>
  <c r="U793" i="5"/>
  <c r="V793" i="5"/>
  <c r="W793" i="5"/>
  <c r="X793" i="5"/>
  <c r="A794" i="5"/>
  <c r="B794" i="5"/>
  <c r="C794" i="5"/>
  <c r="E794" i="5"/>
  <c r="F794" i="5"/>
  <c r="G794" i="5"/>
  <c r="O794" i="5"/>
  <c r="P794" i="5"/>
  <c r="Q794" i="5"/>
  <c r="R794" i="5"/>
  <c r="S794" i="5"/>
  <c r="T794" i="5"/>
  <c r="U794" i="5"/>
  <c r="V794" i="5"/>
  <c r="W794" i="5"/>
  <c r="X794" i="5"/>
  <c r="A795" i="5"/>
  <c r="B795" i="5"/>
  <c r="C795" i="5"/>
  <c r="E795" i="5"/>
  <c r="F795" i="5"/>
  <c r="G795" i="5"/>
  <c r="O795" i="5"/>
  <c r="P795" i="5"/>
  <c r="Q795" i="5"/>
  <c r="R795" i="5"/>
  <c r="S795" i="5"/>
  <c r="T795" i="5"/>
  <c r="U795" i="5"/>
  <c r="V795" i="5"/>
  <c r="W795" i="5"/>
  <c r="X795" i="5"/>
  <c r="A796" i="5"/>
  <c r="B796" i="5"/>
  <c r="C796" i="5"/>
  <c r="E796" i="5"/>
  <c r="F796" i="5"/>
  <c r="G796" i="5"/>
  <c r="O796" i="5"/>
  <c r="P796" i="5"/>
  <c r="Q796" i="5"/>
  <c r="R796" i="5"/>
  <c r="S796" i="5"/>
  <c r="T796" i="5"/>
  <c r="U796" i="5"/>
  <c r="V796" i="5"/>
  <c r="W796" i="5"/>
  <c r="X796" i="5"/>
  <c r="A797" i="5"/>
  <c r="B797" i="5"/>
  <c r="C797" i="5"/>
  <c r="E797" i="5"/>
  <c r="F797" i="5"/>
  <c r="G797" i="5"/>
  <c r="O797" i="5"/>
  <c r="P797" i="5"/>
  <c r="Q797" i="5"/>
  <c r="R797" i="5"/>
  <c r="S797" i="5"/>
  <c r="T797" i="5"/>
  <c r="U797" i="5"/>
  <c r="V797" i="5"/>
  <c r="W797" i="5"/>
  <c r="X797" i="5"/>
  <c r="A798" i="5"/>
  <c r="B798" i="5"/>
  <c r="C798" i="5"/>
  <c r="E798" i="5"/>
  <c r="F798" i="5"/>
  <c r="G798" i="5"/>
  <c r="O798" i="5"/>
  <c r="P798" i="5"/>
  <c r="Q798" i="5"/>
  <c r="R798" i="5"/>
  <c r="S798" i="5"/>
  <c r="T798" i="5"/>
  <c r="U798" i="5"/>
  <c r="V798" i="5"/>
  <c r="W798" i="5"/>
  <c r="X798" i="5"/>
  <c r="A799" i="5"/>
  <c r="B799" i="5"/>
  <c r="C799" i="5"/>
  <c r="E799" i="5"/>
  <c r="F799" i="5"/>
  <c r="G799" i="5"/>
  <c r="O799" i="5"/>
  <c r="P799" i="5"/>
  <c r="Q799" i="5"/>
  <c r="R799" i="5"/>
  <c r="S799" i="5"/>
  <c r="T799" i="5"/>
  <c r="U799" i="5"/>
  <c r="V799" i="5"/>
  <c r="W799" i="5"/>
  <c r="X799" i="5"/>
  <c r="A800" i="5"/>
  <c r="B800" i="5"/>
  <c r="C800" i="5"/>
  <c r="E800" i="5"/>
  <c r="F800" i="5"/>
  <c r="G800" i="5"/>
  <c r="O800" i="5"/>
  <c r="P800" i="5"/>
  <c r="Q800" i="5"/>
  <c r="R800" i="5"/>
  <c r="S800" i="5"/>
  <c r="T800" i="5"/>
  <c r="U800" i="5"/>
  <c r="V800" i="5"/>
  <c r="W800" i="5"/>
  <c r="X800" i="5"/>
  <c r="A801" i="5"/>
  <c r="B801" i="5"/>
  <c r="C801" i="5"/>
  <c r="E801" i="5"/>
  <c r="F801" i="5"/>
  <c r="G801" i="5"/>
  <c r="O801" i="5"/>
  <c r="P801" i="5"/>
  <c r="Q801" i="5"/>
  <c r="R801" i="5"/>
  <c r="S801" i="5"/>
  <c r="T801" i="5"/>
  <c r="U801" i="5"/>
  <c r="V801" i="5"/>
  <c r="W801" i="5"/>
  <c r="X801" i="5"/>
  <c r="A802" i="5"/>
  <c r="B802" i="5"/>
  <c r="C802" i="5"/>
  <c r="E802" i="5"/>
  <c r="F802" i="5"/>
  <c r="G802" i="5"/>
  <c r="O802" i="5"/>
  <c r="P802" i="5"/>
  <c r="Q802" i="5"/>
  <c r="R802" i="5"/>
  <c r="S802" i="5"/>
  <c r="T802" i="5"/>
  <c r="U802" i="5"/>
  <c r="V802" i="5"/>
  <c r="W802" i="5"/>
  <c r="X802" i="5"/>
  <c r="A803" i="5"/>
  <c r="B803" i="5"/>
  <c r="C803" i="5"/>
  <c r="E803" i="5"/>
  <c r="F803" i="5"/>
  <c r="G803" i="5"/>
  <c r="O803" i="5"/>
  <c r="P803" i="5"/>
  <c r="Q803" i="5"/>
  <c r="R803" i="5"/>
  <c r="S803" i="5"/>
  <c r="T803" i="5"/>
  <c r="U803" i="5"/>
  <c r="V803" i="5"/>
  <c r="W803" i="5"/>
  <c r="X803" i="5"/>
  <c r="A804" i="5"/>
  <c r="B804" i="5"/>
  <c r="C804" i="5"/>
  <c r="E804" i="5"/>
  <c r="F804" i="5"/>
  <c r="G804" i="5"/>
  <c r="O804" i="5"/>
  <c r="P804" i="5"/>
  <c r="Q804" i="5"/>
  <c r="R804" i="5"/>
  <c r="S804" i="5"/>
  <c r="T804" i="5"/>
  <c r="U804" i="5"/>
  <c r="V804" i="5"/>
  <c r="W804" i="5"/>
  <c r="X804" i="5"/>
  <c r="A805" i="5"/>
  <c r="B805" i="5"/>
  <c r="C805" i="5"/>
  <c r="E805" i="5"/>
  <c r="F805" i="5"/>
  <c r="G805" i="5"/>
  <c r="O805" i="5"/>
  <c r="P805" i="5"/>
  <c r="Q805" i="5"/>
  <c r="R805" i="5"/>
  <c r="S805" i="5"/>
  <c r="T805" i="5"/>
  <c r="U805" i="5"/>
  <c r="V805" i="5"/>
  <c r="W805" i="5"/>
  <c r="X805" i="5"/>
  <c r="A806" i="5"/>
  <c r="B806" i="5"/>
  <c r="C806" i="5"/>
  <c r="E806" i="5"/>
  <c r="F806" i="5"/>
  <c r="G806" i="5"/>
  <c r="O806" i="5"/>
  <c r="P806" i="5"/>
  <c r="Q806" i="5"/>
  <c r="R806" i="5"/>
  <c r="S806" i="5"/>
  <c r="T806" i="5"/>
  <c r="U806" i="5"/>
  <c r="V806" i="5"/>
  <c r="W806" i="5"/>
  <c r="X806" i="5"/>
  <c r="A807" i="5"/>
  <c r="B807" i="5"/>
  <c r="C807" i="5"/>
  <c r="E807" i="5"/>
  <c r="F807" i="5"/>
  <c r="G807" i="5"/>
  <c r="O807" i="5"/>
  <c r="P807" i="5"/>
  <c r="Q807" i="5"/>
  <c r="R807" i="5"/>
  <c r="S807" i="5"/>
  <c r="T807" i="5"/>
  <c r="U807" i="5"/>
  <c r="V807" i="5"/>
  <c r="W807" i="5"/>
  <c r="X807" i="5"/>
  <c r="A808" i="5"/>
  <c r="B808" i="5"/>
  <c r="C808" i="5"/>
  <c r="E808" i="5"/>
  <c r="F808" i="5"/>
  <c r="G808" i="5"/>
  <c r="O808" i="5"/>
  <c r="P808" i="5"/>
  <c r="Q808" i="5"/>
  <c r="R808" i="5"/>
  <c r="S808" i="5"/>
  <c r="T808" i="5"/>
  <c r="U808" i="5"/>
  <c r="V808" i="5"/>
  <c r="W808" i="5"/>
  <c r="X808" i="5"/>
  <c r="A809" i="5"/>
  <c r="B809" i="5"/>
  <c r="C809" i="5"/>
  <c r="E809" i="5"/>
  <c r="F809" i="5"/>
  <c r="G809" i="5"/>
  <c r="O809" i="5"/>
  <c r="P809" i="5"/>
  <c r="Q809" i="5"/>
  <c r="R809" i="5"/>
  <c r="S809" i="5"/>
  <c r="T809" i="5"/>
  <c r="U809" i="5"/>
  <c r="V809" i="5"/>
  <c r="W809" i="5"/>
  <c r="X809" i="5"/>
  <c r="A810" i="5"/>
  <c r="B810" i="5"/>
  <c r="C810" i="5"/>
  <c r="E810" i="5"/>
  <c r="F810" i="5"/>
  <c r="G810" i="5"/>
  <c r="O810" i="5"/>
  <c r="P810" i="5"/>
  <c r="Q810" i="5"/>
  <c r="R810" i="5"/>
  <c r="S810" i="5"/>
  <c r="T810" i="5"/>
  <c r="U810" i="5"/>
  <c r="V810" i="5"/>
  <c r="W810" i="5"/>
  <c r="X810" i="5"/>
  <c r="A811" i="5"/>
  <c r="B811" i="5"/>
  <c r="C811" i="5"/>
  <c r="E811" i="5"/>
  <c r="F811" i="5"/>
  <c r="G811" i="5"/>
  <c r="O811" i="5"/>
  <c r="P811" i="5"/>
  <c r="Q811" i="5"/>
  <c r="R811" i="5"/>
  <c r="S811" i="5"/>
  <c r="T811" i="5"/>
  <c r="U811" i="5"/>
  <c r="V811" i="5"/>
  <c r="W811" i="5"/>
  <c r="X811" i="5"/>
  <c r="A812" i="5"/>
  <c r="B812" i="5"/>
  <c r="C812" i="5"/>
  <c r="E812" i="5"/>
  <c r="F812" i="5"/>
  <c r="G812" i="5"/>
  <c r="O812" i="5"/>
  <c r="P812" i="5"/>
  <c r="Q812" i="5"/>
  <c r="R812" i="5"/>
  <c r="S812" i="5"/>
  <c r="T812" i="5"/>
  <c r="U812" i="5"/>
  <c r="V812" i="5"/>
  <c r="W812" i="5"/>
  <c r="X812" i="5"/>
  <c r="A813" i="5"/>
  <c r="B813" i="5"/>
  <c r="C813" i="5"/>
  <c r="E813" i="5"/>
  <c r="F813" i="5"/>
  <c r="G813" i="5"/>
  <c r="O813" i="5"/>
  <c r="P813" i="5"/>
  <c r="Q813" i="5"/>
  <c r="R813" i="5"/>
  <c r="S813" i="5"/>
  <c r="T813" i="5"/>
  <c r="U813" i="5"/>
  <c r="V813" i="5"/>
  <c r="W813" i="5"/>
  <c r="X813" i="5"/>
  <c r="A814" i="5"/>
  <c r="B814" i="5"/>
  <c r="C814" i="5"/>
  <c r="E814" i="5"/>
  <c r="F814" i="5"/>
  <c r="G814" i="5"/>
  <c r="O814" i="5"/>
  <c r="P814" i="5"/>
  <c r="Q814" i="5"/>
  <c r="R814" i="5"/>
  <c r="S814" i="5"/>
  <c r="T814" i="5"/>
  <c r="U814" i="5"/>
  <c r="V814" i="5"/>
  <c r="W814" i="5"/>
  <c r="X814" i="5"/>
  <c r="A815" i="5"/>
  <c r="B815" i="5"/>
  <c r="C815" i="5"/>
  <c r="E815" i="5"/>
  <c r="F815" i="5"/>
  <c r="G815" i="5"/>
  <c r="O815" i="5"/>
  <c r="P815" i="5"/>
  <c r="Q815" i="5"/>
  <c r="R815" i="5"/>
  <c r="S815" i="5"/>
  <c r="T815" i="5"/>
  <c r="U815" i="5"/>
  <c r="V815" i="5"/>
  <c r="W815" i="5"/>
  <c r="X815" i="5"/>
  <c r="A816" i="5"/>
  <c r="B816" i="5"/>
  <c r="C816" i="5"/>
  <c r="E816" i="5"/>
  <c r="F816" i="5"/>
  <c r="G816" i="5"/>
  <c r="O816" i="5"/>
  <c r="P816" i="5"/>
  <c r="Q816" i="5"/>
  <c r="R816" i="5"/>
  <c r="S816" i="5"/>
  <c r="T816" i="5"/>
  <c r="U816" i="5"/>
  <c r="V816" i="5"/>
  <c r="W816" i="5"/>
  <c r="X816" i="5"/>
  <c r="A817" i="5"/>
  <c r="B817" i="5"/>
  <c r="C817" i="5"/>
  <c r="E817" i="5"/>
  <c r="F817" i="5"/>
  <c r="G817" i="5"/>
  <c r="O817" i="5"/>
  <c r="P817" i="5"/>
  <c r="Q817" i="5"/>
  <c r="R817" i="5"/>
  <c r="S817" i="5"/>
  <c r="T817" i="5"/>
  <c r="U817" i="5"/>
  <c r="V817" i="5"/>
  <c r="W817" i="5"/>
  <c r="X817" i="5"/>
  <c r="A818" i="5"/>
  <c r="B818" i="5"/>
  <c r="C818" i="5"/>
  <c r="E818" i="5"/>
  <c r="F818" i="5"/>
  <c r="G818" i="5"/>
  <c r="O818" i="5"/>
  <c r="P818" i="5"/>
  <c r="Q818" i="5"/>
  <c r="R818" i="5"/>
  <c r="S818" i="5"/>
  <c r="T818" i="5"/>
  <c r="U818" i="5"/>
  <c r="V818" i="5"/>
  <c r="W818" i="5"/>
  <c r="X818" i="5"/>
  <c r="A819" i="5"/>
  <c r="B819" i="5"/>
  <c r="C819" i="5"/>
  <c r="E819" i="5"/>
  <c r="F819" i="5"/>
  <c r="G819" i="5"/>
  <c r="O819" i="5"/>
  <c r="P819" i="5"/>
  <c r="Q819" i="5"/>
  <c r="R819" i="5"/>
  <c r="S819" i="5"/>
  <c r="T819" i="5"/>
  <c r="U819" i="5"/>
  <c r="V819" i="5"/>
  <c r="W819" i="5"/>
  <c r="X819" i="5"/>
  <c r="A820" i="5"/>
  <c r="B820" i="5"/>
  <c r="C820" i="5"/>
  <c r="E820" i="5"/>
  <c r="F820" i="5"/>
  <c r="G820" i="5"/>
  <c r="O820" i="5"/>
  <c r="P820" i="5"/>
  <c r="Q820" i="5"/>
  <c r="R820" i="5"/>
  <c r="S820" i="5"/>
  <c r="T820" i="5"/>
  <c r="U820" i="5"/>
  <c r="V820" i="5"/>
  <c r="W820" i="5"/>
  <c r="X820" i="5"/>
  <c r="A821" i="5"/>
  <c r="B821" i="5"/>
  <c r="C821" i="5"/>
  <c r="E821" i="5"/>
  <c r="F821" i="5"/>
  <c r="G821" i="5"/>
  <c r="O821" i="5"/>
  <c r="P821" i="5"/>
  <c r="Q821" i="5"/>
  <c r="R821" i="5"/>
  <c r="S821" i="5"/>
  <c r="T821" i="5"/>
  <c r="U821" i="5"/>
  <c r="V821" i="5"/>
  <c r="W821" i="5"/>
  <c r="X821" i="5"/>
  <c r="A822" i="5"/>
  <c r="B822" i="5"/>
  <c r="C822" i="5"/>
  <c r="E822" i="5"/>
  <c r="F822" i="5"/>
  <c r="G822" i="5"/>
  <c r="O822" i="5"/>
  <c r="P822" i="5"/>
  <c r="Q822" i="5"/>
  <c r="R822" i="5"/>
  <c r="S822" i="5"/>
  <c r="T822" i="5"/>
  <c r="U822" i="5"/>
  <c r="V822" i="5"/>
  <c r="W822" i="5"/>
  <c r="X822" i="5"/>
  <c r="A823" i="5"/>
  <c r="B823" i="5"/>
  <c r="C823" i="5"/>
  <c r="E823" i="5"/>
  <c r="F823" i="5"/>
  <c r="G823" i="5"/>
  <c r="O823" i="5"/>
  <c r="P823" i="5"/>
  <c r="Q823" i="5"/>
  <c r="R823" i="5"/>
  <c r="S823" i="5"/>
  <c r="T823" i="5"/>
  <c r="U823" i="5"/>
  <c r="V823" i="5"/>
  <c r="W823" i="5"/>
  <c r="X823" i="5"/>
  <c r="A824" i="5"/>
  <c r="B824" i="5"/>
  <c r="C824" i="5"/>
  <c r="E824" i="5"/>
  <c r="F824" i="5"/>
  <c r="G824" i="5"/>
  <c r="O824" i="5"/>
  <c r="P824" i="5"/>
  <c r="Q824" i="5"/>
  <c r="R824" i="5"/>
  <c r="S824" i="5"/>
  <c r="T824" i="5"/>
  <c r="U824" i="5"/>
  <c r="V824" i="5"/>
  <c r="W824" i="5"/>
  <c r="X824" i="5"/>
  <c r="A825" i="5"/>
  <c r="B825" i="5"/>
  <c r="C825" i="5"/>
  <c r="E825" i="5"/>
  <c r="F825" i="5"/>
  <c r="G825" i="5"/>
  <c r="O825" i="5"/>
  <c r="P825" i="5"/>
  <c r="Q825" i="5"/>
  <c r="R825" i="5"/>
  <c r="S825" i="5"/>
  <c r="T825" i="5"/>
  <c r="U825" i="5"/>
  <c r="V825" i="5"/>
  <c r="W825" i="5"/>
  <c r="X825" i="5"/>
  <c r="A826" i="5"/>
  <c r="B826" i="5"/>
  <c r="C826" i="5"/>
  <c r="E826" i="5"/>
  <c r="F826" i="5"/>
  <c r="G826" i="5"/>
  <c r="O826" i="5"/>
  <c r="P826" i="5"/>
  <c r="Q826" i="5"/>
  <c r="R826" i="5"/>
  <c r="S826" i="5"/>
  <c r="T826" i="5"/>
  <c r="U826" i="5"/>
  <c r="V826" i="5"/>
  <c r="W826" i="5"/>
  <c r="X826" i="5"/>
  <c r="A827" i="5"/>
  <c r="B827" i="5"/>
  <c r="C827" i="5"/>
  <c r="E827" i="5"/>
  <c r="F827" i="5"/>
  <c r="G827" i="5"/>
  <c r="O827" i="5"/>
  <c r="P827" i="5"/>
  <c r="Q827" i="5"/>
  <c r="R827" i="5"/>
  <c r="S827" i="5"/>
  <c r="T827" i="5"/>
  <c r="U827" i="5"/>
  <c r="V827" i="5"/>
  <c r="W827" i="5"/>
  <c r="X827" i="5"/>
  <c r="A828" i="5"/>
  <c r="B828" i="5"/>
  <c r="C828" i="5"/>
  <c r="E828" i="5"/>
  <c r="F828" i="5"/>
  <c r="G828" i="5"/>
  <c r="O828" i="5"/>
  <c r="P828" i="5"/>
  <c r="Q828" i="5"/>
  <c r="R828" i="5"/>
  <c r="S828" i="5"/>
  <c r="T828" i="5"/>
  <c r="U828" i="5"/>
  <c r="V828" i="5"/>
  <c r="W828" i="5"/>
  <c r="X828" i="5"/>
  <c r="A829" i="5"/>
  <c r="B829" i="5"/>
  <c r="C829" i="5"/>
  <c r="E829" i="5"/>
  <c r="F829" i="5"/>
  <c r="G829" i="5"/>
  <c r="O829" i="5"/>
  <c r="P829" i="5"/>
  <c r="Q829" i="5"/>
  <c r="R829" i="5"/>
  <c r="S829" i="5"/>
  <c r="T829" i="5"/>
  <c r="U829" i="5"/>
  <c r="V829" i="5"/>
  <c r="W829" i="5"/>
  <c r="X829" i="5"/>
  <c r="A830" i="5"/>
  <c r="B830" i="5"/>
  <c r="C830" i="5"/>
  <c r="E830" i="5"/>
  <c r="F830" i="5"/>
  <c r="G830" i="5"/>
  <c r="O830" i="5"/>
  <c r="P830" i="5"/>
  <c r="Q830" i="5"/>
  <c r="R830" i="5"/>
  <c r="S830" i="5"/>
  <c r="T830" i="5"/>
  <c r="U830" i="5"/>
  <c r="V830" i="5"/>
  <c r="W830" i="5"/>
  <c r="X830" i="5"/>
  <c r="A831" i="5"/>
  <c r="B831" i="5"/>
  <c r="C831" i="5"/>
  <c r="E831" i="5"/>
  <c r="F831" i="5"/>
  <c r="G831" i="5"/>
  <c r="O831" i="5"/>
  <c r="P831" i="5"/>
  <c r="Q831" i="5"/>
  <c r="R831" i="5"/>
  <c r="S831" i="5"/>
  <c r="T831" i="5"/>
  <c r="U831" i="5"/>
  <c r="V831" i="5"/>
  <c r="W831" i="5"/>
  <c r="X831" i="5"/>
  <c r="A832" i="5"/>
  <c r="B832" i="5"/>
  <c r="C832" i="5"/>
  <c r="E832" i="5"/>
  <c r="F832" i="5"/>
  <c r="G832" i="5"/>
  <c r="O832" i="5"/>
  <c r="P832" i="5"/>
  <c r="Q832" i="5"/>
  <c r="R832" i="5"/>
  <c r="S832" i="5"/>
  <c r="T832" i="5"/>
  <c r="U832" i="5"/>
  <c r="V832" i="5"/>
  <c r="W832" i="5"/>
  <c r="X832" i="5"/>
  <c r="A833" i="5"/>
  <c r="B833" i="5"/>
  <c r="C833" i="5"/>
  <c r="E833" i="5"/>
  <c r="F833" i="5"/>
  <c r="G833" i="5"/>
  <c r="O833" i="5"/>
  <c r="P833" i="5"/>
  <c r="Q833" i="5"/>
  <c r="R833" i="5"/>
  <c r="S833" i="5"/>
  <c r="T833" i="5"/>
  <c r="U833" i="5"/>
  <c r="V833" i="5"/>
  <c r="W833" i="5"/>
  <c r="X833" i="5"/>
  <c r="A834" i="5"/>
  <c r="B834" i="5"/>
  <c r="C834" i="5"/>
  <c r="E834" i="5"/>
  <c r="F834" i="5"/>
  <c r="G834" i="5"/>
  <c r="O834" i="5"/>
  <c r="P834" i="5"/>
  <c r="Q834" i="5"/>
  <c r="R834" i="5"/>
  <c r="S834" i="5"/>
  <c r="T834" i="5"/>
  <c r="U834" i="5"/>
  <c r="V834" i="5"/>
  <c r="W834" i="5"/>
  <c r="X834" i="5"/>
  <c r="A835" i="5"/>
  <c r="B835" i="5"/>
  <c r="C835" i="5"/>
  <c r="E835" i="5"/>
  <c r="F835" i="5"/>
  <c r="G835" i="5"/>
  <c r="O835" i="5"/>
  <c r="P835" i="5"/>
  <c r="Q835" i="5"/>
  <c r="R835" i="5"/>
  <c r="S835" i="5"/>
  <c r="T835" i="5"/>
  <c r="U835" i="5"/>
  <c r="V835" i="5"/>
  <c r="W835" i="5"/>
  <c r="X835" i="5"/>
  <c r="A836" i="5"/>
  <c r="B836" i="5"/>
  <c r="C836" i="5"/>
  <c r="E836" i="5"/>
  <c r="F836" i="5"/>
  <c r="G836" i="5"/>
  <c r="O836" i="5"/>
  <c r="P836" i="5"/>
  <c r="Q836" i="5"/>
  <c r="R836" i="5"/>
  <c r="S836" i="5"/>
  <c r="T836" i="5"/>
  <c r="U836" i="5"/>
  <c r="V836" i="5"/>
  <c r="W836" i="5"/>
  <c r="X836" i="5"/>
  <c r="A837" i="5"/>
  <c r="B837" i="5"/>
  <c r="C837" i="5"/>
  <c r="E837" i="5"/>
  <c r="F837" i="5"/>
  <c r="G837" i="5"/>
  <c r="O837" i="5"/>
  <c r="P837" i="5"/>
  <c r="Q837" i="5"/>
  <c r="R837" i="5"/>
  <c r="S837" i="5"/>
  <c r="T837" i="5"/>
  <c r="U837" i="5"/>
  <c r="V837" i="5"/>
  <c r="W837" i="5"/>
  <c r="X837" i="5"/>
  <c r="A838" i="5"/>
  <c r="B838" i="5"/>
  <c r="C838" i="5"/>
  <c r="E838" i="5"/>
  <c r="F838" i="5"/>
  <c r="G838" i="5"/>
  <c r="O838" i="5"/>
  <c r="P838" i="5"/>
  <c r="Q838" i="5"/>
  <c r="R838" i="5"/>
  <c r="S838" i="5"/>
  <c r="T838" i="5"/>
  <c r="U838" i="5"/>
  <c r="V838" i="5"/>
  <c r="W838" i="5"/>
  <c r="X838" i="5"/>
  <c r="A839" i="5"/>
  <c r="B839" i="5"/>
  <c r="C839" i="5"/>
  <c r="E839" i="5"/>
  <c r="F839" i="5"/>
  <c r="G839" i="5"/>
  <c r="O839" i="5"/>
  <c r="P839" i="5"/>
  <c r="Q839" i="5"/>
  <c r="R839" i="5"/>
  <c r="S839" i="5"/>
  <c r="T839" i="5"/>
  <c r="U839" i="5"/>
  <c r="V839" i="5"/>
  <c r="W839" i="5"/>
  <c r="X839" i="5"/>
  <c r="A840" i="5"/>
  <c r="B840" i="5"/>
  <c r="C840" i="5"/>
  <c r="E840" i="5"/>
  <c r="F840" i="5"/>
  <c r="G840" i="5"/>
  <c r="O840" i="5"/>
  <c r="P840" i="5"/>
  <c r="Q840" i="5"/>
  <c r="R840" i="5"/>
  <c r="S840" i="5"/>
  <c r="T840" i="5"/>
  <c r="U840" i="5"/>
  <c r="V840" i="5"/>
  <c r="W840" i="5"/>
  <c r="X840" i="5"/>
  <c r="A841" i="5"/>
  <c r="B841" i="5"/>
  <c r="C841" i="5"/>
  <c r="E841" i="5"/>
  <c r="F841" i="5"/>
  <c r="G841" i="5"/>
  <c r="O841" i="5"/>
  <c r="P841" i="5"/>
  <c r="Q841" i="5"/>
  <c r="R841" i="5"/>
  <c r="S841" i="5"/>
  <c r="T841" i="5"/>
  <c r="U841" i="5"/>
  <c r="V841" i="5"/>
  <c r="W841" i="5"/>
  <c r="X841" i="5"/>
  <c r="A842" i="5"/>
  <c r="B842" i="5"/>
  <c r="C842" i="5"/>
  <c r="E842" i="5"/>
  <c r="F842" i="5"/>
  <c r="G842" i="5"/>
  <c r="O842" i="5"/>
  <c r="P842" i="5"/>
  <c r="Q842" i="5"/>
  <c r="R842" i="5"/>
  <c r="S842" i="5"/>
  <c r="T842" i="5"/>
  <c r="U842" i="5"/>
  <c r="V842" i="5"/>
  <c r="W842" i="5"/>
  <c r="X842" i="5"/>
  <c r="A843" i="5"/>
  <c r="B843" i="5"/>
  <c r="C843" i="5"/>
  <c r="E843" i="5"/>
  <c r="F843" i="5"/>
  <c r="G843" i="5"/>
  <c r="O843" i="5"/>
  <c r="P843" i="5"/>
  <c r="Q843" i="5"/>
  <c r="R843" i="5"/>
  <c r="S843" i="5"/>
  <c r="T843" i="5"/>
  <c r="U843" i="5"/>
  <c r="V843" i="5"/>
  <c r="W843" i="5"/>
  <c r="X843" i="5"/>
  <c r="A844" i="5"/>
  <c r="B844" i="5"/>
  <c r="C844" i="5"/>
  <c r="E844" i="5"/>
  <c r="F844" i="5"/>
  <c r="G844" i="5"/>
  <c r="O844" i="5"/>
  <c r="P844" i="5"/>
  <c r="Q844" i="5"/>
  <c r="R844" i="5"/>
  <c r="S844" i="5"/>
  <c r="T844" i="5"/>
  <c r="U844" i="5"/>
  <c r="V844" i="5"/>
  <c r="W844" i="5"/>
  <c r="X844" i="5"/>
  <c r="A845" i="5"/>
  <c r="B845" i="5"/>
  <c r="C845" i="5"/>
  <c r="E845" i="5"/>
  <c r="F845" i="5"/>
  <c r="G845" i="5"/>
  <c r="O845" i="5"/>
  <c r="P845" i="5"/>
  <c r="Q845" i="5"/>
  <c r="R845" i="5"/>
  <c r="S845" i="5"/>
  <c r="T845" i="5"/>
  <c r="U845" i="5"/>
  <c r="V845" i="5"/>
  <c r="W845" i="5"/>
  <c r="X845" i="5"/>
  <c r="A846" i="5"/>
  <c r="B846" i="5"/>
  <c r="C846" i="5"/>
  <c r="E846" i="5"/>
  <c r="F846" i="5"/>
  <c r="G846" i="5"/>
  <c r="O846" i="5"/>
  <c r="P846" i="5"/>
  <c r="Q846" i="5"/>
  <c r="R846" i="5"/>
  <c r="S846" i="5"/>
  <c r="T846" i="5"/>
  <c r="U846" i="5"/>
  <c r="V846" i="5"/>
  <c r="W846" i="5"/>
  <c r="X846" i="5"/>
  <c r="A847" i="5"/>
  <c r="B847" i="5"/>
  <c r="C847" i="5"/>
  <c r="E847" i="5"/>
  <c r="F847" i="5"/>
  <c r="G847" i="5"/>
  <c r="O847" i="5"/>
  <c r="P847" i="5"/>
  <c r="Q847" i="5"/>
  <c r="R847" i="5"/>
  <c r="S847" i="5"/>
  <c r="T847" i="5"/>
  <c r="U847" i="5"/>
  <c r="V847" i="5"/>
  <c r="W847" i="5"/>
  <c r="X847" i="5"/>
  <c r="A848" i="5"/>
  <c r="B848" i="5"/>
  <c r="C848" i="5"/>
  <c r="E848" i="5"/>
  <c r="F848" i="5"/>
  <c r="G848" i="5"/>
  <c r="O848" i="5"/>
  <c r="P848" i="5"/>
  <c r="Q848" i="5"/>
  <c r="R848" i="5"/>
  <c r="S848" i="5"/>
  <c r="T848" i="5"/>
  <c r="U848" i="5"/>
  <c r="V848" i="5"/>
  <c r="W848" i="5"/>
  <c r="X848" i="5"/>
  <c r="A849" i="5"/>
  <c r="B849" i="5"/>
  <c r="C849" i="5"/>
  <c r="E849" i="5"/>
  <c r="F849" i="5"/>
  <c r="G849" i="5"/>
  <c r="O849" i="5"/>
  <c r="P849" i="5"/>
  <c r="Q849" i="5"/>
  <c r="R849" i="5"/>
  <c r="S849" i="5"/>
  <c r="T849" i="5"/>
  <c r="U849" i="5"/>
  <c r="V849" i="5"/>
  <c r="W849" i="5"/>
  <c r="X849" i="5"/>
  <c r="A850" i="5"/>
  <c r="B850" i="5"/>
  <c r="C850" i="5"/>
  <c r="E850" i="5"/>
  <c r="F850" i="5"/>
  <c r="G850" i="5"/>
  <c r="O850" i="5"/>
  <c r="P850" i="5"/>
  <c r="Q850" i="5"/>
  <c r="R850" i="5"/>
  <c r="S850" i="5"/>
  <c r="T850" i="5"/>
  <c r="U850" i="5"/>
  <c r="V850" i="5"/>
  <c r="W850" i="5"/>
  <c r="X850" i="5"/>
  <c r="A851" i="5"/>
  <c r="B851" i="5"/>
  <c r="C851" i="5"/>
  <c r="E851" i="5"/>
  <c r="F851" i="5"/>
  <c r="G851" i="5"/>
  <c r="O851" i="5"/>
  <c r="P851" i="5"/>
  <c r="Q851" i="5"/>
  <c r="R851" i="5"/>
  <c r="S851" i="5"/>
  <c r="T851" i="5"/>
  <c r="U851" i="5"/>
  <c r="V851" i="5"/>
  <c r="W851" i="5"/>
  <c r="X851" i="5"/>
  <c r="A852" i="5"/>
  <c r="B852" i="5"/>
  <c r="C852" i="5"/>
  <c r="E852" i="5"/>
  <c r="F852" i="5"/>
  <c r="G852" i="5"/>
  <c r="O852" i="5"/>
  <c r="P852" i="5"/>
  <c r="Q852" i="5"/>
  <c r="R852" i="5"/>
  <c r="S852" i="5"/>
  <c r="T852" i="5"/>
  <c r="U852" i="5"/>
  <c r="V852" i="5"/>
  <c r="W852" i="5"/>
  <c r="X852" i="5"/>
  <c r="A853" i="5"/>
  <c r="B853" i="5"/>
  <c r="C853" i="5"/>
  <c r="E853" i="5"/>
  <c r="F853" i="5"/>
  <c r="G853" i="5"/>
  <c r="O853" i="5"/>
  <c r="P853" i="5"/>
  <c r="Q853" i="5"/>
  <c r="R853" i="5"/>
  <c r="S853" i="5"/>
  <c r="T853" i="5"/>
  <c r="U853" i="5"/>
  <c r="V853" i="5"/>
  <c r="W853" i="5"/>
  <c r="X853" i="5"/>
  <c r="A854" i="5"/>
  <c r="B854" i="5"/>
  <c r="C854" i="5"/>
  <c r="E854" i="5"/>
  <c r="F854" i="5"/>
  <c r="G854" i="5"/>
  <c r="O854" i="5"/>
  <c r="P854" i="5"/>
  <c r="Q854" i="5"/>
  <c r="R854" i="5"/>
  <c r="S854" i="5"/>
  <c r="T854" i="5"/>
  <c r="U854" i="5"/>
  <c r="V854" i="5"/>
  <c r="W854" i="5"/>
  <c r="X854" i="5"/>
  <c r="A855" i="5"/>
  <c r="B855" i="5"/>
  <c r="C855" i="5"/>
  <c r="E855" i="5"/>
  <c r="F855" i="5"/>
  <c r="G855" i="5"/>
  <c r="O855" i="5"/>
  <c r="P855" i="5"/>
  <c r="Q855" i="5"/>
  <c r="R855" i="5"/>
  <c r="S855" i="5"/>
  <c r="T855" i="5"/>
  <c r="U855" i="5"/>
  <c r="V855" i="5"/>
  <c r="W855" i="5"/>
  <c r="X855" i="5"/>
  <c r="A856" i="5"/>
  <c r="B856" i="5"/>
  <c r="C856" i="5"/>
  <c r="E856" i="5"/>
  <c r="F856" i="5"/>
  <c r="G856" i="5"/>
  <c r="O856" i="5"/>
  <c r="P856" i="5"/>
  <c r="Q856" i="5"/>
  <c r="R856" i="5"/>
  <c r="S856" i="5"/>
  <c r="T856" i="5"/>
  <c r="U856" i="5"/>
  <c r="V856" i="5"/>
  <c r="W856" i="5"/>
  <c r="X856" i="5"/>
  <c r="A857" i="5"/>
  <c r="B857" i="5"/>
  <c r="C857" i="5"/>
  <c r="E857" i="5"/>
  <c r="F857" i="5"/>
  <c r="G857" i="5"/>
  <c r="O857" i="5"/>
  <c r="P857" i="5"/>
  <c r="Q857" i="5"/>
  <c r="R857" i="5"/>
  <c r="S857" i="5"/>
  <c r="T857" i="5"/>
  <c r="U857" i="5"/>
  <c r="V857" i="5"/>
  <c r="W857" i="5"/>
  <c r="X857" i="5"/>
  <c r="A858" i="5"/>
  <c r="B858" i="5"/>
  <c r="C858" i="5"/>
  <c r="E858" i="5"/>
  <c r="F858" i="5"/>
  <c r="G858" i="5"/>
  <c r="O858" i="5"/>
  <c r="P858" i="5"/>
  <c r="Q858" i="5"/>
  <c r="R858" i="5"/>
  <c r="S858" i="5"/>
  <c r="T858" i="5"/>
  <c r="U858" i="5"/>
  <c r="V858" i="5"/>
  <c r="W858" i="5"/>
  <c r="X858" i="5"/>
  <c r="A859" i="5"/>
  <c r="B859" i="5"/>
  <c r="C859" i="5"/>
  <c r="E859" i="5"/>
  <c r="F859" i="5"/>
  <c r="G859" i="5"/>
  <c r="O859" i="5"/>
  <c r="P859" i="5"/>
  <c r="Q859" i="5"/>
  <c r="R859" i="5"/>
  <c r="S859" i="5"/>
  <c r="T859" i="5"/>
  <c r="U859" i="5"/>
  <c r="V859" i="5"/>
  <c r="W859" i="5"/>
  <c r="X859" i="5"/>
  <c r="A860" i="5"/>
  <c r="B860" i="5"/>
  <c r="C860" i="5"/>
  <c r="E860" i="5"/>
  <c r="F860" i="5"/>
  <c r="G860" i="5"/>
  <c r="O860" i="5"/>
  <c r="P860" i="5"/>
  <c r="Q860" i="5"/>
  <c r="R860" i="5"/>
  <c r="S860" i="5"/>
  <c r="T860" i="5"/>
  <c r="U860" i="5"/>
  <c r="V860" i="5"/>
  <c r="W860" i="5"/>
  <c r="X860" i="5"/>
  <c r="A861" i="5"/>
  <c r="B861" i="5"/>
  <c r="C861" i="5"/>
  <c r="E861" i="5"/>
  <c r="F861" i="5"/>
  <c r="G861" i="5"/>
  <c r="O861" i="5"/>
  <c r="P861" i="5"/>
  <c r="Q861" i="5"/>
  <c r="R861" i="5"/>
  <c r="S861" i="5"/>
  <c r="T861" i="5"/>
  <c r="U861" i="5"/>
  <c r="V861" i="5"/>
  <c r="W861" i="5"/>
  <c r="X861" i="5"/>
  <c r="A862" i="5"/>
  <c r="B862" i="5"/>
  <c r="C862" i="5"/>
  <c r="E862" i="5"/>
  <c r="F862" i="5"/>
  <c r="G862" i="5"/>
  <c r="O862" i="5"/>
  <c r="P862" i="5"/>
  <c r="Q862" i="5"/>
  <c r="R862" i="5"/>
  <c r="S862" i="5"/>
  <c r="T862" i="5"/>
  <c r="U862" i="5"/>
  <c r="V862" i="5"/>
  <c r="W862" i="5"/>
  <c r="X862" i="5"/>
  <c r="A863" i="5"/>
  <c r="B863" i="5"/>
  <c r="C863" i="5"/>
  <c r="E863" i="5"/>
  <c r="F863" i="5"/>
  <c r="G863" i="5"/>
  <c r="O863" i="5"/>
  <c r="P863" i="5"/>
  <c r="Q863" i="5"/>
  <c r="R863" i="5"/>
  <c r="S863" i="5"/>
  <c r="T863" i="5"/>
  <c r="U863" i="5"/>
  <c r="V863" i="5"/>
  <c r="W863" i="5"/>
  <c r="X863" i="5"/>
  <c r="A864" i="5"/>
  <c r="B864" i="5"/>
  <c r="C864" i="5"/>
  <c r="E864" i="5"/>
  <c r="F864" i="5"/>
  <c r="G864" i="5"/>
  <c r="O864" i="5"/>
  <c r="P864" i="5"/>
  <c r="Q864" i="5"/>
  <c r="R864" i="5"/>
  <c r="S864" i="5"/>
  <c r="T864" i="5"/>
  <c r="U864" i="5"/>
  <c r="V864" i="5"/>
  <c r="W864" i="5"/>
  <c r="X864" i="5"/>
  <c r="A865" i="5"/>
  <c r="B865" i="5"/>
  <c r="C865" i="5"/>
  <c r="E865" i="5"/>
  <c r="F865" i="5"/>
  <c r="G865" i="5"/>
  <c r="O865" i="5"/>
  <c r="P865" i="5"/>
  <c r="Q865" i="5"/>
  <c r="R865" i="5"/>
  <c r="S865" i="5"/>
  <c r="T865" i="5"/>
  <c r="U865" i="5"/>
  <c r="V865" i="5"/>
  <c r="W865" i="5"/>
  <c r="X865" i="5"/>
  <c r="A866" i="5"/>
  <c r="B866" i="5"/>
  <c r="C866" i="5"/>
  <c r="E866" i="5"/>
  <c r="F866" i="5"/>
  <c r="G866" i="5"/>
  <c r="O866" i="5"/>
  <c r="P866" i="5"/>
  <c r="Q866" i="5"/>
  <c r="R866" i="5"/>
  <c r="S866" i="5"/>
  <c r="T866" i="5"/>
  <c r="U866" i="5"/>
  <c r="V866" i="5"/>
  <c r="W866" i="5"/>
  <c r="X866" i="5"/>
  <c r="A867" i="5"/>
  <c r="B867" i="5"/>
  <c r="C867" i="5"/>
  <c r="E867" i="5"/>
  <c r="F867" i="5"/>
  <c r="G867" i="5"/>
  <c r="O867" i="5"/>
  <c r="P867" i="5"/>
  <c r="Q867" i="5"/>
  <c r="R867" i="5"/>
  <c r="S867" i="5"/>
  <c r="T867" i="5"/>
  <c r="U867" i="5"/>
  <c r="V867" i="5"/>
  <c r="W867" i="5"/>
  <c r="X867" i="5"/>
  <c r="A868" i="5"/>
  <c r="B868" i="5"/>
  <c r="C868" i="5"/>
  <c r="E868" i="5"/>
  <c r="F868" i="5"/>
  <c r="G868" i="5"/>
  <c r="O868" i="5"/>
  <c r="P868" i="5"/>
  <c r="Q868" i="5"/>
  <c r="R868" i="5"/>
  <c r="S868" i="5"/>
  <c r="T868" i="5"/>
  <c r="U868" i="5"/>
  <c r="V868" i="5"/>
  <c r="W868" i="5"/>
  <c r="X868" i="5"/>
  <c r="A869" i="5"/>
  <c r="B869" i="5"/>
  <c r="C869" i="5"/>
  <c r="E869" i="5"/>
  <c r="F869" i="5"/>
  <c r="G869" i="5"/>
  <c r="O869" i="5"/>
  <c r="P869" i="5"/>
  <c r="Q869" i="5"/>
  <c r="R869" i="5"/>
  <c r="S869" i="5"/>
  <c r="T869" i="5"/>
  <c r="U869" i="5"/>
  <c r="V869" i="5"/>
  <c r="W869" i="5"/>
  <c r="X869" i="5"/>
  <c r="A870" i="5"/>
  <c r="B870" i="5"/>
  <c r="C870" i="5"/>
  <c r="E870" i="5"/>
  <c r="F870" i="5"/>
  <c r="G870" i="5"/>
  <c r="O870" i="5"/>
  <c r="P870" i="5"/>
  <c r="Q870" i="5"/>
  <c r="R870" i="5"/>
  <c r="S870" i="5"/>
  <c r="T870" i="5"/>
  <c r="U870" i="5"/>
  <c r="V870" i="5"/>
  <c r="W870" i="5"/>
  <c r="X870" i="5"/>
  <c r="A871" i="5"/>
  <c r="B871" i="5"/>
  <c r="C871" i="5"/>
  <c r="E871" i="5"/>
  <c r="F871" i="5"/>
  <c r="G871" i="5"/>
  <c r="O871" i="5"/>
  <c r="P871" i="5"/>
  <c r="Q871" i="5"/>
  <c r="R871" i="5"/>
  <c r="S871" i="5"/>
  <c r="T871" i="5"/>
  <c r="U871" i="5"/>
  <c r="V871" i="5"/>
  <c r="W871" i="5"/>
  <c r="X871" i="5"/>
  <c r="A872" i="5"/>
  <c r="B872" i="5"/>
  <c r="C872" i="5"/>
  <c r="E872" i="5"/>
  <c r="F872" i="5"/>
  <c r="G872" i="5"/>
  <c r="O872" i="5"/>
  <c r="P872" i="5"/>
  <c r="Q872" i="5"/>
  <c r="R872" i="5"/>
  <c r="S872" i="5"/>
  <c r="T872" i="5"/>
  <c r="U872" i="5"/>
  <c r="V872" i="5"/>
  <c r="W872" i="5"/>
  <c r="X872" i="5"/>
  <c r="A873" i="5"/>
  <c r="B873" i="5"/>
  <c r="C873" i="5"/>
  <c r="E873" i="5"/>
  <c r="F873" i="5"/>
  <c r="G873" i="5"/>
  <c r="O873" i="5"/>
  <c r="P873" i="5"/>
  <c r="Q873" i="5"/>
  <c r="R873" i="5"/>
  <c r="S873" i="5"/>
  <c r="T873" i="5"/>
  <c r="U873" i="5"/>
  <c r="V873" i="5"/>
  <c r="W873" i="5"/>
  <c r="X873" i="5"/>
  <c r="A874" i="5"/>
  <c r="B874" i="5"/>
  <c r="C874" i="5"/>
  <c r="E874" i="5"/>
  <c r="F874" i="5"/>
  <c r="G874" i="5"/>
  <c r="O874" i="5"/>
  <c r="P874" i="5"/>
  <c r="Q874" i="5"/>
  <c r="R874" i="5"/>
  <c r="S874" i="5"/>
  <c r="T874" i="5"/>
  <c r="U874" i="5"/>
  <c r="V874" i="5"/>
  <c r="W874" i="5"/>
  <c r="X874" i="5"/>
  <c r="A875" i="5"/>
  <c r="B875" i="5"/>
  <c r="C875" i="5"/>
  <c r="E875" i="5"/>
  <c r="F875" i="5"/>
  <c r="G875" i="5"/>
  <c r="O875" i="5"/>
  <c r="P875" i="5"/>
  <c r="Q875" i="5"/>
  <c r="R875" i="5"/>
  <c r="S875" i="5"/>
  <c r="T875" i="5"/>
  <c r="U875" i="5"/>
  <c r="V875" i="5"/>
  <c r="W875" i="5"/>
  <c r="X875" i="5"/>
  <c r="A876" i="5"/>
  <c r="B876" i="5"/>
  <c r="C876" i="5"/>
  <c r="E876" i="5"/>
  <c r="F876" i="5"/>
  <c r="G876" i="5"/>
  <c r="O876" i="5"/>
  <c r="P876" i="5"/>
  <c r="Q876" i="5"/>
  <c r="R876" i="5"/>
  <c r="S876" i="5"/>
  <c r="T876" i="5"/>
  <c r="U876" i="5"/>
  <c r="V876" i="5"/>
  <c r="W876" i="5"/>
  <c r="X876" i="5"/>
  <c r="A877" i="5"/>
  <c r="B877" i="5"/>
  <c r="C877" i="5"/>
  <c r="E877" i="5"/>
  <c r="F877" i="5"/>
  <c r="G877" i="5"/>
  <c r="O877" i="5"/>
  <c r="P877" i="5"/>
  <c r="Q877" i="5"/>
  <c r="R877" i="5"/>
  <c r="S877" i="5"/>
  <c r="T877" i="5"/>
  <c r="U877" i="5"/>
  <c r="V877" i="5"/>
  <c r="W877" i="5"/>
  <c r="X877" i="5"/>
  <c r="A878" i="5"/>
  <c r="B878" i="5"/>
  <c r="C878" i="5"/>
  <c r="E878" i="5"/>
  <c r="F878" i="5"/>
  <c r="G878" i="5"/>
  <c r="O878" i="5"/>
  <c r="P878" i="5"/>
  <c r="Q878" i="5"/>
  <c r="R878" i="5"/>
  <c r="S878" i="5"/>
  <c r="T878" i="5"/>
  <c r="U878" i="5"/>
  <c r="V878" i="5"/>
  <c r="W878" i="5"/>
  <c r="X878" i="5"/>
  <c r="A879" i="5"/>
  <c r="B879" i="5"/>
  <c r="C879" i="5"/>
  <c r="E879" i="5"/>
  <c r="F879" i="5"/>
  <c r="G879" i="5"/>
  <c r="O879" i="5"/>
  <c r="P879" i="5"/>
  <c r="Q879" i="5"/>
  <c r="R879" i="5"/>
  <c r="S879" i="5"/>
  <c r="T879" i="5"/>
  <c r="U879" i="5"/>
  <c r="V879" i="5"/>
  <c r="W879" i="5"/>
  <c r="X879" i="5"/>
  <c r="A880" i="5"/>
  <c r="B880" i="5"/>
  <c r="C880" i="5"/>
  <c r="E880" i="5"/>
  <c r="F880" i="5"/>
  <c r="G880" i="5"/>
  <c r="O880" i="5"/>
  <c r="P880" i="5"/>
  <c r="Q880" i="5"/>
  <c r="R880" i="5"/>
  <c r="S880" i="5"/>
  <c r="T880" i="5"/>
  <c r="U880" i="5"/>
  <c r="V880" i="5"/>
  <c r="W880" i="5"/>
  <c r="X880" i="5"/>
  <c r="G3" i="6"/>
  <c r="G2" i="6"/>
  <c r="C4" i="6"/>
  <c r="F7" i="6"/>
  <c r="G7" i="6"/>
  <c r="E7" i="6"/>
  <c r="D7" i="6"/>
  <c r="C7" i="6"/>
  <c r="B7" i="6"/>
  <c r="C2" i="6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P8" i="5"/>
  <c r="P2" i="5"/>
  <c r="P3" i="5"/>
  <c r="P4" i="5"/>
  <c r="P5" i="5"/>
  <c r="P6" i="5"/>
  <c r="P7" i="5"/>
  <c r="P9" i="5"/>
  <c r="P10" i="5"/>
  <c r="P11" i="5"/>
  <c r="P12" i="5"/>
  <c r="P13" i="5"/>
  <c r="P14" i="5"/>
  <c r="P15" i="5"/>
  <c r="P16" i="5"/>
  <c r="P17" i="5"/>
  <c r="P18" i="5"/>
  <c r="P19" i="5"/>
  <c r="P20" i="5"/>
  <c r="O8" i="5"/>
  <c r="O2" i="5"/>
  <c r="O3" i="5"/>
  <c r="O4" i="5"/>
  <c r="O5" i="5"/>
  <c r="O6" i="5"/>
  <c r="O7" i="5"/>
  <c r="O9" i="5"/>
  <c r="O10" i="5"/>
  <c r="O11" i="5"/>
  <c r="O12" i="5"/>
  <c r="O13" i="5"/>
  <c r="O14" i="5"/>
  <c r="O15" i="5"/>
  <c r="O16" i="5"/>
  <c r="O17" i="5"/>
  <c r="O18" i="5"/>
  <c r="O19" i="5"/>
  <c r="O20" i="5"/>
  <c r="G4" i="6"/>
  <c r="I3" i="6"/>
  <c r="I2" i="6"/>
  <c r="Q6" i="5"/>
  <c r="X20" i="5"/>
  <c r="W20" i="5"/>
  <c r="V20" i="5"/>
  <c r="U20" i="5"/>
  <c r="T20" i="5"/>
  <c r="S20" i="5"/>
  <c r="R20" i="5"/>
  <c r="Q20" i="5"/>
  <c r="G20" i="5"/>
  <c r="X19" i="5"/>
  <c r="W19" i="5"/>
  <c r="V19" i="5"/>
  <c r="U19" i="5"/>
  <c r="T19" i="5"/>
  <c r="S19" i="5"/>
  <c r="R19" i="5"/>
  <c r="Q19" i="5"/>
  <c r="G19" i="5"/>
  <c r="X18" i="5"/>
  <c r="W18" i="5"/>
  <c r="V18" i="5"/>
  <c r="U18" i="5"/>
  <c r="T18" i="5"/>
  <c r="S18" i="5"/>
  <c r="R18" i="5"/>
  <c r="Q18" i="5"/>
  <c r="G18" i="5"/>
  <c r="X17" i="5"/>
  <c r="W17" i="5"/>
  <c r="V17" i="5"/>
  <c r="U17" i="5"/>
  <c r="T17" i="5"/>
  <c r="S17" i="5"/>
  <c r="R17" i="5"/>
  <c r="Q17" i="5"/>
  <c r="G17" i="5"/>
  <c r="X16" i="5"/>
  <c r="W16" i="5"/>
  <c r="V16" i="5"/>
  <c r="U16" i="5"/>
  <c r="T16" i="5"/>
  <c r="S16" i="5"/>
  <c r="R16" i="5"/>
  <c r="Q16" i="5"/>
  <c r="G16" i="5"/>
  <c r="X15" i="5"/>
  <c r="W15" i="5"/>
  <c r="V15" i="5"/>
  <c r="U15" i="5"/>
  <c r="T15" i="5"/>
  <c r="S15" i="5"/>
  <c r="R15" i="5"/>
  <c r="Q15" i="5"/>
  <c r="G15" i="5"/>
  <c r="X14" i="5"/>
  <c r="W14" i="5"/>
  <c r="V14" i="5"/>
  <c r="U14" i="5"/>
  <c r="T14" i="5"/>
  <c r="S14" i="5"/>
  <c r="R14" i="5"/>
  <c r="Q14" i="5"/>
  <c r="G14" i="5"/>
  <c r="X13" i="5"/>
  <c r="W13" i="5"/>
  <c r="V13" i="5"/>
  <c r="U13" i="5"/>
  <c r="T13" i="5"/>
  <c r="S13" i="5"/>
  <c r="R13" i="5"/>
  <c r="Q13" i="5"/>
  <c r="G13" i="5"/>
  <c r="X12" i="5"/>
  <c r="W12" i="5"/>
  <c r="V12" i="5"/>
  <c r="U12" i="5"/>
  <c r="T12" i="5"/>
  <c r="S12" i="5"/>
  <c r="R12" i="5"/>
  <c r="Q12" i="5"/>
  <c r="G12" i="5"/>
  <c r="X11" i="5"/>
  <c r="W11" i="5"/>
  <c r="V11" i="5"/>
  <c r="U11" i="5"/>
  <c r="T11" i="5"/>
  <c r="S11" i="5"/>
  <c r="R11" i="5"/>
  <c r="Q11" i="5"/>
  <c r="G11" i="5"/>
  <c r="X10" i="5"/>
  <c r="W10" i="5"/>
  <c r="V10" i="5"/>
  <c r="U10" i="5"/>
  <c r="T10" i="5"/>
  <c r="S10" i="5"/>
  <c r="R10" i="5"/>
  <c r="Q10" i="5"/>
  <c r="G10" i="5"/>
  <c r="X9" i="5"/>
  <c r="W9" i="5"/>
  <c r="V9" i="5"/>
  <c r="U9" i="5"/>
  <c r="T9" i="5"/>
  <c r="S9" i="5"/>
  <c r="R9" i="5"/>
  <c r="Q9" i="5"/>
  <c r="G9" i="5"/>
  <c r="X8" i="5"/>
  <c r="W8" i="5"/>
  <c r="V8" i="5"/>
  <c r="U8" i="5"/>
  <c r="T8" i="5"/>
  <c r="S8" i="5"/>
  <c r="R8" i="5"/>
  <c r="Q8" i="5"/>
  <c r="G8" i="5"/>
  <c r="X7" i="5"/>
  <c r="W7" i="5"/>
  <c r="V7" i="5"/>
  <c r="U7" i="5"/>
  <c r="T7" i="5"/>
  <c r="S7" i="5"/>
  <c r="R7" i="5"/>
  <c r="Q7" i="5"/>
  <c r="G7" i="5"/>
  <c r="X6" i="5"/>
  <c r="W6" i="5"/>
  <c r="V6" i="5"/>
  <c r="U6" i="5"/>
  <c r="T6" i="5"/>
  <c r="S6" i="5"/>
  <c r="R6" i="5"/>
  <c r="G6" i="5"/>
  <c r="X5" i="5"/>
  <c r="W5" i="5"/>
  <c r="V5" i="5"/>
  <c r="U5" i="5"/>
  <c r="T5" i="5"/>
  <c r="S5" i="5"/>
  <c r="R5" i="5"/>
  <c r="Q5" i="5"/>
  <c r="G5" i="5"/>
  <c r="X4" i="5"/>
  <c r="W4" i="5"/>
  <c r="V4" i="5"/>
  <c r="U4" i="5"/>
  <c r="T4" i="5"/>
  <c r="S4" i="5"/>
  <c r="R4" i="5"/>
  <c r="Q4" i="5"/>
  <c r="G4" i="5"/>
  <c r="X3" i="5"/>
  <c r="W3" i="5"/>
  <c r="V3" i="5"/>
  <c r="U3" i="5"/>
  <c r="T3" i="5"/>
  <c r="S3" i="5"/>
  <c r="R3" i="5"/>
  <c r="Q3" i="5"/>
  <c r="G3" i="5"/>
  <c r="X2" i="5"/>
  <c r="W2" i="5"/>
  <c r="V2" i="5"/>
  <c r="U2" i="5"/>
  <c r="T2" i="5"/>
  <c r="S2" i="5"/>
  <c r="R2" i="5"/>
  <c r="Q2" i="5"/>
  <c r="G2" i="5"/>
  <c r="B2" i="5"/>
</calcChain>
</file>

<file path=xl/sharedStrings.xml><?xml version="1.0" encoding="utf-8"?>
<sst xmlns="http://schemas.openxmlformats.org/spreadsheetml/2006/main" count="89" uniqueCount="78">
  <si>
    <t>Connect using 
"PLX-DAQ Simple Test"</t>
  </si>
  <si>
    <t>Time</t>
  </si>
  <si>
    <t>PinOL</t>
  </si>
  <si>
    <t>PinPV</t>
  </si>
  <si>
    <t>Vin</t>
  </si>
  <si>
    <t>Vsys</t>
  </si>
  <si>
    <t>Vbat</t>
  </si>
  <si>
    <t>Ibat</t>
  </si>
  <si>
    <t>DieTemp</t>
  </si>
  <si>
    <t>SysStat</t>
  </si>
  <si>
    <t>ChState</t>
  </si>
  <si>
    <t>ChStat</t>
  </si>
  <si>
    <t>Tmoth</t>
  </si>
  <si>
    <t>Tol</t>
  </si>
  <si>
    <t>Time (s)</t>
  </si>
  <si>
    <t>Off-Line
Power (W)</t>
  </si>
  <si>
    <t>PV
Power (W)</t>
  </si>
  <si>
    <t>PV
Energy (Wh)</t>
  </si>
  <si>
    <r>
      <t>LTC4015 Die
Temp (</t>
    </r>
    <r>
      <rPr>
        <b/>
        <sz val="10"/>
        <rFont val="Calibri"/>
        <family val="2"/>
      </rPr>
      <t>°</t>
    </r>
    <r>
      <rPr>
        <b/>
        <sz val="10"/>
        <rFont val="Arial"/>
        <family val="2"/>
      </rPr>
      <t>C)</t>
    </r>
  </si>
  <si>
    <r>
      <t>Mother
Temp (</t>
    </r>
    <r>
      <rPr>
        <b/>
        <sz val="10"/>
        <rFont val="Calibri"/>
        <family val="2"/>
      </rPr>
      <t>°</t>
    </r>
    <r>
      <rPr>
        <b/>
        <sz val="10"/>
        <rFont val="Arial"/>
        <family val="2"/>
      </rPr>
      <t>C)</t>
    </r>
  </si>
  <si>
    <r>
      <t>OL
Temp (</t>
    </r>
    <r>
      <rPr>
        <b/>
        <sz val="10"/>
        <rFont val="Calibri"/>
        <family val="2"/>
      </rPr>
      <t>°</t>
    </r>
    <r>
      <rPr>
        <b/>
        <sz val="10"/>
        <rFont val="Arial"/>
        <family val="2"/>
      </rPr>
      <t>C)</t>
    </r>
  </si>
  <si>
    <t>Enabled</t>
  </si>
  <si>
    <t>MPPT</t>
  </si>
  <si>
    <t>Ok Charge</t>
  </si>
  <si>
    <t>Equalize</t>
  </si>
  <si>
    <t>Absorb</t>
  </si>
  <si>
    <t>Suspended</t>
  </si>
  <si>
    <t>CC /CV</t>
  </si>
  <si>
    <t>Bat Missing</t>
  </si>
  <si>
    <t>Bat Short</t>
  </si>
  <si>
    <t>Active 
Control Loop</t>
  </si>
  <si>
    <t>Hours</t>
  </si>
  <si>
    <t>Total PV Energy</t>
  </si>
  <si>
    <t>Wh</t>
  </si>
  <si>
    <t>Total Off-Line Energy</t>
  </si>
  <si>
    <t>BSR</t>
  </si>
  <si>
    <t>mΩ</t>
  </si>
  <si>
    <t>Total Energy</t>
  </si>
  <si>
    <r>
      <t>V</t>
    </r>
    <r>
      <rPr>
        <b/>
        <vertAlign val="subscript"/>
        <sz val="10"/>
        <rFont val="Arial"/>
        <family val="2"/>
      </rPr>
      <t>BAT</t>
    </r>
    <r>
      <rPr>
        <b/>
        <sz val="10"/>
        <rFont val="Arial"/>
        <family val="2"/>
      </rPr>
      <t xml:space="preserve"> (V)</t>
    </r>
  </si>
  <si>
    <r>
      <t>I</t>
    </r>
    <r>
      <rPr>
        <b/>
        <vertAlign val="subscript"/>
        <sz val="10"/>
        <rFont val="Arial"/>
        <family val="2"/>
      </rPr>
      <t xml:space="preserve">BAT </t>
    </r>
    <r>
      <rPr>
        <b/>
        <sz val="10"/>
        <rFont val="Arial"/>
        <family val="2"/>
      </rPr>
      <t>(A)</t>
    </r>
  </si>
  <si>
    <t>SOC</t>
  </si>
  <si>
    <r>
      <t>T</t>
    </r>
    <r>
      <rPr>
        <b/>
        <vertAlign val="subscript"/>
        <sz val="10"/>
        <rFont val="Arial"/>
        <family val="2"/>
      </rPr>
      <t>DIE</t>
    </r>
    <r>
      <rPr>
        <b/>
        <sz val="10"/>
        <rFont val="Cambria"/>
        <family val="1"/>
      </rPr>
      <t xml:space="preserve"> (°C)</t>
    </r>
  </si>
  <si>
    <r>
      <t>T</t>
    </r>
    <r>
      <rPr>
        <b/>
        <vertAlign val="subscript"/>
        <sz val="10"/>
        <rFont val="Arial"/>
        <family val="2"/>
      </rPr>
      <t xml:space="preserve">MOTHER </t>
    </r>
    <r>
      <rPr>
        <b/>
        <sz val="10"/>
        <rFont val="Arial"/>
        <family val="2"/>
      </rPr>
      <t>(°C)</t>
    </r>
  </si>
  <si>
    <r>
      <t>T</t>
    </r>
    <r>
      <rPr>
        <b/>
        <vertAlign val="subscript"/>
        <sz val="10"/>
        <rFont val="Arial"/>
        <family val="2"/>
      </rPr>
      <t>OL</t>
    </r>
    <r>
      <rPr>
        <b/>
        <sz val="10"/>
        <rFont val="Arial"/>
        <family val="2"/>
      </rPr>
      <t xml:space="preserve"> (°C)</t>
    </r>
  </si>
  <si>
    <t>Max</t>
  </si>
  <si>
    <t>Min</t>
  </si>
  <si>
    <r>
      <t>V</t>
    </r>
    <r>
      <rPr>
        <b/>
        <vertAlign val="subscript"/>
        <sz val="10"/>
        <rFont val="Arial"/>
        <family val="2"/>
      </rPr>
      <t>SYS</t>
    </r>
    <r>
      <rPr>
        <b/>
        <sz val="10"/>
        <rFont val="Arial"/>
        <family val="2"/>
      </rPr>
      <t xml:space="preserve"> (V)</t>
    </r>
  </si>
  <si>
    <r>
      <t>V</t>
    </r>
    <r>
      <rPr>
        <b/>
        <vertAlign val="subscript"/>
        <sz val="10"/>
        <rFont val="Arial"/>
        <family val="2"/>
      </rPr>
      <t>IN</t>
    </r>
    <r>
      <rPr>
        <b/>
        <sz val="10"/>
        <rFont val="Arial"/>
        <family val="2"/>
      </rPr>
      <t xml:space="preserve"> (V)</t>
    </r>
  </si>
  <si>
    <t>Qcount</t>
  </si>
  <si>
    <t>Elapsed Time</t>
  </si>
  <si>
    <t>Off-Line
Energy (Wh)</t>
  </si>
  <si>
    <t>Peak PV Power</t>
  </si>
  <si>
    <t>Peak Battery Charging Power</t>
  </si>
  <si>
    <t>Peak Battery Discharging Power</t>
  </si>
  <si>
    <t>W</t>
  </si>
  <si>
    <r>
      <t>P</t>
    </r>
    <r>
      <rPr>
        <b/>
        <vertAlign val="subscript"/>
        <sz val="10"/>
        <rFont val="Arial"/>
        <family val="2"/>
      </rPr>
      <t xml:space="preserve">BAT </t>
    </r>
    <r>
      <rPr>
        <b/>
        <sz val="10"/>
        <rFont val="Arial"/>
        <family val="2"/>
      </rPr>
      <t>(W)</t>
    </r>
  </si>
  <si>
    <t>Copyright (c) 2021, RESTEP</t>
  </si>
  <si>
    <t xml:space="preserve"> 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</si>
  <si>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</si>
  <si>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</si>
  <si>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</si>
  <si>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</si>
  <si>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</si>
  <si>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</si>
  <si>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</si>
  <si>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</si>
  <si>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</si>
  <si>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</si>
  <si>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</si>
  <si>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</si>
  <si>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</si>
  <si>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</si>
  <si>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</si>
  <si>
    <t>Notice:</t>
  </si>
  <si>
    <t>This Excel DAQ tool is a modified version of PLX-DAQ by Parallax.  It is intended for use with the Restep Power System.</t>
  </si>
  <si>
    <t>Parallax is credited for the creation and basis of this Excel DAQ tool.</t>
  </si>
  <si>
    <t>Selmaware Solutions is credited for the serial Active-X control in this Excel DAQ tool.</t>
  </si>
  <si>
    <t>Both Parallax and Selmaware Solutions have permitted Restep to modify, re-publish, and re-license this file providing it is not for profit usage.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</si>
</sst>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h:mm\ AM/PM;@"/>
    <numFmt numFmtId="165" formatCode="0.0"/>
  </numFmts>
  <fonts count="8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0"/>
      <name val="Calibri"/>
      <family val="2"/>
    </font>
    <font>
      <sz val="10"/>
      <name val="Arial"/>
    </font>
    <font>
      <b/>
      <vertAlign val="subscript"/>
      <sz val="10"/>
      <name val="Arial"/>
      <family val="2"/>
    </font>
    <font>
      <b/>
      <sz val="10"/>
      <name val="Cambria"/>
      <family val="1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9" fontId="4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7" fillId="0" borderId="0"/>
  </cellStyleXfs>
  <cellXfs count="4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164" fontId="1" fillId="0" borderId="0" xfId="0" applyNumberFormat="1" applyFont="1" applyAlignment="1">
      <alignment horizontal="center"/>
    </xf>
    <xf numFmtId="0" fontId="1" fillId="2" borderId="0" xfId="0" applyFont="1" applyFill="1" applyAlignment="1">
      <alignment horizontal="center" textRotation="90" wrapText="1"/>
    </xf>
    <xf numFmtId="0" fontId="1" fillId="3" borderId="0" xfId="0" applyFont="1" applyFill="1" applyAlignment="1">
      <alignment horizontal="center" textRotation="90" wrapText="1"/>
    </xf>
    <xf numFmtId="0" fontId="1" fillId="4" borderId="0" xfId="0" applyFont="1" applyFill="1" applyAlignment="1">
      <alignment horizontal="center" wrapText="1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3" borderId="0" xfId="0" applyNumberFormat="1" applyFill="1" applyAlignment="1">
      <alignment horizontal="center"/>
    </xf>
    <xf numFmtId="1" fontId="0" fillId="4" borderId="0" xfId="0" applyNumberFormat="1" applyFill="1" applyAlignment="1">
      <alignment horizontal="center"/>
    </xf>
    <xf numFmtId="164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5" borderId="0" xfId="0" applyFill="1" applyAlignment="1">
      <alignment horizontal="right"/>
    </xf>
    <xf numFmtId="2" fontId="0" fillId="5" borderId="0" xfId="0" applyNumberFormat="1" applyFill="1" applyAlignment="1">
      <alignment horizontal="center"/>
    </xf>
    <xf numFmtId="165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left"/>
    </xf>
    <xf numFmtId="0" fontId="2" fillId="5" borderId="0" xfId="0" applyFont="1" applyFill="1" applyAlignment="1">
      <alignment horizontal="right"/>
    </xf>
    <xf numFmtId="165" fontId="2" fillId="5" borderId="0" xfId="0" applyNumberFormat="1" applyFont="1" applyFill="1" applyAlignment="1">
      <alignment horizontal="center"/>
    </xf>
    <xf numFmtId="0" fontId="0" fillId="5" borderId="0" xfId="0" applyFill="1" applyAlignment="1">
      <alignment horizontal="left"/>
    </xf>
    <xf numFmtId="0" fontId="1" fillId="5" borderId="1" xfId="0" applyFont="1" applyFill="1" applyBorder="1" applyAlignment="1">
      <alignment horizontal="center"/>
    </xf>
    <xf numFmtId="9" fontId="0" fillId="5" borderId="0" xfId="1" applyFont="1" applyFill="1" applyAlignment="1">
      <alignment horizontal="center"/>
    </xf>
    <xf numFmtId="1" fontId="0" fillId="5" borderId="0" xfId="0" applyNumberFormat="1" applyFill="1" applyAlignment="1">
      <alignment horizontal="center"/>
    </xf>
    <xf numFmtId="9" fontId="1" fillId="5" borderId="0" xfId="1" applyFont="1" applyFill="1" applyBorder="1" applyAlignment="1">
      <alignment horizontal="center"/>
    </xf>
    <xf numFmtId="9" fontId="0" fillId="0" borderId="0" xfId="1" applyFont="1" applyAlignment="1">
      <alignment horizontal="center"/>
    </xf>
    <xf numFmtId="9" fontId="0" fillId="0" borderId="0" xfId="1" applyFont="1"/>
    <xf numFmtId="0" fontId="0" fillId="6" borderId="0" xfId="0" applyFill="1"/>
    <xf numFmtId="0" fontId="7" fillId="0" borderId="0" xfId="4"/>
  </cellXfs>
  <cellStyles count="5">
    <cellStyle name="Normal" xfId="0" builtinId="0"/>
    <cellStyle name="Normal 2" xfId="2"/>
    <cellStyle name="Normal 3" xfId="4"/>
    <cellStyle name="Percent" xfId="1" builtinId="5"/>
    <cellStyle name="Percent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Users\arntzenc\Documents\restep-eco\Restep%20BoostComp48V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cense"/>
      <sheetName val="LoopAnalysis"/>
    </sheetNames>
    <sheetDataSet>
      <sheetData sheetId="0"/>
      <sheetData sheetId="1">
        <row r="7">
          <cell r="B7">
            <v>400000</v>
          </cell>
        </row>
        <row r="29">
          <cell r="B29">
            <v>7000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26"/>
  <sheetViews>
    <sheetView tabSelected="1" zoomScale="93" workbookViewId="0"/>
  </sheetViews>
  <sheetFormatPr defaultColWidth="12.5703125" defaultRowHeight="15.75" x14ac:dyDescent="0.25"/>
  <cols>
    <col min="1" max="16384" width="12.5703125" style="39"/>
  </cols>
  <sheetData>
    <row r="2" spans="1:1" x14ac:dyDescent="0.25">
      <c r="A2" s="39" t="s">
        <v>56</v>
      </c>
    </row>
    <row r="3" spans="1:1" x14ac:dyDescent="0.25">
      <c r="A3" s="39" t="s">
        <v>57</v>
      </c>
    </row>
    <row r="4" spans="1:1" x14ac:dyDescent="0.25">
      <c r="A4" s="39" t="s">
        <v>58</v>
      </c>
    </row>
    <row r="5" spans="1:1" x14ac:dyDescent="0.25">
      <c r="A5" s="39" t="s">
        <v>59</v>
      </c>
    </row>
    <row r="6" spans="1:1" x14ac:dyDescent="0.25">
      <c r="A6" s="39" t="s">
        <v>60</v>
      </c>
    </row>
    <row r="7" spans="1:1" x14ac:dyDescent="0.25">
      <c r="A7" s="39" t="s">
        <v>61</v>
      </c>
    </row>
    <row r="8" spans="1:1" x14ac:dyDescent="0.25">
      <c r="A8" s="39" t="s">
        <v>62</v>
      </c>
    </row>
    <row r="9" spans="1:1" x14ac:dyDescent="0.25">
      <c r="A9" s="39" t="s">
        <v>63</v>
      </c>
    </row>
    <row r="10" spans="1:1" x14ac:dyDescent="0.25">
      <c r="A10" s="39" t="s">
        <v>57</v>
      </c>
    </row>
    <row r="11" spans="1:1" x14ac:dyDescent="0.25">
      <c r="A11" s="39" t="s">
        <v>64</v>
      </c>
    </row>
    <row r="12" spans="1:1" x14ac:dyDescent="0.25">
      <c r="A12" s="39" t="s">
        <v>65</v>
      </c>
    </row>
    <row r="13" spans="1:1" x14ac:dyDescent="0.25">
      <c r="A13" s="39" t="s">
        <v>57</v>
      </c>
    </row>
    <row r="14" spans="1:1" x14ac:dyDescent="0.25">
      <c r="A14" s="39" t="s">
        <v>66</v>
      </c>
    </row>
    <row r="15" spans="1:1" x14ac:dyDescent="0.25">
      <c r="A15" s="39" t="s">
        <v>67</v>
      </c>
    </row>
    <row r="16" spans="1:1" x14ac:dyDescent="0.25">
      <c r="A16" s="39" t="s">
        <v>68</v>
      </c>
    </row>
    <row r="17" spans="1:1" x14ac:dyDescent="0.25">
      <c r="A17" s="39" t="s">
        <v>69</v>
      </c>
    </row>
    <row r="18" spans="1:1" x14ac:dyDescent="0.25">
      <c r="A18" s="39" t="s">
        <v>70</v>
      </c>
    </row>
    <row r="19" spans="1:1" x14ac:dyDescent="0.25">
      <c r="A19" s="39" t="s">
        <v>71</v>
      </c>
    </row>
    <row r="20" spans="1:1" x14ac:dyDescent="0.25">
      <c r="A20" s="39" t="s">
        <v>72</v>
      </c>
    </row>
    <row r="22" spans="1:1" x14ac:dyDescent="0.25">
      <c r="A22" s="39" t="s">
        <v>73</v>
      </c>
    </row>
    <row r="23" spans="1:1" x14ac:dyDescent="0.25">
      <c r="A23" s="39" t="s">
        <v>74</v>
      </c>
    </row>
    <row r="24" spans="1:1" x14ac:dyDescent="0.25">
      <c r="A24" s="39" t="s">
        <v>75</v>
      </c>
    </row>
    <row r="25" spans="1:1" x14ac:dyDescent="0.25">
      <c r="A25" s="39" t="s">
        <v>76</v>
      </c>
    </row>
    <row r="26" spans="1:1" x14ac:dyDescent="0.25">
      <c r="A26" s="39" t="s">
        <v>77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33"/>
  <sheetViews>
    <sheetView workbookViewId="0">
      <pane ySplit="1" topLeftCell="A2" activePane="bottomLeft" state="frozen"/>
      <selection pane="bottomLeft" activeCell="O2" sqref="O2"/>
    </sheetView>
  </sheetViews>
  <sheetFormatPr defaultRowHeight="12.75" x14ac:dyDescent="0.2"/>
  <cols>
    <col min="1" max="1" width="18.85546875" style="7" customWidth="1"/>
    <col min="2" max="2" width="15" style="8" customWidth="1"/>
    <col min="3" max="3" width="9" style="9" customWidth="1"/>
    <col min="4" max="6" width="9.140625" style="9"/>
    <col min="7" max="11" width="9.140625" style="1"/>
  </cols>
  <sheetData>
    <row r="1" spans="1:15" s="10" customFormat="1" ht="38.25" x14ac:dyDescent="0.2">
      <c r="A1" s="5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48</v>
      </c>
      <c r="J1" s="2" t="s">
        <v>8</v>
      </c>
      <c r="K1" s="2" t="s">
        <v>9</v>
      </c>
      <c r="L1" s="10" t="s">
        <v>10</v>
      </c>
      <c r="M1" s="10" t="s">
        <v>11</v>
      </c>
      <c r="N1" s="10" t="s">
        <v>12</v>
      </c>
      <c r="O1" s="10" t="s">
        <v>13</v>
      </c>
    </row>
    <row r="2" spans="1:15" x14ac:dyDescent="0.2">
      <c r="O2" s="38"/>
    </row>
    <row r="5" spans="1:15" x14ac:dyDescent="0.2">
      <c r="D5" s="6"/>
    </row>
    <row r="7" spans="1:15" x14ac:dyDescent="0.2">
      <c r="D7" s="6"/>
    </row>
    <row r="9" spans="1:15" x14ac:dyDescent="0.2">
      <c r="D9" s="6"/>
    </row>
    <row r="11" spans="1:15" x14ac:dyDescent="0.2">
      <c r="D11" s="6"/>
    </row>
    <row r="13" spans="1:15" x14ac:dyDescent="0.2">
      <c r="D13" s="6"/>
    </row>
    <row r="15" spans="1:15" x14ac:dyDescent="0.2">
      <c r="D15" s="6"/>
    </row>
    <row r="17" spans="4:4" x14ac:dyDescent="0.2">
      <c r="D17" s="6"/>
    </row>
    <row r="19" spans="4:4" x14ac:dyDescent="0.2">
      <c r="D19" s="6"/>
    </row>
    <row r="21" spans="4:4" x14ac:dyDescent="0.2">
      <c r="D21" s="6"/>
    </row>
    <row r="23" spans="4:4" x14ac:dyDescent="0.2">
      <c r="D23" s="6"/>
    </row>
    <row r="25" spans="4:4" x14ac:dyDescent="0.2">
      <c r="D25" s="6"/>
    </row>
    <row r="27" spans="4:4" x14ac:dyDescent="0.2">
      <c r="D27" s="6"/>
    </row>
    <row r="29" spans="4:4" x14ac:dyDescent="0.2">
      <c r="D29" s="6"/>
    </row>
    <row r="31" spans="4:4" x14ac:dyDescent="0.2">
      <c r="D31" s="6"/>
    </row>
    <row r="33" spans="4:4" x14ac:dyDescent="0.2">
      <c r="D33" s="6"/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880"/>
  <sheetViews>
    <sheetView workbookViewId="0">
      <pane ySplit="1" topLeftCell="A2" activePane="bottomLeft" state="frozen"/>
      <selection pane="bottomLeft" activeCell="Y2" sqref="Y2"/>
    </sheetView>
  </sheetViews>
  <sheetFormatPr defaultColWidth="8.85546875" defaultRowHeight="12.75" x14ac:dyDescent="0.2"/>
  <cols>
    <col min="1" max="1" width="10.85546875" style="20" bestFit="1" customWidth="1"/>
    <col min="2" max="10" width="7.7109375" customWidth="1"/>
    <col min="11" max="11" width="7.7109375" style="37" customWidth="1"/>
    <col min="12" max="12" width="8.28515625" customWidth="1"/>
    <col min="13" max="14" width="7.7109375" customWidth="1"/>
    <col min="15" max="17" width="3.28515625" style="21" bestFit="1" customWidth="1"/>
    <col min="18" max="23" width="3.28515625" style="22" bestFit="1" customWidth="1"/>
    <col min="24" max="24" width="13.42578125" style="23" bestFit="1" customWidth="1"/>
  </cols>
  <sheetData>
    <row r="1" spans="1:25" ht="59.25" x14ac:dyDescent="0.25">
      <c r="A1" s="11" t="s">
        <v>14</v>
      </c>
      <c r="B1" s="2" t="s">
        <v>15</v>
      </c>
      <c r="C1" s="2" t="s">
        <v>50</v>
      </c>
      <c r="D1" s="2" t="s">
        <v>16</v>
      </c>
      <c r="E1" s="2" t="s">
        <v>17</v>
      </c>
      <c r="F1" s="32" t="s">
        <v>47</v>
      </c>
      <c r="G1" s="32" t="s">
        <v>46</v>
      </c>
      <c r="H1" s="32" t="s">
        <v>38</v>
      </c>
      <c r="I1" s="32" t="s">
        <v>39</v>
      </c>
      <c r="J1" s="32" t="s">
        <v>55</v>
      </c>
      <c r="K1" s="35" t="s">
        <v>40</v>
      </c>
      <c r="L1" s="2" t="s">
        <v>18</v>
      </c>
      <c r="M1" s="2" t="s">
        <v>19</v>
      </c>
      <c r="N1" s="2" t="s">
        <v>20</v>
      </c>
      <c r="O1" s="12" t="s">
        <v>21</v>
      </c>
      <c r="P1" s="12" t="s">
        <v>22</v>
      </c>
      <c r="Q1" s="12" t="s">
        <v>23</v>
      </c>
      <c r="R1" s="13" t="s">
        <v>24</v>
      </c>
      <c r="S1" s="13" t="s">
        <v>25</v>
      </c>
      <c r="T1" s="13" t="s">
        <v>26</v>
      </c>
      <c r="U1" s="13" t="s">
        <v>27</v>
      </c>
      <c r="V1" s="13" t="s">
        <v>28</v>
      </c>
      <c r="W1" s="13" t="s">
        <v>29</v>
      </c>
      <c r="X1" s="14" t="s">
        <v>30</v>
      </c>
    </row>
    <row r="2" spans="1:25" x14ac:dyDescent="0.2">
      <c r="A2" s="15">
        <f>'Raw Data'!A2-TIME(ROUNDDOWN(SUM('Raw Data'!B:B)/3600,0),ROUNDDOWN((SUM('Raw Data'!B:B)-3600*ROUNDDOWN(SUM('Raw Data'!B:B)/3600,0))/60,0),0)</f>
        <v>0</v>
      </c>
      <c r="B2" s="4">
        <f>'Raw Data'!C3*0.025</f>
        <v>0</v>
      </c>
      <c r="C2" s="4">
        <v>0</v>
      </c>
      <c r="D2" s="4">
        <f>'Raw Data'!D3*0.025</f>
        <v>0</v>
      </c>
      <c r="E2" s="4">
        <v>0</v>
      </c>
      <c r="F2" s="4">
        <f>'Raw Data'!E3*0.001648</f>
        <v>0</v>
      </c>
      <c r="G2" s="4">
        <f>'Raw Data'!F3*0.001648</f>
        <v>0</v>
      </c>
      <c r="H2" s="4">
        <f>'Raw Data'!G3*6*0.000128176</f>
        <v>0</v>
      </c>
      <c r="I2" s="4">
        <f>'Raw Data'!H3*0.000732435</f>
        <v>0</v>
      </c>
      <c r="J2" s="4">
        <f>H2*I2</f>
        <v>0</v>
      </c>
      <c r="K2" s="36">
        <f>IF(('Raw Data'!I3-16384)/32768&lt;0,0,('Raw Data'!I3-16384)/32768)</f>
        <v>0</v>
      </c>
      <c r="L2" s="4">
        <f>IF(('Raw Data'!J3-12010)/45.6=-263.377192982456,0,('Raw Data'!J3-12010)/45.6)</f>
        <v>0</v>
      </c>
      <c r="M2" s="16">
        <f>'Raw Data'!N3*2^-8</f>
        <v>0</v>
      </c>
      <c r="N2" s="16">
        <f>'Raw Data'!O3*2^-8</f>
        <v>0</v>
      </c>
      <c r="O2" s="17" t="str">
        <f>IF(BITWISE_AND('Raw Data'!$K3, 8192),"X","")</f>
        <v/>
      </c>
      <c r="P2" s="17" t="str">
        <f>IF(BITWISE_AND('Raw Data'!$K3, 2048),"X","")</f>
        <v/>
      </c>
      <c r="Q2" s="17" t="str">
        <f>IF(BITWISE_AND('Raw Data'!$K3, 64),"X","")</f>
        <v/>
      </c>
      <c r="R2" s="18" t="str">
        <f>IF(BITWISE_AND('Raw Data'!$L3, 1024),"X","")</f>
        <v/>
      </c>
      <c r="S2" s="18" t="str">
        <f>IF(BITWISE_AND('Raw Data'!$L3, 512),"X","")</f>
        <v/>
      </c>
      <c r="T2" s="18" t="str">
        <f>IF(BITWISE_AND('Raw Data'!$L3, 256),"X","")</f>
        <v/>
      </c>
      <c r="U2" s="18" t="str">
        <f>IF(BITWISE_AND('Raw Data'!$L3, 64),"X","")</f>
        <v/>
      </c>
      <c r="V2" s="18" t="str">
        <f>IF(BITWISE_AND('Raw Data'!$L3, 2),"X","")</f>
        <v/>
      </c>
      <c r="W2" s="18" t="str">
        <f>IF(BITWISE_AND('Raw Data'!$L3, 1),"X","")</f>
        <v/>
      </c>
      <c r="X2" s="19" t="str">
        <f>IF(BITWISE_AND('Raw Data'!M3, 1),"Bat Voltage", IF(BITWISE_AND('Raw Data'!M3, 2), "Charge Current", IF(BITWISE_AND('Raw Data'!M3, 4),"Input Ilim", IF(BITWISE_AND('Raw Data'!M3, 8), "Input UV", "none"))))</f>
        <v>none</v>
      </c>
      <c r="Y2" s="20"/>
    </row>
    <row r="3" spans="1:25" x14ac:dyDescent="0.2">
      <c r="A3" s="15">
        <f>A2+TIME(0,0,'Raw Data'!B3)</f>
        <v>0</v>
      </c>
      <c r="B3" s="4">
        <f>'Raw Data'!C4*0.025</f>
        <v>0</v>
      </c>
      <c r="C3" s="4">
        <f>C2+B3/60</f>
        <v>0</v>
      </c>
      <c r="D3" s="4">
        <f>'Raw Data'!D4*0.025</f>
        <v>0</v>
      </c>
      <c r="E3" s="4">
        <f>E2+D3/60</f>
        <v>0</v>
      </c>
      <c r="F3" s="4">
        <f>'Raw Data'!E4*0.001648</f>
        <v>0</v>
      </c>
      <c r="G3" s="4">
        <f>'Raw Data'!F4*0.001648</f>
        <v>0</v>
      </c>
      <c r="H3" s="4">
        <f>'Raw Data'!G4*6*0.000128176</f>
        <v>0</v>
      </c>
      <c r="I3" s="4">
        <f>'Raw Data'!H4*0.000732435</f>
        <v>0</v>
      </c>
      <c r="J3" s="4">
        <f t="shared" ref="J3:J66" si="0">H3*I3</f>
        <v>0</v>
      </c>
      <c r="K3" s="36">
        <f>IF(('Raw Data'!I4-16384)/32768&lt;0,0,('Raw Data'!I4-16384)/32768)</f>
        <v>0</v>
      </c>
      <c r="L3" s="4">
        <f>IF(('Raw Data'!J4-12010)/45.6=-263.377192982456,0,('Raw Data'!J4-12010)/45.6)</f>
        <v>0</v>
      </c>
      <c r="M3" s="16">
        <f>'Raw Data'!N4*2^-8</f>
        <v>0</v>
      </c>
      <c r="N3" s="16">
        <f>'Raw Data'!O4*2^-8</f>
        <v>0</v>
      </c>
      <c r="O3" s="17" t="str">
        <f>IF(BITWISE_AND('Raw Data'!$K4, 8192),"X","")</f>
        <v/>
      </c>
      <c r="P3" s="17" t="str">
        <f>IF(BITWISE_AND('Raw Data'!$K4, 2048),"X","")</f>
        <v/>
      </c>
      <c r="Q3" s="17" t="str">
        <f>IF(BITWISE_AND('Raw Data'!$K4, 64),"X","")</f>
        <v/>
      </c>
      <c r="R3" s="18" t="str">
        <f>IF(BITWISE_AND('Raw Data'!$L4, 1024),"X","")</f>
        <v/>
      </c>
      <c r="S3" s="18" t="str">
        <f>IF(BITWISE_AND('Raw Data'!$L4, 512),"X","")</f>
        <v/>
      </c>
      <c r="T3" s="18" t="str">
        <f>IF(BITWISE_AND('Raw Data'!$L4, 256),"X","")</f>
        <v/>
      </c>
      <c r="U3" s="18" t="str">
        <f>IF(BITWISE_AND('Raw Data'!$L4, 64),"X","")</f>
        <v/>
      </c>
      <c r="V3" s="18" t="str">
        <f>IF(BITWISE_AND('Raw Data'!$L4, 2),"X","")</f>
        <v/>
      </c>
      <c r="W3" s="18" t="str">
        <f>IF(BITWISE_AND('Raw Data'!$L4, 1),"X","")</f>
        <v/>
      </c>
      <c r="X3" s="19" t="str">
        <f>IF(BITWISE_AND('Raw Data'!M4, 1),"Bat Voltage", IF(BITWISE_AND('Raw Data'!M4, 2), "Charge Current", IF(BITWISE_AND('Raw Data'!M4, 4),"Input Ilim", IF(BITWISE_AND('Raw Data'!M4, 8), "Input UV", "none"))))</f>
        <v>none</v>
      </c>
      <c r="Y3" s="20"/>
    </row>
    <row r="4" spans="1:25" x14ac:dyDescent="0.2">
      <c r="A4" s="15">
        <f>A3+TIME(0,0,'Raw Data'!B4)</f>
        <v>0</v>
      </c>
      <c r="B4" s="4">
        <f>'Raw Data'!C5*0.025</f>
        <v>0</v>
      </c>
      <c r="C4" s="4">
        <f t="shared" ref="C4:C20" si="1">C3+B4/60</f>
        <v>0</v>
      </c>
      <c r="D4" s="4">
        <f>'Raw Data'!D5*0.025</f>
        <v>0</v>
      </c>
      <c r="E4" s="4">
        <f t="shared" ref="E4:E20" si="2">E3+D4/60</f>
        <v>0</v>
      </c>
      <c r="F4" s="4">
        <f>'Raw Data'!E5*0.001648</f>
        <v>0</v>
      </c>
      <c r="G4" s="4">
        <f>'Raw Data'!F5*0.001648</f>
        <v>0</v>
      </c>
      <c r="H4" s="4">
        <f>'Raw Data'!G5*6*0.000128176</f>
        <v>0</v>
      </c>
      <c r="I4" s="4">
        <f>'Raw Data'!H5*0.000732435</f>
        <v>0</v>
      </c>
      <c r="J4" s="4">
        <f t="shared" si="0"/>
        <v>0</v>
      </c>
      <c r="K4" s="36">
        <f>IF(('Raw Data'!I5-16384)/32768&lt;0,0,('Raw Data'!I5-16384)/32768)</f>
        <v>0</v>
      </c>
      <c r="L4" s="4">
        <f>IF(('Raw Data'!J5-12010)/45.6=-263.377192982456,0,('Raw Data'!J5-12010)/45.6)</f>
        <v>0</v>
      </c>
      <c r="M4" s="16">
        <f>'Raw Data'!N5*2^-8</f>
        <v>0</v>
      </c>
      <c r="N4" s="16">
        <f>'Raw Data'!O5*2^-8</f>
        <v>0</v>
      </c>
      <c r="O4" s="17" t="str">
        <f>IF(BITWISE_AND('Raw Data'!$K5, 8192),"X","")</f>
        <v/>
      </c>
      <c r="P4" s="17" t="str">
        <f>IF(BITWISE_AND('Raw Data'!$K5, 2048),"X","")</f>
        <v/>
      </c>
      <c r="Q4" s="17" t="str">
        <f>IF(BITWISE_AND('Raw Data'!$K5, 64),"X","")</f>
        <v/>
      </c>
      <c r="R4" s="18" t="str">
        <f>IF(BITWISE_AND('Raw Data'!$L5, 1024),"X","")</f>
        <v/>
      </c>
      <c r="S4" s="18" t="str">
        <f>IF(BITWISE_AND('Raw Data'!$L5, 512),"X","")</f>
        <v/>
      </c>
      <c r="T4" s="18" t="str">
        <f>IF(BITWISE_AND('Raw Data'!$L5, 256),"X","")</f>
        <v/>
      </c>
      <c r="U4" s="18" t="str">
        <f>IF(BITWISE_AND('Raw Data'!$L5, 64),"X","")</f>
        <v/>
      </c>
      <c r="V4" s="18" t="str">
        <f>IF(BITWISE_AND('Raw Data'!$L5, 2),"X","")</f>
        <v/>
      </c>
      <c r="W4" s="18" t="str">
        <f>IF(BITWISE_AND('Raw Data'!$L5, 1),"X","")</f>
        <v/>
      </c>
      <c r="X4" s="19" t="str">
        <f>IF(BITWISE_AND('Raw Data'!M5, 1),"Bat Voltage", IF(BITWISE_AND('Raw Data'!M5, 2), "Charge Current", IF(BITWISE_AND('Raw Data'!M5, 4),"Input Ilim", IF(BITWISE_AND('Raw Data'!M5, 8), "Input UV", "none"))))</f>
        <v>none</v>
      </c>
      <c r="Y4" s="20"/>
    </row>
    <row r="5" spans="1:25" x14ac:dyDescent="0.2">
      <c r="A5" s="15">
        <f>A4+TIME(0,0,'Raw Data'!B5)</f>
        <v>0</v>
      </c>
      <c r="B5" s="4">
        <f>'Raw Data'!C6*0.025</f>
        <v>0</v>
      </c>
      <c r="C5" s="4">
        <f t="shared" si="1"/>
        <v>0</v>
      </c>
      <c r="D5" s="4">
        <f>'Raw Data'!D6*0.025</f>
        <v>0</v>
      </c>
      <c r="E5" s="4">
        <f t="shared" si="2"/>
        <v>0</v>
      </c>
      <c r="F5" s="4">
        <f>'Raw Data'!E6*0.001648</f>
        <v>0</v>
      </c>
      <c r="G5" s="4">
        <f>'Raw Data'!F6*0.001648</f>
        <v>0</v>
      </c>
      <c r="H5" s="4">
        <f>'Raw Data'!G6*6*0.000128176</f>
        <v>0</v>
      </c>
      <c r="I5" s="4">
        <f>'Raw Data'!H6*0.000732435</f>
        <v>0</v>
      </c>
      <c r="J5" s="4">
        <f t="shared" si="0"/>
        <v>0</v>
      </c>
      <c r="K5" s="36">
        <f>IF(('Raw Data'!I6-16384)/32768&lt;0,0,('Raw Data'!I6-16384)/32768)</f>
        <v>0</v>
      </c>
      <c r="L5" s="4">
        <f>IF(('Raw Data'!J6-12010)/45.6=-263.377192982456,0,('Raw Data'!J6-12010)/45.6)</f>
        <v>0</v>
      </c>
      <c r="M5" s="16">
        <f>'Raw Data'!N6*2^-8</f>
        <v>0</v>
      </c>
      <c r="N5" s="16">
        <f>'Raw Data'!O6*2^-8</f>
        <v>0</v>
      </c>
      <c r="O5" s="17" t="str">
        <f>IF(BITWISE_AND('Raw Data'!$K6, 8192),"X","")</f>
        <v/>
      </c>
      <c r="P5" s="17" t="str">
        <f>IF(BITWISE_AND('Raw Data'!$K6, 2048),"X","")</f>
        <v/>
      </c>
      <c r="Q5" s="17" t="str">
        <f>IF(BITWISE_AND('Raw Data'!$K6, 64),"X","")</f>
        <v/>
      </c>
      <c r="R5" s="18" t="str">
        <f>IF(BITWISE_AND('Raw Data'!$L6, 1024),"X","")</f>
        <v/>
      </c>
      <c r="S5" s="18" t="str">
        <f>IF(BITWISE_AND('Raw Data'!$L6, 512),"X","")</f>
        <v/>
      </c>
      <c r="T5" s="18" t="str">
        <f>IF(BITWISE_AND('Raw Data'!$L6, 256),"X","")</f>
        <v/>
      </c>
      <c r="U5" s="18" t="str">
        <f>IF(BITWISE_AND('Raw Data'!$L6, 64),"X","")</f>
        <v/>
      </c>
      <c r="V5" s="18" t="str">
        <f>IF(BITWISE_AND('Raw Data'!$L6, 2),"X","")</f>
        <v/>
      </c>
      <c r="W5" s="18" t="str">
        <f>IF(BITWISE_AND('Raw Data'!$L6, 1),"X","")</f>
        <v/>
      </c>
      <c r="X5" s="19" t="str">
        <f>IF(BITWISE_AND('Raw Data'!M6, 1),"Bat Voltage", IF(BITWISE_AND('Raw Data'!M6, 2), "Charge Current", IF(BITWISE_AND('Raw Data'!M6, 4),"Input Ilim", IF(BITWISE_AND('Raw Data'!M6, 8), "Input UV", "none"))))</f>
        <v>none</v>
      </c>
      <c r="Y5" s="20"/>
    </row>
    <row r="6" spans="1:25" x14ac:dyDescent="0.2">
      <c r="A6" s="15">
        <f>A5+TIME(0,0,'Raw Data'!B6)</f>
        <v>0</v>
      </c>
      <c r="B6" s="4">
        <f>'Raw Data'!C7*0.025</f>
        <v>0</v>
      </c>
      <c r="C6" s="4">
        <f t="shared" si="1"/>
        <v>0</v>
      </c>
      <c r="D6" s="4">
        <f>'Raw Data'!D7*0.025</f>
        <v>0</v>
      </c>
      <c r="E6" s="4">
        <f t="shared" si="2"/>
        <v>0</v>
      </c>
      <c r="F6" s="4">
        <f>'Raw Data'!E7*0.001648</f>
        <v>0</v>
      </c>
      <c r="G6" s="4">
        <f>'Raw Data'!F7*0.001648</f>
        <v>0</v>
      </c>
      <c r="H6" s="4">
        <f>'Raw Data'!G7*6*0.000128176</f>
        <v>0</v>
      </c>
      <c r="I6" s="4">
        <f>'Raw Data'!H7*0.000732435</f>
        <v>0</v>
      </c>
      <c r="J6" s="4">
        <f t="shared" si="0"/>
        <v>0</v>
      </c>
      <c r="K6" s="36">
        <f>IF(('Raw Data'!I7-16384)/32768&lt;0,0,('Raw Data'!I7-16384)/32768)</f>
        <v>0</v>
      </c>
      <c r="L6" s="4">
        <f>IF(('Raw Data'!J7-12010)/45.6=-263.377192982456,0,('Raw Data'!J7-12010)/45.6)</f>
        <v>0</v>
      </c>
      <c r="M6" s="16">
        <f>'Raw Data'!N7*2^-8</f>
        <v>0</v>
      </c>
      <c r="N6" s="16">
        <f>'Raw Data'!O7*2^-8</f>
        <v>0</v>
      </c>
      <c r="O6" s="17" t="str">
        <f>IF(BITWISE_AND('Raw Data'!$K7, 8192),"X","")</f>
        <v/>
      </c>
      <c r="P6" s="17" t="str">
        <f>IF(BITWISE_AND('Raw Data'!$K7, 2048),"X","")</f>
        <v/>
      </c>
      <c r="Q6" s="17" t="str">
        <f>IF(BITWISE_AND('Raw Data'!$K7, 64),"X","")</f>
        <v/>
      </c>
      <c r="R6" s="18" t="str">
        <f>IF(BITWISE_AND('Raw Data'!$L7, 1024),"X","")</f>
        <v/>
      </c>
      <c r="S6" s="18" t="str">
        <f>IF(BITWISE_AND('Raw Data'!$L7, 512),"X","")</f>
        <v/>
      </c>
      <c r="T6" s="18" t="str">
        <f>IF(BITWISE_AND('Raw Data'!$L7, 256),"X","")</f>
        <v/>
      </c>
      <c r="U6" s="18" t="str">
        <f>IF(BITWISE_AND('Raw Data'!$L7, 64),"X","")</f>
        <v/>
      </c>
      <c r="V6" s="18" t="str">
        <f>IF(BITWISE_AND('Raw Data'!$L7, 2),"X","")</f>
        <v/>
      </c>
      <c r="W6" s="18" t="str">
        <f>IF(BITWISE_AND('Raw Data'!$L7, 1),"X","")</f>
        <v/>
      </c>
      <c r="X6" s="19" t="str">
        <f>IF(BITWISE_AND('Raw Data'!M7, 1),"Bat Voltage", IF(BITWISE_AND('Raw Data'!M7, 2), "Charge Current", IF(BITWISE_AND('Raw Data'!M7, 4),"Input Ilim", IF(BITWISE_AND('Raw Data'!M7, 8), "Input UV", "none"))))</f>
        <v>none</v>
      </c>
      <c r="Y6" s="20"/>
    </row>
    <row r="7" spans="1:25" x14ac:dyDescent="0.2">
      <c r="A7" s="15">
        <f>A6+TIME(0,0,'Raw Data'!B7)</f>
        <v>0</v>
      </c>
      <c r="B7" s="4">
        <f>'Raw Data'!C8*0.025</f>
        <v>0</v>
      </c>
      <c r="C7" s="4">
        <f t="shared" si="1"/>
        <v>0</v>
      </c>
      <c r="D7" s="4">
        <f>'Raw Data'!D8*0.025</f>
        <v>0</v>
      </c>
      <c r="E7" s="4">
        <f t="shared" si="2"/>
        <v>0</v>
      </c>
      <c r="F7" s="4">
        <f>'Raw Data'!E8*0.001648</f>
        <v>0</v>
      </c>
      <c r="G7" s="4">
        <f>'Raw Data'!F8*0.001648</f>
        <v>0</v>
      </c>
      <c r="H7" s="4">
        <f>'Raw Data'!G8*6*0.000128176</f>
        <v>0</v>
      </c>
      <c r="I7" s="4">
        <f>'Raw Data'!H8*0.000732435</f>
        <v>0</v>
      </c>
      <c r="J7" s="4">
        <f t="shared" si="0"/>
        <v>0</v>
      </c>
      <c r="K7" s="36">
        <f>IF(('Raw Data'!I8-16384)/32768&lt;0,0,('Raw Data'!I8-16384)/32768)</f>
        <v>0</v>
      </c>
      <c r="L7" s="4">
        <f>IF(('Raw Data'!J8-12010)/45.6=-263.377192982456,0,('Raw Data'!J8-12010)/45.6)</f>
        <v>0</v>
      </c>
      <c r="M7" s="16">
        <f>'Raw Data'!N8*2^-8</f>
        <v>0</v>
      </c>
      <c r="N7" s="16">
        <f>'Raw Data'!O8*2^-8</f>
        <v>0</v>
      </c>
      <c r="O7" s="17" t="str">
        <f>IF(BITWISE_AND('Raw Data'!$K8, 8192),"X","")</f>
        <v/>
      </c>
      <c r="P7" s="17" t="str">
        <f>IF(BITWISE_AND('Raw Data'!$K8, 2048),"X","")</f>
        <v/>
      </c>
      <c r="Q7" s="17" t="str">
        <f>IF(BITWISE_AND('Raw Data'!$K8, 64),"X","")</f>
        <v/>
      </c>
      <c r="R7" s="18" t="str">
        <f>IF(BITWISE_AND('Raw Data'!$L8, 1024),"X","")</f>
        <v/>
      </c>
      <c r="S7" s="18" t="str">
        <f>IF(BITWISE_AND('Raw Data'!$L8, 512),"X","")</f>
        <v/>
      </c>
      <c r="T7" s="18" t="str">
        <f>IF(BITWISE_AND('Raw Data'!$L8, 256),"X","")</f>
        <v/>
      </c>
      <c r="U7" s="18" t="str">
        <f>IF(BITWISE_AND('Raw Data'!$L8, 64),"X","")</f>
        <v/>
      </c>
      <c r="V7" s="18" t="str">
        <f>IF(BITWISE_AND('Raw Data'!$L8, 2),"X","")</f>
        <v/>
      </c>
      <c r="W7" s="18" t="str">
        <f>IF(BITWISE_AND('Raw Data'!$L8, 1),"X","")</f>
        <v/>
      </c>
      <c r="X7" s="19" t="str">
        <f>IF(BITWISE_AND('Raw Data'!M8, 1),"Bat Voltage", IF(BITWISE_AND('Raw Data'!M8, 2), "Charge Current", IF(BITWISE_AND('Raw Data'!M8, 4),"Input Ilim", IF(BITWISE_AND('Raw Data'!M8, 8), "Input UV", "none"))))</f>
        <v>none</v>
      </c>
      <c r="Y7" s="20"/>
    </row>
    <row r="8" spans="1:25" x14ac:dyDescent="0.2">
      <c r="A8" s="15">
        <f>A7+TIME(0,0,'Raw Data'!B8)</f>
        <v>0</v>
      </c>
      <c r="B8" s="4">
        <f>'Raw Data'!C9*0.025</f>
        <v>0</v>
      </c>
      <c r="C8" s="4">
        <f t="shared" si="1"/>
        <v>0</v>
      </c>
      <c r="D8" s="4">
        <f>'Raw Data'!D9*0.025</f>
        <v>0</v>
      </c>
      <c r="E8" s="4">
        <f t="shared" si="2"/>
        <v>0</v>
      </c>
      <c r="F8" s="4">
        <f>'Raw Data'!E9*0.001648</f>
        <v>0</v>
      </c>
      <c r="G8" s="4">
        <f>'Raw Data'!F9*0.001648</f>
        <v>0</v>
      </c>
      <c r="H8" s="4">
        <f>'Raw Data'!G9*6*0.000128176</f>
        <v>0</v>
      </c>
      <c r="I8" s="4">
        <f>'Raw Data'!H9*0.000732435</f>
        <v>0</v>
      </c>
      <c r="J8" s="4">
        <f t="shared" si="0"/>
        <v>0</v>
      </c>
      <c r="K8" s="36">
        <f>IF(('Raw Data'!I9-16384)/32768&lt;0,0,('Raw Data'!I9-16384)/32768)</f>
        <v>0</v>
      </c>
      <c r="L8" s="4">
        <f>IF(('Raw Data'!J9-12010)/45.6=-263.377192982456,0,('Raw Data'!J9-12010)/45.6)</f>
        <v>0</v>
      </c>
      <c r="M8" s="16">
        <f>'Raw Data'!N9*2^-8</f>
        <v>0</v>
      </c>
      <c r="N8" s="16">
        <f>'Raw Data'!O9*2^-8</f>
        <v>0</v>
      </c>
      <c r="O8" s="17" t="str">
        <f>IF(BITWISE_AND('Raw Data'!$K9, 8192),"X","")</f>
        <v/>
      </c>
      <c r="P8" s="17" t="str">
        <f>IF(BITWISE_AND('Raw Data'!$K9, 2048),"X","")</f>
        <v/>
      </c>
      <c r="Q8" s="17" t="str">
        <f>IF(BITWISE_AND('Raw Data'!$K9, 64),"X","")</f>
        <v/>
      </c>
      <c r="R8" s="18" t="str">
        <f>IF(BITWISE_AND('Raw Data'!$L9, 1024),"X","")</f>
        <v/>
      </c>
      <c r="S8" s="18" t="str">
        <f>IF(BITWISE_AND('Raw Data'!$L9, 512),"X","")</f>
        <v/>
      </c>
      <c r="T8" s="18" t="str">
        <f>IF(BITWISE_AND('Raw Data'!$L9, 256),"X","")</f>
        <v/>
      </c>
      <c r="U8" s="18" t="str">
        <f>IF(BITWISE_AND('Raw Data'!$L9, 64),"X","")</f>
        <v/>
      </c>
      <c r="V8" s="18" t="str">
        <f>IF(BITWISE_AND('Raw Data'!$L9, 2),"X","")</f>
        <v/>
      </c>
      <c r="W8" s="18" t="str">
        <f>IF(BITWISE_AND('Raw Data'!$L9, 1),"X","")</f>
        <v/>
      </c>
      <c r="X8" s="19" t="str">
        <f>IF(BITWISE_AND('Raw Data'!M9, 1),"Bat Voltage", IF(BITWISE_AND('Raw Data'!M9, 2), "Charge Current", IF(BITWISE_AND('Raw Data'!M9, 4),"Input Ilim", IF(BITWISE_AND('Raw Data'!M9, 8), "Input UV", "none"))))</f>
        <v>none</v>
      </c>
      <c r="Y8" s="20"/>
    </row>
    <row r="9" spans="1:25" x14ac:dyDescent="0.2">
      <c r="A9" s="15">
        <f>A8+TIME(0,0,'Raw Data'!B9)</f>
        <v>0</v>
      </c>
      <c r="B9" s="4">
        <f>'Raw Data'!C10*0.025</f>
        <v>0</v>
      </c>
      <c r="C9" s="4">
        <f t="shared" si="1"/>
        <v>0</v>
      </c>
      <c r="D9" s="4">
        <f>'Raw Data'!D10*0.025</f>
        <v>0</v>
      </c>
      <c r="E9" s="4">
        <f t="shared" si="2"/>
        <v>0</v>
      </c>
      <c r="F9" s="4">
        <f>'Raw Data'!E10*0.001648</f>
        <v>0</v>
      </c>
      <c r="G9" s="4">
        <f>'Raw Data'!F10*0.001648</f>
        <v>0</v>
      </c>
      <c r="H9" s="4">
        <f>'Raw Data'!G10*6*0.000128176</f>
        <v>0</v>
      </c>
      <c r="I9" s="4">
        <f>'Raw Data'!H10*0.000732435</f>
        <v>0</v>
      </c>
      <c r="J9" s="4">
        <f t="shared" si="0"/>
        <v>0</v>
      </c>
      <c r="K9" s="36">
        <f>IF(('Raw Data'!I10-16384)/32768&lt;0,0,('Raw Data'!I10-16384)/32768)</f>
        <v>0</v>
      </c>
      <c r="L9" s="4">
        <f>IF(('Raw Data'!J10-12010)/45.6=-263.377192982456,0,('Raw Data'!J10-12010)/45.6)</f>
        <v>0</v>
      </c>
      <c r="M9" s="16">
        <f>'Raw Data'!N10*2^-8</f>
        <v>0</v>
      </c>
      <c r="N9" s="16">
        <f>'Raw Data'!O10*2^-8</f>
        <v>0</v>
      </c>
      <c r="O9" s="17" t="str">
        <f>IF(BITWISE_AND('Raw Data'!$K10, 8192),"X","")</f>
        <v/>
      </c>
      <c r="P9" s="17" t="str">
        <f>IF(BITWISE_AND('Raw Data'!$K10, 2048),"X","")</f>
        <v/>
      </c>
      <c r="Q9" s="17" t="str">
        <f>IF(BITWISE_AND('Raw Data'!$K10, 64),"X","")</f>
        <v/>
      </c>
      <c r="R9" s="18" t="str">
        <f>IF(BITWISE_AND('Raw Data'!$L10, 1024),"X","")</f>
        <v/>
      </c>
      <c r="S9" s="18" t="str">
        <f>IF(BITWISE_AND('Raw Data'!$L10, 512),"X","")</f>
        <v/>
      </c>
      <c r="T9" s="18" t="str">
        <f>IF(BITWISE_AND('Raw Data'!$L10, 256),"X","")</f>
        <v/>
      </c>
      <c r="U9" s="18" t="str">
        <f>IF(BITWISE_AND('Raw Data'!$L10, 64),"X","")</f>
        <v/>
      </c>
      <c r="V9" s="18" t="str">
        <f>IF(BITWISE_AND('Raw Data'!$L10, 2),"X","")</f>
        <v/>
      </c>
      <c r="W9" s="18" t="str">
        <f>IF(BITWISE_AND('Raw Data'!$L10, 1),"X","")</f>
        <v/>
      </c>
      <c r="X9" s="19" t="str">
        <f>IF(BITWISE_AND('Raw Data'!M10, 1),"Bat Voltage", IF(BITWISE_AND('Raw Data'!M10, 2), "Charge Current", IF(BITWISE_AND('Raw Data'!M10, 4),"Input Ilim", IF(BITWISE_AND('Raw Data'!M10, 8), "Input UV", "none"))))</f>
        <v>none</v>
      </c>
      <c r="Y9" s="20"/>
    </row>
    <row r="10" spans="1:25" x14ac:dyDescent="0.2">
      <c r="A10" s="15">
        <f>A9+TIME(0,0,'Raw Data'!B10)</f>
        <v>0</v>
      </c>
      <c r="B10" s="4">
        <f>'Raw Data'!C11*0.025</f>
        <v>0</v>
      </c>
      <c r="C10" s="4">
        <f t="shared" si="1"/>
        <v>0</v>
      </c>
      <c r="D10" s="4">
        <f>'Raw Data'!D11*0.025</f>
        <v>0</v>
      </c>
      <c r="E10" s="4">
        <f t="shared" si="2"/>
        <v>0</v>
      </c>
      <c r="F10" s="4">
        <f>'Raw Data'!E11*0.001648</f>
        <v>0</v>
      </c>
      <c r="G10" s="4">
        <f>'Raw Data'!F11*0.001648</f>
        <v>0</v>
      </c>
      <c r="H10" s="4">
        <f>'Raw Data'!G11*6*0.000128176</f>
        <v>0</v>
      </c>
      <c r="I10" s="4">
        <f>'Raw Data'!H11*0.000732435</f>
        <v>0</v>
      </c>
      <c r="J10" s="4">
        <f t="shared" si="0"/>
        <v>0</v>
      </c>
      <c r="K10" s="36">
        <f>IF(('Raw Data'!I11-16384)/32768&lt;0,0,('Raw Data'!I11-16384)/32768)</f>
        <v>0</v>
      </c>
      <c r="L10" s="4">
        <f>IF(('Raw Data'!J11-12010)/45.6=-263.377192982456,0,('Raw Data'!J11-12010)/45.6)</f>
        <v>0</v>
      </c>
      <c r="M10" s="16">
        <f>'Raw Data'!N11*2^-8</f>
        <v>0</v>
      </c>
      <c r="N10" s="16">
        <f>'Raw Data'!O11*2^-8</f>
        <v>0</v>
      </c>
      <c r="O10" s="17" t="str">
        <f>IF(BITWISE_AND('Raw Data'!$K11, 8192),"X","")</f>
        <v/>
      </c>
      <c r="P10" s="17" t="str">
        <f>IF(BITWISE_AND('Raw Data'!$K11, 2048),"X","")</f>
        <v/>
      </c>
      <c r="Q10" s="17" t="str">
        <f>IF(BITWISE_AND('Raw Data'!$K11, 64),"X","")</f>
        <v/>
      </c>
      <c r="R10" s="18" t="str">
        <f>IF(BITWISE_AND('Raw Data'!$L11, 1024),"X","")</f>
        <v/>
      </c>
      <c r="S10" s="18" t="str">
        <f>IF(BITWISE_AND('Raw Data'!$L11, 512),"X","")</f>
        <v/>
      </c>
      <c r="T10" s="18" t="str">
        <f>IF(BITWISE_AND('Raw Data'!$L11, 256),"X","")</f>
        <v/>
      </c>
      <c r="U10" s="18" t="str">
        <f>IF(BITWISE_AND('Raw Data'!$L11, 64),"X","")</f>
        <v/>
      </c>
      <c r="V10" s="18" t="str">
        <f>IF(BITWISE_AND('Raw Data'!$L11, 2),"X","")</f>
        <v/>
      </c>
      <c r="W10" s="18" t="str">
        <f>IF(BITWISE_AND('Raw Data'!$L11, 1),"X","")</f>
        <v/>
      </c>
      <c r="X10" s="19" t="str">
        <f>IF(BITWISE_AND('Raw Data'!M11, 1),"Bat Voltage", IF(BITWISE_AND('Raw Data'!M11, 2), "Charge Current", IF(BITWISE_AND('Raw Data'!M11, 4),"Input Ilim", IF(BITWISE_AND('Raw Data'!M11, 8), "Input UV", "none"))))</f>
        <v>none</v>
      </c>
      <c r="Y10" s="20"/>
    </row>
    <row r="11" spans="1:25" x14ac:dyDescent="0.2">
      <c r="A11" s="15">
        <f>A10+TIME(0,0,'Raw Data'!B11)</f>
        <v>0</v>
      </c>
      <c r="B11" s="4">
        <f>'Raw Data'!C12*0.025</f>
        <v>0</v>
      </c>
      <c r="C11" s="4">
        <f t="shared" si="1"/>
        <v>0</v>
      </c>
      <c r="D11" s="4">
        <f>'Raw Data'!D12*0.025</f>
        <v>0</v>
      </c>
      <c r="E11" s="4">
        <f t="shared" si="2"/>
        <v>0</v>
      </c>
      <c r="F11" s="4">
        <f>'Raw Data'!E12*0.001648</f>
        <v>0</v>
      </c>
      <c r="G11" s="4">
        <f>'Raw Data'!F12*0.001648</f>
        <v>0</v>
      </c>
      <c r="H11" s="4">
        <f>'Raw Data'!G12*6*0.000128176</f>
        <v>0</v>
      </c>
      <c r="I11" s="4">
        <f>'Raw Data'!H12*0.000732435</f>
        <v>0</v>
      </c>
      <c r="J11" s="4">
        <f t="shared" si="0"/>
        <v>0</v>
      </c>
      <c r="K11" s="36">
        <f>IF(('Raw Data'!I12-16384)/32768&lt;0,0,('Raw Data'!I12-16384)/32768)</f>
        <v>0</v>
      </c>
      <c r="L11" s="4">
        <f>IF(('Raw Data'!J12-12010)/45.6=-263.377192982456,0,('Raw Data'!J12-12010)/45.6)</f>
        <v>0</v>
      </c>
      <c r="M11" s="16">
        <f>'Raw Data'!N12*2^-8</f>
        <v>0</v>
      </c>
      <c r="N11" s="16">
        <f>'Raw Data'!O12*2^-8</f>
        <v>0</v>
      </c>
      <c r="O11" s="17" t="str">
        <f>IF(BITWISE_AND('Raw Data'!$K12, 8192),"X","")</f>
        <v/>
      </c>
      <c r="P11" s="17" t="str">
        <f>IF(BITWISE_AND('Raw Data'!$K12, 2048),"X","")</f>
        <v/>
      </c>
      <c r="Q11" s="17" t="str">
        <f>IF(BITWISE_AND('Raw Data'!$K12, 64),"X","")</f>
        <v/>
      </c>
      <c r="R11" s="18" t="str">
        <f>IF(BITWISE_AND('Raw Data'!$L12, 1024),"X","")</f>
        <v/>
      </c>
      <c r="S11" s="18" t="str">
        <f>IF(BITWISE_AND('Raw Data'!$L12, 512),"X","")</f>
        <v/>
      </c>
      <c r="T11" s="18" t="str">
        <f>IF(BITWISE_AND('Raw Data'!$L12, 256),"X","")</f>
        <v/>
      </c>
      <c r="U11" s="18" t="str">
        <f>IF(BITWISE_AND('Raw Data'!$L12, 64),"X","")</f>
        <v/>
      </c>
      <c r="V11" s="18" t="str">
        <f>IF(BITWISE_AND('Raw Data'!$L12, 2),"X","")</f>
        <v/>
      </c>
      <c r="W11" s="18" t="str">
        <f>IF(BITWISE_AND('Raw Data'!$L12, 1),"X","")</f>
        <v/>
      </c>
      <c r="X11" s="19" t="str">
        <f>IF(BITWISE_AND('Raw Data'!M12, 1),"Bat Voltage", IF(BITWISE_AND('Raw Data'!M12, 2), "Charge Current", IF(BITWISE_AND('Raw Data'!M12, 4),"Input Ilim", IF(BITWISE_AND('Raw Data'!M12, 8), "Input UV", "none"))))</f>
        <v>none</v>
      </c>
      <c r="Y11" s="20"/>
    </row>
    <row r="12" spans="1:25" x14ac:dyDescent="0.2">
      <c r="A12" s="15">
        <f>A11+TIME(0,0,'Raw Data'!B12)</f>
        <v>0</v>
      </c>
      <c r="B12" s="4">
        <f>'Raw Data'!C13*0.025</f>
        <v>0</v>
      </c>
      <c r="C12" s="4">
        <f t="shared" si="1"/>
        <v>0</v>
      </c>
      <c r="D12" s="4">
        <f>'Raw Data'!D13*0.025</f>
        <v>0</v>
      </c>
      <c r="E12" s="4">
        <f t="shared" si="2"/>
        <v>0</v>
      </c>
      <c r="F12" s="4">
        <f>'Raw Data'!E13*0.001648</f>
        <v>0</v>
      </c>
      <c r="G12" s="4">
        <f>'Raw Data'!F13*0.001648</f>
        <v>0</v>
      </c>
      <c r="H12" s="4">
        <f>'Raw Data'!G13*6*0.000128176</f>
        <v>0</v>
      </c>
      <c r="I12" s="4">
        <f>'Raw Data'!H13*0.000732435</f>
        <v>0</v>
      </c>
      <c r="J12" s="4">
        <f t="shared" si="0"/>
        <v>0</v>
      </c>
      <c r="K12" s="36">
        <f>IF(('Raw Data'!I13-16384)/32768&lt;0,0,('Raw Data'!I13-16384)/32768)</f>
        <v>0</v>
      </c>
      <c r="L12" s="4">
        <f>IF(('Raw Data'!J13-12010)/45.6=-263.377192982456,0,('Raw Data'!J13-12010)/45.6)</f>
        <v>0</v>
      </c>
      <c r="M12" s="16">
        <f>'Raw Data'!N13*2^-8</f>
        <v>0</v>
      </c>
      <c r="N12" s="16">
        <f>'Raw Data'!O13*2^-8</f>
        <v>0</v>
      </c>
      <c r="O12" s="17" t="str">
        <f>IF(BITWISE_AND('Raw Data'!$K13, 8192),"X","")</f>
        <v/>
      </c>
      <c r="P12" s="17" t="str">
        <f>IF(BITWISE_AND('Raw Data'!$K13, 2048),"X","")</f>
        <v/>
      </c>
      <c r="Q12" s="17" t="str">
        <f>IF(BITWISE_AND('Raw Data'!$K13, 64),"X","")</f>
        <v/>
      </c>
      <c r="R12" s="18" t="str">
        <f>IF(BITWISE_AND('Raw Data'!$L13, 1024),"X","")</f>
        <v/>
      </c>
      <c r="S12" s="18" t="str">
        <f>IF(BITWISE_AND('Raw Data'!$L13, 512),"X","")</f>
        <v/>
      </c>
      <c r="T12" s="18" t="str">
        <f>IF(BITWISE_AND('Raw Data'!$L13, 256),"X","")</f>
        <v/>
      </c>
      <c r="U12" s="18" t="str">
        <f>IF(BITWISE_AND('Raw Data'!$L13, 64),"X","")</f>
        <v/>
      </c>
      <c r="V12" s="18" t="str">
        <f>IF(BITWISE_AND('Raw Data'!$L13, 2),"X","")</f>
        <v/>
      </c>
      <c r="W12" s="18" t="str">
        <f>IF(BITWISE_AND('Raw Data'!$L13, 1),"X","")</f>
        <v/>
      </c>
      <c r="X12" s="19" t="str">
        <f>IF(BITWISE_AND('Raw Data'!M13, 1),"Bat Voltage", IF(BITWISE_AND('Raw Data'!M13, 2), "Charge Current", IF(BITWISE_AND('Raw Data'!M13, 4),"Input Ilim", IF(BITWISE_AND('Raw Data'!M13, 8), "Input UV", "none"))))</f>
        <v>none</v>
      </c>
      <c r="Y12" s="20"/>
    </row>
    <row r="13" spans="1:25" x14ac:dyDescent="0.2">
      <c r="A13" s="15">
        <f>A12+TIME(0,0,'Raw Data'!B13)</f>
        <v>0</v>
      </c>
      <c r="B13" s="4">
        <f>'Raw Data'!C14*0.025</f>
        <v>0</v>
      </c>
      <c r="C13" s="4">
        <f t="shared" si="1"/>
        <v>0</v>
      </c>
      <c r="D13" s="4">
        <f>'Raw Data'!D14*0.025</f>
        <v>0</v>
      </c>
      <c r="E13" s="4">
        <f t="shared" si="2"/>
        <v>0</v>
      </c>
      <c r="F13" s="4">
        <f>'Raw Data'!E14*0.001648</f>
        <v>0</v>
      </c>
      <c r="G13" s="4">
        <f>'Raw Data'!F14*0.001648</f>
        <v>0</v>
      </c>
      <c r="H13" s="4">
        <f>'Raw Data'!G14*6*0.000128176</f>
        <v>0</v>
      </c>
      <c r="I13" s="4">
        <f>'Raw Data'!H14*0.000732435</f>
        <v>0</v>
      </c>
      <c r="J13" s="4">
        <f t="shared" si="0"/>
        <v>0</v>
      </c>
      <c r="K13" s="36">
        <f>IF(('Raw Data'!I14-16384)/32768&lt;0,0,('Raw Data'!I14-16384)/32768)</f>
        <v>0</v>
      </c>
      <c r="L13" s="4">
        <f>IF(('Raw Data'!J14-12010)/45.6=-263.377192982456,0,('Raw Data'!J14-12010)/45.6)</f>
        <v>0</v>
      </c>
      <c r="M13" s="16">
        <f>'Raw Data'!N14*2^-8</f>
        <v>0</v>
      </c>
      <c r="N13" s="16">
        <f>'Raw Data'!O14*2^-8</f>
        <v>0</v>
      </c>
      <c r="O13" s="17" t="str">
        <f>IF(BITWISE_AND('Raw Data'!$K14, 8192),"X","")</f>
        <v/>
      </c>
      <c r="P13" s="17" t="str">
        <f>IF(BITWISE_AND('Raw Data'!$K14, 2048),"X","")</f>
        <v/>
      </c>
      <c r="Q13" s="17" t="str">
        <f>IF(BITWISE_AND('Raw Data'!$K14, 64),"X","")</f>
        <v/>
      </c>
      <c r="R13" s="18" t="str">
        <f>IF(BITWISE_AND('Raw Data'!$L14, 1024),"X","")</f>
        <v/>
      </c>
      <c r="S13" s="18" t="str">
        <f>IF(BITWISE_AND('Raw Data'!$L14, 512),"X","")</f>
        <v/>
      </c>
      <c r="T13" s="18" t="str">
        <f>IF(BITWISE_AND('Raw Data'!$L14, 256),"X","")</f>
        <v/>
      </c>
      <c r="U13" s="18" t="str">
        <f>IF(BITWISE_AND('Raw Data'!$L14, 64),"X","")</f>
        <v/>
      </c>
      <c r="V13" s="18" t="str">
        <f>IF(BITWISE_AND('Raw Data'!$L14, 2),"X","")</f>
        <v/>
      </c>
      <c r="W13" s="18" t="str">
        <f>IF(BITWISE_AND('Raw Data'!$L14, 1),"X","")</f>
        <v/>
      </c>
      <c r="X13" s="19" t="str">
        <f>IF(BITWISE_AND('Raw Data'!M14, 1),"Bat Voltage", IF(BITWISE_AND('Raw Data'!M14, 2), "Charge Current", IF(BITWISE_AND('Raw Data'!M14, 4),"Input Ilim", IF(BITWISE_AND('Raw Data'!M14, 8), "Input UV", "none"))))</f>
        <v>none</v>
      </c>
      <c r="Y13" s="20"/>
    </row>
    <row r="14" spans="1:25" x14ac:dyDescent="0.2">
      <c r="A14" s="15">
        <f>A13+TIME(0,0,'Raw Data'!B14)</f>
        <v>0</v>
      </c>
      <c r="B14" s="4">
        <f>'Raw Data'!C15*0.025</f>
        <v>0</v>
      </c>
      <c r="C14" s="4">
        <f t="shared" si="1"/>
        <v>0</v>
      </c>
      <c r="D14" s="4">
        <f>'Raw Data'!D15*0.025</f>
        <v>0</v>
      </c>
      <c r="E14" s="4">
        <f t="shared" si="2"/>
        <v>0</v>
      </c>
      <c r="F14" s="4">
        <f>'Raw Data'!E15*0.001648</f>
        <v>0</v>
      </c>
      <c r="G14" s="4">
        <f>'Raw Data'!F15*0.001648</f>
        <v>0</v>
      </c>
      <c r="H14" s="4">
        <f>'Raw Data'!G15*6*0.000128176</f>
        <v>0</v>
      </c>
      <c r="I14" s="4">
        <f>'Raw Data'!H15*0.000732435</f>
        <v>0</v>
      </c>
      <c r="J14" s="4">
        <f t="shared" si="0"/>
        <v>0</v>
      </c>
      <c r="K14" s="36">
        <f>IF(('Raw Data'!I15-16384)/32768&lt;0,0,('Raw Data'!I15-16384)/32768)</f>
        <v>0</v>
      </c>
      <c r="L14" s="4">
        <f>IF(('Raw Data'!J15-12010)/45.6=-263.377192982456,0,('Raw Data'!J15-12010)/45.6)</f>
        <v>0</v>
      </c>
      <c r="M14" s="16">
        <f>'Raw Data'!N15*2^-8</f>
        <v>0</v>
      </c>
      <c r="N14" s="16">
        <f>'Raw Data'!O15*2^-8</f>
        <v>0</v>
      </c>
      <c r="O14" s="17" t="str">
        <f>IF(BITWISE_AND('Raw Data'!$K15, 8192),"X","")</f>
        <v/>
      </c>
      <c r="P14" s="17" t="str">
        <f>IF(BITWISE_AND('Raw Data'!$K15, 2048),"X","")</f>
        <v/>
      </c>
      <c r="Q14" s="17" t="str">
        <f>IF(BITWISE_AND('Raw Data'!$K15, 64),"X","")</f>
        <v/>
      </c>
      <c r="R14" s="18" t="str">
        <f>IF(BITWISE_AND('Raw Data'!$L15, 1024),"X","")</f>
        <v/>
      </c>
      <c r="S14" s="18" t="str">
        <f>IF(BITWISE_AND('Raw Data'!$L15, 512),"X","")</f>
        <v/>
      </c>
      <c r="T14" s="18" t="str">
        <f>IF(BITWISE_AND('Raw Data'!$L15, 256),"X","")</f>
        <v/>
      </c>
      <c r="U14" s="18" t="str">
        <f>IF(BITWISE_AND('Raw Data'!$L15, 64),"X","")</f>
        <v/>
      </c>
      <c r="V14" s="18" t="str">
        <f>IF(BITWISE_AND('Raw Data'!$L15, 2),"X","")</f>
        <v/>
      </c>
      <c r="W14" s="18" t="str">
        <f>IF(BITWISE_AND('Raw Data'!$L15, 1),"X","")</f>
        <v/>
      </c>
      <c r="X14" s="19" t="str">
        <f>IF(BITWISE_AND('Raw Data'!M15, 1),"Bat Voltage", IF(BITWISE_AND('Raw Data'!M15, 2), "Charge Current", IF(BITWISE_AND('Raw Data'!M15, 4),"Input Ilim", IF(BITWISE_AND('Raw Data'!M15, 8), "Input UV", "none"))))</f>
        <v>none</v>
      </c>
      <c r="Y14" s="20"/>
    </row>
    <row r="15" spans="1:25" x14ac:dyDescent="0.2">
      <c r="A15" s="15">
        <f>A14+TIME(0,0,'Raw Data'!B15)</f>
        <v>0</v>
      </c>
      <c r="B15" s="4">
        <f>'Raw Data'!C16*0.025</f>
        <v>0</v>
      </c>
      <c r="C15" s="4">
        <f t="shared" si="1"/>
        <v>0</v>
      </c>
      <c r="D15" s="4">
        <f>'Raw Data'!D16*0.025</f>
        <v>0</v>
      </c>
      <c r="E15" s="4">
        <f t="shared" si="2"/>
        <v>0</v>
      </c>
      <c r="F15" s="4">
        <f>'Raw Data'!E16*0.001648</f>
        <v>0</v>
      </c>
      <c r="G15" s="4">
        <f>'Raw Data'!F16*0.001648</f>
        <v>0</v>
      </c>
      <c r="H15" s="4">
        <f>'Raw Data'!G16*6*0.000128176</f>
        <v>0</v>
      </c>
      <c r="I15" s="4">
        <f>'Raw Data'!H16*0.000732435</f>
        <v>0</v>
      </c>
      <c r="J15" s="4">
        <f t="shared" si="0"/>
        <v>0</v>
      </c>
      <c r="K15" s="36">
        <f>IF(('Raw Data'!I16-16384)/32768&lt;0,0,('Raw Data'!I16-16384)/32768)</f>
        <v>0</v>
      </c>
      <c r="L15" s="4">
        <f>IF(('Raw Data'!J16-12010)/45.6=-263.377192982456,0,('Raw Data'!J16-12010)/45.6)</f>
        <v>0</v>
      </c>
      <c r="M15" s="16">
        <f>'Raw Data'!N16*2^-8</f>
        <v>0</v>
      </c>
      <c r="N15" s="16">
        <f>'Raw Data'!O16*2^-8</f>
        <v>0</v>
      </c>
      <c r="O15" s="17" t="str">
        <f>IF(BITWISE_AND('Raw Data'!$K16, 8192),"X","")</f>
        <v/>
      </c>
      <c r="P15" s="17" t="str">
        <f>IF(BITWISE_AND('Raw Data'!$K16, 2048),"X","")</f>
        <v/>
      </c>
      <c r="Q15" s="17" t="str">
        <f>IF(BITWISE_AND('Raw Data'!$K16, 64),"X","")</f>
        <v/>
      </c>
      <c r="R15" s="18" t="str">
        <f>IF(BITWISE_AND('Raw Data'!$L16, 1024),"X","")</f>
        <v/>
      </c>
      <c r="S15" s="18" t="str">
        <f>IF(BITWISE_AND('Raw Data'!$L16, 512),"X","")</f>
        <v/>
      </c>
      <c r="T15" s="18" t="str">
        <f>IF(BITWISE_AND('Raw Data'!$L16, 256),"X","")</f>
        <v/>
      </c>
      <c r="U15" s="18" t="str">
        <f>IF(BITWISE_AND('Raw Data'!$L16, 64),"X","")</f>
        <v/>
      </c>
      <c r="V15" s="18" t="str">
        <f>IF(BITWISE_AND('Raw Data'!$L16, 2),"X","")</f>
        <v/>
      </c>
      <c r="W15" s="18" t="str">
        <f>IF(BITWISE_AND('Raw Data'!$L16, 1),"X","")</f>
        <v/>
      </c>
      <c r="X15" s="19" t="str">
        <f>IF(BITWISE_AND('Raw Data'!M16, 1),"Bat Voltage", IF(BITWISE_AND('Raw Data'!M16, 2), "Charge Current", IF(BITWISE_AND('Raw Data'!M16, 4),"Input Ilim", IF(BITWISE_AND('Raw Data'!M16, 8), "Input UV", "none"))))</f>
        <v>none</v>
      </c>
    </row>
    <row r="16" spans="1:25" x14ac:dyDescent="0.2">
      <c r="A16" s="15">
        <f>A15+TIME(0,0,'Raw Data'!B16)</f>
        <v>0</v>
      </c>
      <c r="B16" s="4">
        <f>'Raw Data'!C17*0.025</f>
        <v>0</v>
      </c>
      <c r="C16" s="4">
        <f t="shared" si="1"/>
        <v>0</v>
      </c>
      <c r="D16" s="4">
        <f>'Raw Data'!D17*0.025</f>
        <v>0</v>
      </c>
      <c r="E16" s="4">
        <f t="shared" si="2"/>
        <v>0</v>
      </c>
      <c r="F16" s="4">
        <f>'Raw Data'!E17*0.001648</f>
        <v>0</v>
      </c>
      <c r="G16" s="4">
        <f>'Raw Data'!F17*0.001648</f>
        <v>0</v>
      </c>
      <c r="H16" s="4">
        <f>'Raw Data'!G17*6*0.000128176</f>
        <v>0</v>
      </c>
      <c r="I16" s="4">
        <f>'Raw Data'!H17*0.000732435</f>
        <v>0</v>
      </c>
      <c r="J16" s="4">
        <f t="shared" si="0"/>
        <v>0</v>
      </c>
      <c r="K16" s="36">
        <f>IF(('Raw Data'!I17-16384)/32768&lt;0,0,('Raw Data'!I17-16384)/32768)</f>
        <v>0</v>
      </c>
      <c r="L16" s="4">
        <f>IF(('Raw Data'!J17-12010)/45.6=-263.377192982456,0,('Raw Data'!J17-12010)/45.6)</f>
        <v>0</v>
      </c>
      <c r="M16" s="16">
        <f>'Raw Data'!N17*2^-8</f>
        <v>0</v>
      </c>
      <c r="N16" s="16">
        <f>'Raw Data'!O17*2^-8</f>
        <v>0</v>
      </c>
      <c r="O16" s="17" t="str">
        <f>IF(BITWISE_AND('Raw Data'!$K17, 8192),"X","")</f>
        <v/>
      </c>
      <c r="P16" s="17" t="str">
        <f>IF(BITWISE_AND('Raw Data'!$K17, 2048),"X","")</f>
        <v/>
      </c>
      <c r="Q16" s="17" t="str">
        <f>IF(BITWISE_AND('Raw Data'!$K17, 64),"X","")</f>
        <v/>
      </c>
      <c r="R16" s="18" t="str">
        <f>IF(BITWISE_AND('Raw Data'!$L17, 1024),"X","")</f>
        <v/>
      </c>
      <c r="S16" s="18" t="str">
        <f>IF(BITWISE_AND('Raw Data'!$L17, 512),"X","")</f>
        <v/>
      </c>
      <c r="T16" s="18" t="str">
        <f>IF(BITWISE_AND('Raw Data'!$L17, 256),"X","")</f>
        <v/>
      </c>
      <c r="U16" s="18" t="str">
        <f>IF(BITWISE_AND('Raw Data'!$L17, 64),"X","")</f>
        <v/>
      </c>
      <c r="V16" s="18" t="str">
        <f>IF(BITWISE_AND('Raw Data'!$L17, 2),"X","")</f>
        <v/>
      </c>
      <c r="W16" s="18" t="str">
        <f>IF(BITWISE_AND('Raw Data'!$L17, 1),"X","")</f>
        <v/>
      </c>
      <c r="X16" s="19" t="str">
        <f>IF(BITWISE_AND('Raw Data'!M17, 1),"Bat Voltage", IF(BITWISE_AND('Raw Data'!M17, 2), "Charge Current", IF(BITWISE_AND('Raw Data'!M17, 4),"Input Ilim", IF(BITWISE_AND('Raw Data'!M17, 8), "Input UV", "none"))))</f>
        <v>none</v>
      </c>
    </row>
    <row r="17" spans="1:24" x14ac:dyDescent="0.2">
      <c r="A17" s="15">
        <f>A16+TIME(0,0,'Raw Data'!B17)</f>
        <v>0</v>
      </c>
      <c r="B17" s="4">
        <f>'Raw Data'!C18*0.025</f>
        <v>0</v>
      </c>
      <c r="C17" s="4">
        <f t="shared" si="1"/>
        <v>0</v>
      </c>
      <c r="D17" s="4">
        <f>'Raw Data'!D18*0.025</f>
        <v>0</v>
      </c>
      <c r="E17" s="4">
        <f t="shared" si="2"/>
        <v>0</v>
      </c>
      <c r="F17" s="4">
        <f>'Raw Data'!E18*0.001648</f>
        <v>0</v>
      </c>
      <c r="G17" s="4">
        <f>'Raw Data'!F18*0.001648</f>
        <v>0</v>
      </c>
      <c r="H17" s="4">
        <f>'Raw Data'!G18*6*0.000128176</f>
        <v>0</v>
      </c>
      <c r="I17" s="4">
        <f>'Raw Data'!H18*0.000732435</f>
        <v>0</v>
      </c>
      <c r="J17" s="4">
        <f t="shared" si="0"/>
        <v>0</v>
      </c>
      <c r="K17" s="36">
        <f>IF(('Raw Data'!I18-16384)/32768&lt;0,0,('Raw Data'!I18-16384)/32768)</f>
        <v>0</v>
      </c>
      <c r="L17" s="4">
        <f>IF(('Raw Data'!J18-12010)/45.6=-263.377192982456,0,('Raw Data'!J18-12010)/45.6)</f>
        <v>0</v>
      </c>
      <c r="M17" s="16">
        <f>'Raw Data'!N18*2^-8</f>
        <v>0</v>
      </c>
      <c r="N17" s="16">
        <f>'Raw Data'!O18*2^-8</f>
        <v>0</v>
      </c>
      <c r="O17" s="17" t="str">
        <f>IF(BITWISE_AND('Raw Data'!$K18, 8192),"X","")</f>
        <v/>
      </c>
      <c r="P17" s="17" t="str">
        <f>IF(BITWISE_AND('Raw Data'!$K18, 2048),"X","")</f>
        <v/>
      </c>
      <c r="Q17" s="17" t="str">
        <f>IF(BITWISE_AND('Raw Data'!$K18, 64),"X","")</f>
        <v/>
      </c>
      <c r="R17" s="18" t="str">
        <f>IF(BITWISE_AND('Raw Data'!$L18, 1024),"X","")</f>
        <v/>
      </c>
      <c r="S17" s="18" t="str">
        <f>IF(BITWISE_AND('Raw Data'!$L18, 512),"X","")</f>
        <v/>
      </c>
      <c r="T17" s="18" t="str">
        <f>IF(BITWISE_AND('Raw Data'!$L18, 256),"X","")</f>
        <v/>
      </c>
      <c r="U17" s="18" t="str">
        <f>IF(BITWISE_AND('Raw Data'!$L18, 64),"X","")</f>
        <v/>
      </c>
      <c r="V17" s="18" t="str">
        <f>IF(BITWISE_AND('Raw Data'!$L18, 2),"X","")</f>
        <v/>
      </c>
      <c r="W17" s="18" t="str">
        <f>IF(BITWISE_AND('Raw Data'!$L18, 1),"X","")</f>
        <v/>
      </c>
      <c r="X17" s="19" t="str">
        <f>IF(BITWISE_AND('Raw Data'!M18, 1),"Bat Voltage", IF(BITWISE_AND('Raw Data'!M18, 2), "Charge Current", IF(BITWISE_AND('Raw Data'!M18, 4),"Input Ilim", IF(BITWISE_AND('Raw Data'!M18, 8), "Input UV", "none"))))</f>
        <v>none</v>
      </c>
    </row>
    <row r="18" spans="1:24" x14ac:dyDescent="0.2">
      <c r="A18" s="15">
        <f>A17+TIME(0,0,'Raw Data'!B18)</f>
        <v>0</v>
      </c>
      <c r="B18" s="4">
        <f>'Raw Data'!C19*0.025</f>
        <v>0</v>
      </c>
      <c r="C18" s="4">
        <f t="shared" si="1"/>
        <v>0</v>
      </c>
      <c r="D18" s="4">
        <f>'Raw Data'!D19*0.025</f>
        <v>0</v>
      </c>
      <c r="E18" s="4">
        <f t="shared" si="2"/>
        <v>0</v>
      </c>
      <c r="F18" s="4">
        <f>'Raw Data'!E19*0.001648</f>
        <v>0</v>
      </c>
      <c r="G18" s="4">
        <f>'Raw Data'!F19*0.001648</f>
        <v>0</v>
      </c>
      <c r="H18" s="4">
        <f>'Raw Data'!G19*6*0.000128176</f>
        <v>0</v>
      </c>
      <c r="I18" s="4">
        <f>'Raw Data'!H19*0.000732435</f>
        <v>0</v>
      </c>
      <c r="J18" s="4">
        <f t="shared" si="0"/>
        <v>0</v>
      </c>
      <c r="K18" s="36">
        <f>IF(('Raw Data'!I19-16384)/32768&lt;0,0,('Raw Data'!I19-16384)/32768)</f>
        <v>0</v>
      </c>
      <c r="L18" s="4">
        <f>IF(('Raw Data'!J19-12010)/45.6=-263.377192982456,0,('Raw Data'!J19-12010)/45.6)</f>
        <v>0</v>
      </c>
      <c r="M18" s="16">
        <f>'Raw Data'!N19*2^-8</f>
        <v>0</v>
      </c>
      <c r="N18" s="16">
        <f>'Raw Data'!O19*2^-8</f>
        <v>0</v>
      </c>
      <c r="O18" s="17" t="str">
        <f>IF(BITWISE_AND('Raw Data'!$K19, 8192),"X","")</f>
        <v/>
      </c>
      <c r="P18" s="17" t="str">
        <f>IF(BITWISE_AND('Raw Data'!$K19, 2048),"X","")</f>
        <v/>
      </c>
      <c r="Q18" s="17" t="str">
        <f>IF(BITWISE_AND('Raw Data'!$K19, 64),"X","")</f>
        <v/>
      </c>
      <c r="R18" s="18" t="str">
        <f>IF(BITWISE_AND('Raw Data'!$L19, 1024),"X","")</f>
        <v/>
      </c>
      <c r="S18" s="18" t="str">
        <f>IF(BITWISE_AND('Raw Data'!$L19, 512),"X","")</f>
        <v/>
      </c>
      <c r="T18" s="18" t="str">
        <f>IF(BITWISE_AND('Raw Data'!$L19, 256),"X","")</f>
        <v/>
      </c>
      <c r="U18" s="18" t="str">
        <f>IF(BITWISE_AND('Raw Data'!$L19, 64),"X","")</f>
        <v/>
      </c>
      <c r="V18" s="18" t="str">
        <f>IF(BITWISE_AND('Raw Data'!$L19, 2),"X","")</f>
        <v/>
      </c>
      <c r="W18" s="18" t="str">
        <f>IF(BITWISE_AND('Raw Data'!$L19, 1),"X","")</f>
        <v/>
      </c>
      <c r="X18" s="19" t="str">
        <f>IF(BITWISE_AND('Raw Data'!M19, 1),"Bat Voltage", IF(BITWISE_AND('Raw Data'!M19, 2), "Charge Current", IF(BITWISE_AND('Raw Data'!M19, 4),"Input Ilim", IF(BITWISE_AND('Raw Data'!M19, 8), "Input UV", "none"))))</f>
        <v>none</v>
      </c>
    </row>
    <row r="19" spans="1:24" x14ac:dyDescent="0.2">
      <c r="A19" s="15">
        <f>A18+TIME(0,0,'Raw Data'!B19)</f>
        <v>0</v>
      </c>
      <c r="B19" s="4">
        <f>'Raw Data'!C20*0.025</f>
        <v>0</v>
      </c>
      <c r="C19" s="4">
        <f t="shared" si="1"/>
        <v>0</v>
      </c>
      <c r="D19" s="4">
        <f>'Raw Data'!D20*0.025</f>
        <v>0</v>
      </c>
      <c r="E19" s="4">
        <f t="shared" si="2"/>
        <v>0</v>
      </c>
      <c r="F19" s="4">
        <f>'Raw Data'!E20*0.001648</f>
        <v>0</v>
      </c>
      <c r="G19" s="4">
        <f>'Raw Data'!F20*0.001648</f>
        <v>0</v>
      </c>
      <c r="H19" s="4">
        <f>'Raw Data'!G20*6*0.000128176</f>
        <v>0</v>
      </c>
      <c r="I19" s="4">
        <f>'Raw Data'!H20*0.000732435</f>
        <v>0</v>
      </c>
      <c r="J19" s="4">
        <f t="shared" si="0"/>
        <v>0</v>
      </c>
      <c r="K19" s="36">
        <f>IF(('Raw Data'!I20-16384)/32768&lt;0,0,('Raw Data'!I20-16384)/32768)</f>
        <v>0</v>
      </c>
      <c r="L19" s="4">
        <f>IF(('Raw Data'!J20-12010)/45.6=-263.377192982456,0,('Raw Data'!J20-12010)/45.6)</f>
        <v>0</v>
      </c>
      <c r="M19" s="16">
        <f>'Raw Data'!N20*2^-8</f>
        <v>0</v>
      </c>
      <c r="N19" s="16">
        <f>'Raw Data'!O20*2^-8</f>
        <v>0</v>
      </c>
      <c r="O19" s="17" t="str">
        <f>IF(BITWISE_AND('Raw Data'!$K20, 8192),"X","")</f>
        <v/>
      </c>
      <c r="P19" s="17" t="str">
        <f>IF(BITWISE_AND('Raw Data'!$K20, 2048),"X","")</f>
        <v/>
      </c>
      <c r="Q19" s="17" t="str">
        <f>IF(BITWISE_AND('Raw Data'!$K20, 64),"X","")</f>
        <v/>
      </c>
      <c r="R19" s="18" t="str">
        <f>IF(BITWISE_AND('Raw Data'!$L20, 1024),"X","")</f>
        <v/>
      </c>
      <c r="S19" s="18" t="str">
        <f>IF(BITWISE_AND('Raw Data'!$L20, 512),"X","")</f>
        <v/>
      </c>
      <c r="T19" s="18" t="str">
        <f>IF(BITWISE_AND('Raw Data'!$L20, 256),"X","")</f>
        <v/>
      </c>
      <c r="U19" s="18" t="str">
        <f>IF(BITWISE_AND('Raw Data'!$L20, 64),"X","")</f>
        <v/>
      </c>
      <c r="V19" s="18" t="str">
        <f>IF(BITWISE_AND('Raw Data'!$L20, 2),"X","")</f>
        <v/>
      </c>
      <c r="W19" s="18" t="str">
        <f>IF(BITWISE_AND('Raw Data'!$L20, 1),"X","")</f>
        <v/>
      </c>
      <c r="X19" s="19" t="str">
        <f>IF(BITWISE_AND('Raw Data'!M20, 1),"Bat Voltage", IF(BITWISE_AND('Raw Data'!M20, 2), "Charge Current", IF(BITWISE_AND('Raw Data'!M20, 4),"Input Ilim", IF(BITWISE_AND('Raw Data'!M20, 8), "Input UV", "none"))))</f>
        <v>none</v>
      </c>
    </row>
    <row r="20" spans="1:24" x14ac:dyDescent="0.2">
      <c r="A20" s="15">
        <f>A19+TIME(0,0,'Raw Data'!B20)</f>
        <v>0</v>
      </c>
      <c r="B20" s="4">
        <f>'Raw Data'!C21*0.025</f>
        <v>0</v>
      </c>
      <c r="C20" s="4">
        <f t="shared" si="1"/>
        <v>0</v>
      </c>
      <c r="D20" s="4">
        <f>'Raw Data'!D21*0.025</f>
        <v>0</v>
      </c>
      <c r="E20" s="4">
        <f t="shared" si="2"/>
        <v>0</v>
      </c>
      <c r="F20" s="4">
        <f>'Raw Data'!E21*0.001648</f>
        <v>0</v>
      </c>
      <c r="G20" s="4">
        <f>'Raw Data'!F21*0.001648</f>
        <v>0</v>
      </c>
      <c r="H20" s="4">
        <f>'Raw Data'!G21*6*0.000128176</f>
        <v>0</v>
      </c>
      <c r="I20" s="4">
        <f>'Raw Data'!H21*0.000732435</f>
        <v>0</v>
      </c>
      <c r="J20" s="4">
        <f t="shared" si="0"/>
        <v>0</v>
      </c>
      <c r="K20" s="36">
        <f>IF(('Raw Data'!I21-16384)/32768&lt;0,0,('Raw Data'!I21-16384)/32768)</f>
        <v>0</v>
      </c>
      <c r="L20" s="4">
        <f>IF(('Raw Data'!J21-12010)/45.6=-263.377192982456,0,('Raw Data'!J21-12010)/45.6)</f>
        <v>0</v>
      </c>
      <c r="M20" s="16">
        <f>'Raw Data'!N21*2^-8</f>
        <v>0</v>
      </c>
      <c r="N20" s="16">
        <f>'Raw Data'!O21*2^-8</f>
        <v>0</v>
      </c>
      <c r="O20" s="17" t="str">
        <f>IF(BITWISE_AND('Raw Data'!$K21, 8192),"X","")</f>
        <v/>
      </c>
      <c r="P20" s="17" t="str">
        <f>IF(BITWISE_AND('Raw Data'!$K21, 2048),"X","")</f>
        <v/>
      </c>
      <c r="Q20" s="17" t="str">
        <f>IF(BITWISE_AND('Raw Data'!$K21, 64),"X","")</f>
        <v/>
      </c>
      <c r="R20" s="18" t="str">
        <f>IF(BITWISE_AND('Raw Data'!$L21, 1024),"X","")</f>
        <v/>
      </c>
      <c r="S20" s="18" t="str">
        <f>IF(BITWISE_AND('Raw Data'!$L21, 512),"X","")</f>
        <v/>
      </c>
      <c r="T20" s="18" t="str">
        <f>IF(BITWISE_AND('Raw Data'!$L21, 256),"X","")</f>
        <v/>
      </c>
      <c r="U20" s="18" t="str">
        <f>IF(BITWISE_AND('Raw Data'!$L21, 64),"X","")</f>
        <v/>
      </c>
      <c r="V20" s="18" t="str">
        <f>IF(BITWISE_AND('Raw Data'!$L21, 2),"X","")</f>
        <v/>
      </c>
      <c r="W20" s="18" t="str">
        <f>IF(BITWISE_AND('Raw Data'!$L21, 1),"X","")</f>
        <v/>
      </c>
      <c r="X20" s="19" t="str">
        <f>IF(BITWISE_AND('Raw Data'!M21, 1),"Bat Voltage", IF(BITWISE_AND('Raw Data'!M21, 2), "Charge Current", IF(BITWISE_AND('Raw Data'!M21, 4),"Input Ilim", IF(BITWISE_AND('Raw Data'!M21, 8), "Input UV", "none"))))</f>
        <v>none</v>
      </c>
    </row>
    <row r="21" spans="1:24" x14ac:dyDescent="0.2">
      <c r="A21" s="15">
        <f>A20+TIME(0,0,'Raw Data'!B21)</f>
        <v>0</v>
      </c>
      <c r="B21" s="4">
        <f>'Raw Data'!C22*0.025</f>
        <v>0</v>
      </c>
      <c r="C21" s="4">
        <f t="shared" ref="C21:C84" si="3">C20+B21/60</f>
        <v>0</v>
      </c>
      <c r="D21" s="4">
        <f>'Raw Data'!D22*0.025</f>
        <v>0</v>
      </c>
      <c r="E21" s="4">
        <f t="shared" ref="E21:E84" si="4">E20+D21/60</f>
        <v>0</v>
      </c>
      <c r="F21" s="4">
        <f>'Raw Data'!E22*0.001648</f>
        <v>0</v>
      </c>
      <c r="G21" s="4">
        <f>'Raw Data'!F22*0.001648</f>
        <v>0</v>
      </c>
      <c r="H21" s="4">
        <f>'Raw Data'!G22*6*0.000128176</f>
        <v>0</v>
      </c>
      <c r="I21" s="4">
        <f>'Raw Data'!H22*0.000732435</f>
        <v>0</v>
      </c>
      <c r="J21" s="4">
        <f t="shared" si="0"/>
        <v>0</v>
      </c>
      <c r="K21" s="36">
        <f>IF(('Raw Data'!I22-16384)/32768&lt;0,0,('Raw Data'!I22-16384)/32768)</f>
        <v>0</v>
      </c>
      <c r="L21" s="4">
        <f>IF(('Raw Data'!J22-12010)/45.6=-263.377192982456,0,('Raw Data'!J22-12010)/45.6)</f>
        <v>0</v>
      </c>
      <c r="M21" s="16">
        <f>'Raw Data'!N22*2^-8</f>
        <v>0</v>
      </c>
      <c r="N21" s="16">
        <f>'Raw Data'!O22*2^-8</f>
        <v>0</v>
      </c>
      <c r="O21" s="17" t="str">
        <f>IF(BITWISE_AND('Raw Data'!$K22, 8192),"X","")</f>
        <v/>
      </c>
      <c r="P21" s="17" t="str">
        <f>IF(BITWISE_AND('Raw Data'!$K22, 2048),"X","")</f>
        <v/>
      </c>
      <c r="Q21" s="17" t="str">
        <f>IF(BITWISE_AND('Raw Data'!$K22, 64),"X","")</f>
        <v/>
      </c>
      <c r="R21" s="18" t="str">
        <f>IF(BITWISE_AND('Raw Data'!$L22, 1024),"X","")</f>
        <v/>
      </c>
      <c r="S21" s="18" t="str">
        <f>IF(BITWISE_AND('Raw Data'!$L22, 512),"X","")</f>
        <v/>
      </c>
      <c r="T21" s="18" t="str">
        <f>IF(BITWISE_AND('Raw Data'!$L22, 256),"X","")</f>
        <v/>
      </c>
      <c r="U21" s="18" t="str">
        <f>IF(BITWISE_AND('Raw Data'!$L22, 64),"X","")</f>
        <v/>
      </c>
      <c r="V21" s="18" t="str">
        <f>IF(BITWISE_AND('Raw Data'!$L22, 2),"X","")</f>
        <v/>
      </c>
      <c r="W21" s="18" t="str">
        <f>IF(BITWISE_AND('Raw Data'!$L22, 1),"X","")</f>
        <v/>
      </c>
      <c r="X21" s="19" t="str">
        <f>IF(BITWISE_AND('Raw Data'!M22, 1),"Bat Voltage", IF(BITWISE_AND('Raw Data'!M22, 2), "Charge Current", IF(BITWISE_AND('Raw Data'!M22, 4),"Input Ilim", IF(BITWISE_AND('Raw Data'!M22, 8), "Input UV", "none"))))</f>
        <v>none</v>
      </c>
    </row>
    <row r="22" spans="1:24" x14ac:dyDescent="0.2">
      <c r="A22" s="15">
        <f>A21+TIME(0,0,'Raw Data'!B22)</f>
        <v>0</v>
      </c>
      <c r="B22" s="4">
        <f>'Raw Data'!C23*0.025</f>
        <v>0</v>
      </c>
      <c r="C22" s="4">
        <f t="shared" si="3"/>
        <v>0</v>
      </c>
      <c r="D22" s="4">
        <f>'Raw Data'!D23*0.025</f>
        <v>0</v>
      </c>
      <c r="E22" s="4">
        <f t="shared" si="4"/>
        <v>0</v>
      </c>
      <c r="F22" s="4">
        <f>'Raw Data'!E23*0.001648</f>
        <v>0</v>
      </c>
      <c r="G22" s="4">
        <f>'Raw Data'!F23*0.001648</f>
        <v>0</v>
      </c>
      <c r="H22" s="4">
        <f>'Raw Data'!G23*6*0.000128176</f>
        <v>0</v>
      </c>
      <c r="I22" s="4">
        <f>'Raw Data'!H23*0.000732435</f>
        <v>0</v>
      </c>
      <c r="J22" s="4">
        <f t="shared" si="0"/>
        <v>0</v>
      </c>
      <c r="K22" s="36">
        <f>IF(('Raw Data'!I23-16384)/32768&lt;0,0,('Raw Data'!I23-16384)/32768)</f>
        <v>0</v>
      </c>
      <c r="L22" s="4">
        <f>IF(('Raw Data'!J23-12010)/45.6=-263.377192982456,0,('Raw Data'!J23-12010)/45.6)</f>
        <v>0</v>
      </c>
      <c r="M22" s="16">
        <f>'Raw Data'!N23*2^-8</f>
        <v>0</v>
      </c>
      <c r="N22" s="16">
        <f>'Raw Data'!O23*2^-8</f>
        <v>0</v>
      </c>
      <c r="O22" s="17" t="str">
        <f>IF(BITWISE_AND('Raw Data'!$K23, 8192),"X","")</f>
        <v/>
      </c>
      <c r="P22" s="17" t="str">
        <f>IF(BITWISE_AND('Raw Data'!$K23, 2048),"X","")</f>
        <v/>
      </c>
      <c r="Q22" s="17" t="str">
        <f>IF(BITWISE_AND('Raw Data'!$K23, 64),"X","")</f>
        <v/>
      </c>
      <c r="R22" s="18" t="str">
        <f>IF(BITWISE_AND('Raw Data'!$L23, 1024),"X","")</f>
        <v/>
      </c>
      <c r="S22" s="18" t="str">
        <f>IF(BITWISE_AND('Raw Data'!$L23, 512),"X","")</f>
        <v/>
      </c>
      <c r="T22" s="18" t="str">
        <f>IF(BITWISE_AND('Raw Data'!$L23, 256),"X","")</f>
        <v/>
      </c>
      <c r="U22" s="18" t="str">
        <f>IF(BITWISE_AND('Raw Data'!$L23, 64),"X","")</f>
        <v/>
      </c>
      <c r="V22" s="18" t="str">
        <f>IF(BITWISE_AND('Raw Data'!$L23, 2),"X","")</f>
        <v/>
      </c>
      <c r="W22" s="18" t="str">
        <f>IF(BITWISE_AND('Raw Data'!$L23, 1),"X","")</f>
        <v/>
      </c>
      <c r="X22" s="19" t="str">
        <f>IF(BITWISE_AND('Raw Data'!M23, 1),"Bat Voltage", IF(BITWISE_AND('Raw Data'!M23, 2), "Charge Current", IF(BITWISE_AND('Raw Data'!M23, 4),"Input Ilim", IF(BITWISE_AND('Raw Data'!M23, 8), "Input UV", "none"))))</f>
        <v>none</v>
      </c>
    </row>
    <row r="23" spans="1:24" x14ac:dyDescent="0.2">
      <c r="A23" s="15">
        <f>A22+TIME(0,0,'Raw Data'!B23)</f>
        <v>0</v>
      </c>
      <c r="B23" s="4">
        <f>'Raw Data'!C24*0.025</f>
        <v>0</v>
      </c>
      <c r="C23" s="4">
        <f t="shared" si="3"/>
        <v>0</v>
      </c>
      <c r="D23" s="4">
        <f>'Raw Data'!D24*0.025</f>
        <v>0</v>
      </c>
      <c r="E23" s="4">
        <f t="shared" si="4"/>
        <v>0</v>
      </c>
      <c r="F23" s="4">
        <f>'Raw Data'!E24*0.001648</f>
        <v>0</v>
      </c>
      <c r="G23" s="4">
        <f>'Raw Data'!F24*0.001648</f>
        <v>0</v>
      </c>
      <c r="H23" s="4">
        <f>'Raw Data'!G24*6*0.000128176</f>
        <v>0</v>
      </c>
      <c r="I23" s="4">
        <f>'Raw Data'!H24*0.000732435</f>
        <v>0</v>
      </c>
      <c r="J23" s="4">
        <f t="shared" si="0"/>
        <v>0</v>
      </c>
      <c r="K23" s="36">
        <f>IF(('Raw Data'!I24-16384)/32768&lt;0,0,('Raw Data'!I24-16384)/32768)</f>
        <v>0</v>
      </c>
      <c r="L23" s="4">
        <f>IF(('Raw Data'!J24-12010)/45.6=-263.377192982456,0,('Raw Data'!J24-12010)/45.6)</f>
        <v>0</v>
      </c>
      <c r="M23" s="16">
        <f>'Raw Data'!N24*2^-8</f>
        <v>0</v>
      </c>
      <c r="N23" s="16">
        <f>'Raw Data'!O24*2^-8</f>
        <v>0</v>
      </c>
      <c r="O23" s="17" t="str">
        <f>IF(BITWISE_AND('Raw Data'!$K24, 8192),"X","")</f>
        <v/>
      </c>
      <c r="P23" s="17" t="str">
        <f>IF(BITWISE_AND('Raw Data'!$K24, 2048),"X","")</f>
        <v/>
      </c>
      <c r="Q23" s="17" t="str">
        <f>IF(BITWISE_AND('Raw Data'!$K24, 64),"X","")</f>
        <v/>
      </c>
      <c r="R23" s="18" t="str">
        <f>IF(BITWISE_AND('Raw Data'!$L24, 1024),"X","")</f>
        <v/>
      </c>
      <c r="S23" s="18" t="str">
        <f>IF(BITWISE_AND('Raw Data'!$L24, 512),"X","")</f>
        <v/>
      </c>
      <c r="T23" s="18" t="str">
        <f>IF(BITWISE_AND('Raw Data'!$L24, 256),"X","")</f>
        <v/>
      </c>
      <c r="U23" s="18" t="str">
        <f>IF(BITWISE_AND('Raw Data'!$L24, 64),"X","")</f>
        <v/>
      </c>
      <c r="V23" s="18" t="str">
        <f>IF(BITWISE_AND('Raw Data'!$L24, 2),"X","")</f>
        <v/>
      </c>
      <c r="W23" s="18" t="str">
        <f>IF(BITWISE_AND('Raw Data'!$L24, 1),"X","")</f>
        <v/>
      </c>
      <c r="X23" s="19" t="str">
        <f>IF(BITWISE_AND('Raw Data'!M24, 1),"Bat Voltage", IF(BITWISE_AND('Raw Data'!M24, 2), "Charge Current", IF(BITWISE_AND('Raw Data'!M24, 4),"Input Ilim", IF(BITWISE_AND('Raw Data'!M24, 8), "Input UV", "none"))))</f>
        <v>none</v>
      </c>
    </row>
    <row r="24" spans="1:24" x14ac:dyDescent="0.2">
      <c r="A24" s="15">
        <f>A23+TIME(0,0,'Raw Data'!B24)</f>
        <v>0</v>
      </c>
      <c r="B24" s="4">
        <f>'Raw Data'!C25*0.025</f>
        <v>0</v>
      </c>
      <c r="C24" s="4">
        <f t="shared" si="3"/>
        <v>0</v>
      </c>
      <c r="D24" s="4">
        <f>'Raw Data'!D25*0.025</f>
        <v>0</v>
      </c>
      <c r="E24" s="4">
        <f t="shared" si="4"/>
        <v>0</v>
      </c>
      <c r="F24" s="4">
        <f>'Raw Data'!E25*0.001648</f>
        <v>0</v>
      </c>
      <c r="G24" s="4">
        <f>'Raw Data'!F25*0.001648</f>
        <v>0</v>
      </c>
      <c r="H24" s="4">
        <f>'Raw Data'!G25*6*0.000128176</f>
        <v>0</v>
      </c>
      <c r="I24" s="4">
        <f>'Raw Data'!H25*0.000732435</f>
        <v>0</v>
      </c>
      <c r="J24" s="4">
        <f t="shared" si="0"/>
        <v>0</v>
      </c>
      <c r="K24" s="36">
        <f>IF(('Raw Data'!I25-16384)/32768&lt;0,0,('Raw Data'!I25-16384)/32768)</f>
        <v>0</v>
      </c>
      <c r="L24" s="4">
        <f>IF(('Raw Data'!J25-12010)/45.6=-263.377192982456,0,('Raw Data'!J25-12010)/45.6)</f>
        <v>0</v>
      </c>
      <c r="M24" s="16">
        <f>'Raw Data'!N25*2^-8</f>
        <v>0</v>
      </c>
      <c r="N24" s="16">
        <f>'Raw Data'!O25*2^-8</f>
        <v>0</v>
      </c>
      <c r="O24" s="17" t="str">
        <f>IF(BITWISE_AND('Raw Data'!$K25, 8192),"X","")</f>
        <v/>
      </c>
      <c r="P24" s="17" t="str">
        <f>IF(BITWISE_AND('Raw Data'!$K25, 2048),"X","")</f>
        <v/>
      </c>
      <c r="Q24" s="17" t="str">
        <f>IF(BITWISE_AND('Raw Data'!$K25, 64),"X","")</f>
        <v/>
      </c>
      <c r="R24" s="18" t="str">
        <f>IF(BITWISE_AND('Raw Data'!$L25, 1024),"X","")</f>
        <v/>
      </c>
      <c r="S24" s="18" t="str">
        <f>IF(BITWISE_AND('Raw Data'!$L25, 512),"X","")</f>
        <v/>
      </c>
      <c r="T24" s="18" t="str">
        <f>IF(BITWISE_AND('Raw Data'!$L25, 256),"X","")</f>
        <v/>
      </c>
      <c r="U24" s="18" t="str">
        <f>IF(BITWISE_AND('Raw Data'!$L25, 64),"X","")</f>
        <v/>
      </c>
      <c r="V24" s="18" t="str">
        <f>IF(BITWISE_AND('Raw Data'!$L25, 2),"X","")</f>
        <v/>
      </c>
      <c r="W24" s="18" t="str">
        <f>IF(BITWISE_AND('Raw Data'!$L25, 1),"X","")</f>
        <v/>
      </c>
      <c r="X24" s="19" t="str">
        <f>IF(BITWISE_AND('Raw Data'!M25, 1),"Bat Voltage", IF(BITWISE_AND('Raw Data'!M25, 2), "Charge Current", IF(BITWISE_AND('Raw Data'!M25, 4),"Input Ilim", IF(BITWISE_AND('Raw Data'!M25, 8), "Input UV", "none"))))</f>
        <v>none</v>
      </c>
    </row>
    <row r="25" spans="1:24" x14ac:dyDescent="0.2">
      <c r="A25" s="15">
        <f>A24+TIME(0,0,'Raw Data'!B25)</f>
        <v>0</v>
      </c>
      <c r="B25" s="4">
        <f>'Raw Data'!C26*0.025</f>
        <v>0</v>
      </c>
      <c r="C25" s="4">
        <f t="shared" si="3"/>
        <v>0</v>
      </c>
      <c r="D25" s="4">
        <f>'Raw Data'!D26*0.025</f>
        <v>0</v>
      </c>
      <c r="E25" s="4">
        <f t="shared" si="4"/>
        <v>0</v>
      </c>
      <c r="F25" s="4">
        <f>'Raw Data'!E26*0.001648</f>
        <v>0</v>
      </c>
      <c r="G25" s="4">
        <f>'Raw Data'!F26*0.001648</f>
        <v>0</v>
      </c>
      <c r="H25" s="4">
        <f>'Raw Data'!G26*6*0.000128176</f>
        <v>0</v>
      </c>
      <c r="I25" s="4">
        <f>'Raw Data'!H26*0.000732435</f>
        <v>0</v>
      </c>
      <c r="J25" s="4">
        <f t="shared" si="0"/>
        <v>0</v>
      </c>
      <c r="K25" s="36">
        <f>IF(('Raw Data'!I26-16384)/32768&lt;0,0,('Raw Data'!I26-16384)/32768)</f>
        <v>0</v>
      </c>
      <c r="L25" s="4">
        <f>IF(('Raw Data'!J26-12010)/45.6=-263.377192982456,0,('Raw Data'!J26-12010)/45.6)</f>
        <v>0</v>
      </c>
      <c r="M25" s="16">
        <f>'Raw Data'!N26*2^-8</f>
        <v>0</v>
      </c>
      <c r="N25" s="16">
        <f>'Raw Data'!O26*2^-8</f>
        <v>0</v>
      </c>
      <c r="O25" s="17" t="str">
        <f>IF(BITWISE_AND('Raw Data'!$K26, 8192),"X","")</f>
        <v/>
      </c>
      <c r="P25" s="17" t="str">
        <f>IF(BITWISE_AND('Raw Data'!$K26, 2048),"X","")</f>
        <v/>
      </c>
      <c r="Q25" s="17" t="str">
        <f>IF(BITWISE_AND('Raw Data'!$K26, 64),"X","")</f>
        <v/>
      </c>
      <c r="R25" s="18" t="str">
        <f>IF(BITWISE_AND('Raw Data'!$L26, 1024),"X","")</f>
        <v/>
      </c>
      <c r="S25" s="18" t="str">
        <f>IF(BITWISE_AND('Raw Data'!$L26, 512),"X","")</f>
        <v/>
      </c>
      <c r="T25" s="18" t="str">
        <f>IF(BITWISE_AND('Raw Data'!$L26, 256),"X","")</f>
        <v/>
      </c>
      <c r="U25" s="18" t="str">
        <f>IF(BITWISE_AND('Raw Data'!$L26, 64),"X","")</f>
        <v/>
      </c>
      <c r="V25" s="18" t="str">
        <f>IF(BITWISE_AND('Raw Data'!$L26, 2),"X","")</f>
        <v/>
      </c>
      <c r="W25" s="18" t="str">
        <f>IF(BITWISE_AND('Raw Data'!$L26, 1),"X","")</f>
        <v/>
      </c>
      <c r="X25" s="19" t="str">
        <f>IF(BITWISE_AND('Raw Data'!M26, 1),"Bat Voltage", IF(BITWISE_AND('Raw Data'!M26, 2), "Charge Current", IF(BITWISE_AND('Raw Data'!M26, 4),"Input Ilim", IF(BITWISE_AND('Raw Data'!M26, 8), "Input UV", "none"))))</f>
        <v>none</v>
      </c>
    </row>
    <row r="26" spans="1:24" x14ac:dyDescent="0.2">
      <c r="A26" s="15">
        <f>A25+TIME(0,0,'Raw Data'!B26)</f>
        <v>0</v>
      </c>
      <c r="B26" s="4">
        <f>'Raw Data'!C27*0.025</f>
        <v>0</v>
      </c>
      <c r="C26" s="4">
        <f t="shared" si="3"/>
        <v>0</v>
      </c>
      <c r="D26" s="4">
        <f>'Raw Data'!D27*0.025</f>
        <v>0</v>
      </c>
      <c r="E26" s="4">
        <f t="shared" si="4"/>
        <v>0</v>
      </c>
      <c r="F26" s="4">
        <f>'Raw Data'!E27*0.001648</f>
        <v>0</v>
      </c>
      <c r="G26" s="4">
        <f>'Raw Data'!F27*0.001648</f>
        <v>0</v>
      </c>
      <c r="H26" s="4">
        <f>'Raw Data'!G27*6*0.000128176</f>
        <v>0</v>
      </c>
      <c r="I26" s="4">
        <f>'Raw Data'!H27*0.000732435</f>
        <v>0</v>
      </c>
      <c r="J26" s="4">
        <f t="shared" si="0"/>
        <v>0</v>
      </c>
      <c r="K26" s="36">
        <f>IF(('Raw Data'!I27-16384)/32768&lt;0,0,('Raw Data'!I27-16384)/32768)</f>
        <v>0</v>
      </c>
      <c r="L26" s="4">
        <f>IF(('Raw Data'!J27-12010)/45.6=-263.377192982456,0,('Raw Data'!J27-12010)/45.6)</f>
        <v>0</v>
      </c>
      <c r="M26" s="16">
        <f>'Raw Data'!N27*2^-8</f>
        <v>0</v>
      </c>
      <c r="N26" s="16">
        <f>'Raw Data'!O27*2^-8</f>
        <v>0</v>
      </c>
      <c r="O26" s="17" t="str">
        <f>IF(BITWISE_AND('Raw Data'!$K27, 8192),"X","")</f>
        <v/>
      </c>
      <c r="P26" s="17" t="str">
        <f>IF(BITWISE_AND('Raw Data'!$K27, 2048),"X","")</f>
        <v/>
      </c>
      <c r="Q26" s="17" t="str">
        <f>IF(BITWISE_AND('Raw Data'!$K27, 64),"X","")</f>
        <v/>
      </c>
      <c r="R26" s="18" t="str">
        <f>IF(BITWISE_AND('Raw Data'!$L27, 1024),"X","")</f>
        <v/>
      </c>
      <c r="S26" s="18" t="str">
        <f>IF(BITWISE_AND('Raw Data'!$L27, 512),"X","")</f>
        <v/>
      </c>
      <c r="T26" s="18" t="str">
        <f>IF(BITWISE_AND('Raw Data'!$L27, 256),"X","")</f>
        <v/>
      </c>
      <c r="U26" s="18" t="str">
        <f>IF(BITWISE_AND('Raw Data'!$L27, 64),"X","")</f>
        <v/>
      </c>
      <c r="V26" s="18" t="str">
        <f>IF(BITWISE_AND('Raw Data'!$L27, 2),"X","")</f>
        <v/>
      </c>
      <c r="W26" s="18" t="str">
        <f>IF(BITWISE_AND('Raw Data'!$L27, 1),"X","")</f>
        <v/>
      </c>
      <c r="X26" s="19" t="str">
        <f>IF(BITWISE_AND('Raw Data'!M27, 1),"Bat Voltage", IF(BITWISE_AND('Raw Data'!M27, 2), "Charge Current", IF(BITWISE_AND('Raw Data'!M27, 4),"Input Ilim", IF(BITWISE_AND('Raw Data'!M27, 8), "Input UV", "none"))))</f>
        <v>none</v>
      </c>
    </row>
    <row r="27" spans="1:24" x14ac:dyDescent="0.2">
      <c r="A27" s="15">
        <f>A26+TIME(0,0,'Raw Data'!B27)</f>
        <v>0</v>
      </c>
      <c r="B27" s="4">
        <f>'Raw Data'!C28*0.025</f>
        <v>0</v>
      </c>
      <c r="C27" s="4">
        <f t="shared" si="3"/>
        <v>0</v>
      </c>
      <c r="D27" s="4">
        <f>'Raw Data'!D28*0.025</f>
        <v>0</v>
      </c>
      <c r="E27" s="4">
        <f t="shared" si="4"/>
        <v>0</v>
      </c>
      <c r="F27" s="4">
        <f>'Raw Data'!E28*0.001648</f>
        <v>0</v>
      </c>
      <c r="G27" s="4">
        <f>'Raw Data'!F28*0.001648</f>
        <v>0</v>
      </c>
      <c r="H27" s="4">
        <f>'Raw Data'!G28*6*0.000128176</f>
        <v>0</v>
      </c>
      <c r="I27" s="4">
        <f>'Raw Data'!H28*0.000732435</f>
        <v>0</v>
      </c>
      <c r="J27" s="4">
        <f t="shared" si="0"/>
        <v>0</v>
      </c>
      <c r="K27" s="36">
        <f>IF(('Raw Data'!I28-16384)/32768&lt;0,0,('Raw Data'!I28-16384)/32768)</f>
        <v>0</v>
      </c>
      <c r="L27" s="4">
        <f>IF(('Raw Data'!J28-12010)/45.6=-263.377192982456,0,('Raw Data'!J28-12010)/45.6)</f>
        <v>0</v>
      </c>
      <c r="M27" s="16">
        <f>'Raw Data'!N28*2^-8</f>
        <v>0</v>
      </c>
      <c r="N27" s="16">
        <f>'Raw Data'!O28*2^-8</f>
        <v>0</v>
      </c>
      <c r="O27" s="17" t="str">
        <f>IF(BITWISE_AND('Raw Data'!$K28, 8192),"X","")</f>
        <v/>
      </c>
      <c r="P27" s="17" t="str">
        <f>IF(BITWISE_AND('Raw Data'!$K28, 2048),"X","")</f>
        <v/>
      </c>
      <c r="Q27" s="17" t="str">
        <f>IF(BITWISE_AND('Raw Data'!$K28, 64),"X","")</f>
        <v/>
      </c>
      <c r="R27" s="18" t="str">
        <f>IF(BITWISE_AND('Raw Data'!$L28, 1024),"X","")</f>
        <v/>
      </c>
      <c r="S27" s="18" t="str">
        <f>IF(BITWISE_AND('Raw Data'!$L28, 512),"X","")</f>
        <v/>
      </c>
      <c r="T27" s="18" t="str">
        <f>IF(BITWISE_AND('Raw Data'!$L28, 256),"X","")</f>
        <v/>
      </c>
      <c r="U27" s="18" t="str">
        <f>IF(BITWISE_AND('Raw Data'!$L28, 64),"X","")</f>
        <v/>
      </c>
      <c r="V27" s="18" t="str">
        <f>IF(BITWISE_AND('Raw Data'!$L28, 2),"X","")</f>
        <v/>
      </c>
      <c r="W27" s="18" t="str">
        <f>IF(BITWISE_AND('Raw Data'!$L28, 1),"X","")</f>
        <v/>
      </c>
      <c r="X27" s="19" t="str">
        <f>IF(BITWISE_AND('Raw Data'!M28, 1),"Bat Voltage", IF(BITWISE_AND('Raw Data'!M28, 2), "Charge Current", IF(BITWISE_AND('Raw Data'!M28, 4),"Input Ilim", IF(BITWISE_AND('Raw Data'!M28, 8), "Input UV", "none"))))</f>
        <v>none</v>
      </c>
    </row>
    <row r="28" spans="1:24" x14ac:dyDescent="0.2">
      <c r="A28" s="15">
        <f>A27+TIME(0,0,'Raw Data'!B28)</f>
        <v>0</v>
      </c>
      <c r="B28" s="4">
        <f>'Raw Data'!C29*0.025</f>
        <v>0</v>
      </c>
      <c r="C28" s="4">
        <f t="shared" si="3"/>
        <v>0</v>
      </c>
      <c r="D28" s="4">
        <f>'Raw Data'!D29*0.025</f>
        <v>0</v>
      </c>
      <c r="E28" s="4">
        <f t="shared" si="4"/>
        <v>0</v>
      </c>
      <c r="F28" s="4">
        <f>'Raw Data'!E29*0.001648</f>
        <v>0</v>
      </c>
      <c r="G28" s="4">
        <f>'Raw Data'!F29*0.001648</f>
        <v>0</v>
      </c>
      <c r="H28" s="4">
        <f>'Raw Data'!G29*6*0.000128176</f>
        <v>0</v>
      </c>
      <c r="I28" s="4">
        <f>'Raw Data'!H29*0.000732435</f>
        <v>0</v>
      </c>
      <c r="J28" s="4">
        <f t="shared" si="0"/>
        <v>0</v>
      </c>
      <c r="K28" s="36">
        <f>IF(('Raw Data'!I29-16384)/32768&lt;0,0,('Raw Data'!I29-16384)/32768)</f>
        <v>0</v>
      </c>
      <c r="L28" s="4">
        <f>IF(('Raw Data'!J29-12010)/45.6=-263.377192982456,0,('Raw Data'!J29-12010)/45.6)</f>
        <v>0</v>
      </c>
      <c r="M28" s="16">
        <f>'Raw Data'!N29*2^-8</f>
        <v>0</v>
      </c>
      <c r="N28" s="16">
        <f>'Raw Data'!O29*2^-8</f>
        <v>0</v>
      </c>
      <c r="O28" s="17" t="str">
        <f>IF(BITWISE_AND('Raw Data'!$K29, 8192),"X","")</f>
        <v/>
      </c>
      <c r="P28" s="17" t="str">
        <f>IF(BITWISE_AND('Raw Data'!$K29, 2048),"X","")</f>
        <v/>
      </c>
      <c r="Q28" s="17" t="str">
        <f>IF(BITWISE_AND('Raw Data'!$K29, 64),"X","")</f>
        <v/>
      </c>
      <c r="R28" s="18" t="str">
        <f>IF(BITWISE_AND('Raw Data'!$L29, 1024),"X","")</f>
        <v/>
      </c>
      <c r="S28" s="18" t="str">
        <f>IF(BITWISE_AND('Raw Data'!$L29, 512),"X","")</f>
        <v/>
      </c>
      <c r="T28" s="18" t="str">
        <f>IF(BITWISE_AND('Raw Data'!$L29, 256),"X","")</f>
        <v/>
      </c>
      <c r="U28" s="18" t="str">
        <f>IF(BITWISE_AND('Raw Data'!$L29, 64),"X","")</f>
        <v/>
      </c>
      <c r="V28" s="18" t="str">
        <f>IF(BITWISE_AND('Raw Data'!$L29, 2),"X","")</f>
        <v/>
      </c>
      <c r="W28" s="18" t="str">
        <f>IF(BITWISE_AND('Raw Data'!$L29, 1),"X","")</f>
        <v/>
      </c>
      <c r="X28" s="19" t="str">
        <f>IF(BITWISE_AND('Raw Data'!M29, 1),"Bat Voltage", IF(BITWISE_AND('Raw Data'!M29, 2), "Charge Current", IF(BITWISE_AND('Raw Data'!M29, 4),"Input Ilim", IF(BITWISE_AND('Raw Data'!M29, 8), "Input UV", "none"))))</f>
        <v>none</v>
      </c>
    </row>
    <row r="29" spans="1:24" x14ac:dyDescent="0.2">
      <c r="A29" s="15">
        <f>A28+TIME(0,0,'Raw Data'!B29)</f>
        <v>0</v>
      </c>
      <c r="B29" s="4">
        <f>'Raw Data'!C30*0.025</f>
        <v>0</v>
      </c>
      <c r="C29" s="4">
        <f t="shared" si="3"/>
        <v>0</v>
      </c>
      <c r="D29" s="4">
        <f>'Raw Data'!D30*0.025</f>
        <v>0</v>
      </c>
      <c r="E29" s="4">
        <f t="shared" si="4"/>
        <v>0</v>
      </c>
      <c r="F29" s="4">
        <f>'Raw Data'!E30*0.001648</f>
        <v>0</v>
      </c>
      <c r="G29" s="4">
        <f>'Raw Data'!F30*0.001648</f>
        <v>0</v>
      </c>
      <c r="H29" s="4">
        <f>'Raw Data'!G30*6*0.000128176</f>
        <v>0</v>
      </c>
      <c r="I29" s="4">
        <f>'Raw Data'!H30*0.000732435</f>
        <v>0</v>
      </c>
      <c r="J29" s="4">
        <f t="shared" si="0"/>
        <v>0</v>
      </c>
      <c r="K29" s="36">
        <f>IF(('Raw Data'!I30-16384)/32768&lt;0,0,('Raw Data'!I30-16384)/32768)</f>
        <v>0</v>
      </c>
      <c r="L29" s="4">
        <f>IF(('Raw Data'!J30-12010)/45.6=-263.377192982456,0,('Raw Data'!J30-12010)/45.6)</f>
        <v>0</v>
      </c>
      <c r="M29" s="16">
        <f>'Raw Data'!N30*2^-8</f>
        <v>0</v>
      </c>
      <c r="N29" s="16">
        <f>'Raw Data'!O30*2^-8</f>
        <v>0</v>
      </c>
      <c r="O29" s="17" t="str">
        <f>IF(BITWISE_AND('Raw Data'!$K30, 8192),"X","")</f>
        <v/>
      </c>
      <c r="P29" s="17" t="str">
        <f>IF(BITWISE_AND('Raw Data'!$K30, 2048),"X","")</f>
        <v/>
      </c>
      <c r="Q29" s="17" t="str">
        <f>IF(BITWISE_AND('Raw Data'!$K30, 64),"X","")</f>
        <v/>
      </c>
      <c r="R29" s="18" t="str">
        <f>IF(BITWISE_AND('Raw Data'!$L30, 1024),"X","")</f>
        <v/>
      </c>
      <c r="S29" s="18" t="str">
        <f>IF(BITWISE_AND('Raw Data'!$L30, 512),"X","")</f>
        <v/>
      </c>
      <c r="T29" s="18" t="str">
        <f>IF(BITWISE_AND('Raw Data'!$L30, 256),"X","")</f>
        <v/>
      </c>
      <c r="U29" s="18" t="str">
        <f>IF(BITWISE_AND('Raw Data'!$L30, 64),"X","")</f>
        <v/>
      </c>
      <c r="V29" s="18" t="str">
        <f>IF(BITWISE_AND('Raw Data'!$L30, 2),"X","")</f>
        <v/>
      </c>
      <c r="W29" s="18" t="str">
        <f>IF(BITWISE_AND('Raw Data'!$L30, 1),"X","")</f>
        <v/>
      </c>
      <c r="X29" s="19" t="str">
        <f>IF(BITWISE_AND('Raw Data'!M30, 1),"Bat Voltage", IF(BITWISE_AND('Raw Data'!M30, 2), "Charge Current", IF(BITWISE_AND('Raw Data'!M30, 4),"Input Ilim", IF(BITWISE_AND('Raw Data'!M30, 8), "Input UV", "none"))))</f>
        <v>none</v>
      </c>
    </row>
    <row r="30" spans="1:24" x14ac:dyDescent="0.2">
      <c r="A30" s="15">
        <f>A29+TIME(0,0,'Raw Data'!B30)</f>
        <v>0</v>
      </c>
      <c r="B30" s="4">
        <f>'Raw Data'!C31*0.025</f>
        <v>0</v>
      </c>
      <c r="C30" s="4">
        <f t="shared" si="3"/>
        <v>0</v>
      </c>
      <c r="D30" s="4">
        <f>'Raw Data'!D31*0.025</f>
        <v>0</v>
      </c>
      <c r="E30" s="4">
        <f t="shared" si="4"/>
        <v>0</v>
      </c>
      <c r="F30" s="4">
        <f>'Raw Data'!E31*0.001648</f>
        <v>0</v>
      </c>
      <c r="G30" s="4">
        <f>'Raw Data'!F31*0.001648</f>
        <v>0</v>
      </c>
      <c r="H30" s="4">
        <f>'Raw Data'!G31*6*0.000128176</f>
        <v>0</v>
      </c>
      <c r="I30" s="4">
        <f>'Raw Data'!H31*0.000732435</f>
        <v>0</v>
      </c>
      <c r="J30" s="4">
        <f t="shared" si="0"/>
        <v>0</v>
      </c>
      <c r="K30" s="36">
        <f>IF(('Raw Data'!I31-16384)/32768&lt;0,0,('Raw Data'!I31-16384)/32768)</f>
        <v>0</v>
      </c>
      <c r="L30" s="4">
        <f>IF(('Raw Data'!J31-12010)/45.6=-263.377192982456,0,('Raw Data'!J31-12010)/45.6)</f>
        <v>0</v>
      </c>
      <c r="M30" s="16">
        <f>'Raw Data'!N31*2^-8</f>
        <v>0</v>
      </c>
      <c r="N30" s="16">
        <f>'Raw Data'!O31*2^-8</f>
        <v>0</v>
      </c>
      <c r="O30" s="17" t="str">
        <f>IF(BITWISE_AND('Raw Data'!$K31, 8192),"X","")</f>
        <v/>
      </c>
      <c r="P30" s="17" t="str">
        <f>IF(BITWISE_AND('Raw Data'!$K31, 2048),"X","")</f>
        <v/>
      </c>
      <c r="Q30" s="17" t="str">
        <f>IF(BITWISE_AND('Raw Data'!$K31, 64),"X","")</f>
        <v/>
      </c>
      <c r="R30" s="18" t="str">
        <f>IF(BITWISE_AND('Raw Data'!$L31, 1024),"X","")</f>
        <v/>
      </c>
      <c r="S30" s="18" t="str">
        <f>IF(BITWISE_AND('Raw Data'!$L31, 512),"X","")</f>
        <v/>
      </c>
      <c r="T30" s="18" t="str">
        <f>IF(BITWISE_AND('Raw Data'!$L31, 256),"X","")</f>
        <v/>
      </c>
      <c r="U30" s="18" t="str">
        <f>IF(BITWISE_AND('Raw Data'!$L31, 64),"X","")</f>
        <v/>
      </c>
      <c r="V30" s="18" t="str">
        <f>IF(BITWISE_AND('Raw Data'!$L31, 2),"X","")</f>
        <v/>
      </c>
      <c r="W30" s="18" t="str">
        <f>IF(BITWISE_AND('Raw Data'!$L31, 1),"X","")</f>
        <v/>
      </c>
      <c r="X30" s="19" t="str">
        <f>IF(BITWISE_AND('Raw Data'!M31, 1),"Bat Voltage", IF(BITWISE_AND('Raw Data'!M31, 2), "Charge Current", IF(BITWISE_AND('Raw Data'!M31, 4),"Input Ilim", IF(BITWISE_AND('Raw Data'!M31, 8), "Input UV", "none"))))</f>
        <v>none</v>
      </c>
    </row>
    <row r="31" spans="1:24" x14ac:dyDescent="0.2">
      <c r="A31" s="15">
        <f>A30+TIME(0,0,'Raw Data'!B31)</f>
        <v>0</v>
      </c>
      <c r="B31" s="4">
        <f>'Raw Data'!C32*0.025</f>
        <v>0</v>
      </c>
      <c r="C31" s="4">
        <f t="shared" si="3"/>
        <v>0</v>
      </c>
      <c r="D31" s="4">
        <f>'Raw Data'!D32*0.025</f>
        <v>0</v>
      </c>
      <c r="E31" s="4">
        <f t="shared" si="4"/>
        <v>0</v>
      </c>
      <c r="F31" s="4">
        <f>'Raw Data'!E32*0.001648</f>
        <v>0</v>
      </c>
      <c r="G31" s="4">
        <f>'Raw Data'!F32*0.001648</f>
        <v>0</v>
      </c>
      <c r="H31" s="4">
        <f>'Raw Data'!G32*6*0.000128176</f>
        <v>0</v>
      </c>
      <c r="I31" s="4">
        <f>'Raw Data'!H32*0.000732435</f>
        <v>0</v>
      </c>
      <c r="J31" s="4">
        <f t="shared" si="0"/>
        <v>0</v>
      </c>
      <c r="K31" s="36">
        <f>IF(('Raw Data'!I32-16384)/32768&lt;0,0,('Raw Data'!I32-16384)/32768)</f>
        <v>0</v>
      </c>
      <c r="L31" s="4">
        <f>IF(('Raw Data'!J32-12010)/45.6=-263.377192982456,0,('Raw Data'!J32-12010)/45.6)</f>
        <v>0</v>
      </c>
      <c r="M31" s="16">
        <f>'Raw Data'!N32*2^-8</f>
        <v>0</v>
      </c>
      <c r="N31" s="16">
        <f>'Raw Data'!O32*2^-8</f>
        <v>0</v>
      </c>
      <c r="O31" s="17" t="str">
        <f>IF(BITWISE_AND('Raw Data'!$K32, 8192),"X","")</f>
        <v/>
      </c>
      <c r="P31" s="17" t="str">
        <f>IF(BITWISE_AND('Raw Data'!$K32, 2048),"X","")</f>
        <v/>
      </c>
      <c r="Q31" s="17" t="str">
        <f>IF(BITWISE_AND('Raw Data'!$K32, 64),"X","")</f>
        <v/>
      </c>
      <c r="R31" s="18" t="str">
        <f>IF(BITWISE_AND('Raw Data'!$L32, 1024),"X","")</f>
        <v/>
      </c>
      <c r="S31" s="18" t="str">
        <f>IF(BITWISE_AND('Raw Data'!$L32, 512),"X","")</f>
        <v/>
      </c>
      <c r="T31" s="18" t="str">
        <f>IF(BITWISE_AND('Raw Data'!$L32, 256),"X","")</f>
        <v/>
      </c>
      <c r="U31" s="18" t="str">
        <f>IF(BITWISE_AND('Raw Data'!$L32, 64),"X","")</f>
        <v/>
      </c>
      <c r="V31" s="18" t="str">
        <f>IF(BITWISE_AND('Raw Data'!$L32, 2),"X","")</f>
        <v/>
      </c>
      <c r="W31" s="18" t="str">
        <f>IF(BITWISE_AND('Raw Data'!$L32, 1),"X","")</f>
        <v/>
      </c>
      <c r="X31" s="19" t="str">
        <f>IF(BITWISE_AND('Raw Data'!M32, 1),"Bat Voltage", IF(BITWISE_AND('Raw Data'!M32, 2), "Charge Current", IF(BITWISE_AND('Raw Data'!M32, 4),"Input Ilim", IF(BITWISE_AND('Raw Data'!M32, 8), "Input UV", "none"))))</f>
        <v>none</v>
      </c>
    </row>
    <row r="32" spans="1:24" x14ac:dyDescent="0.2">
      <c r="A32" s="15">
        <f>A31+TIME(0,0,'Raw Data'!B32)</f>
        <v>0</v>
      </c>
      <c r="B32" s="4">
        <f>'Raw Data'!C33*0.025</f>
        <v>0</v>
      </c>
      <c r="C32" s="4">
        <f t="shared" si="3"/>
        <v>0</v>
      </c>
      <c r="D32" s="4">
        <f>'Raw Data'!D33*0.025</f>
        <v>0</v>
      </c>
      <c r="E32" s="4">
        <f t="shared" si="4"/>
        <v>0</v>
      </c>
      <c r="F32" s="4">
        <f>'Raw Data'!E33*0.001648</f>
        <v>0</v>
      </c>
      <c r="G32" s="4">
        <f>'Raw Data'!F33*0.001648</f>
        <v>0</v>
      </c>
      <c r="H32" s="4">
        <f>'Raw Data'!G33*6*0.000128176</f>
        <v>0</v>
      </c>
      <c r="I32" s="4">
        <f>'Raw Data'!H33*0.000732435</f>
        <v>0</v>
      </c>
      <c r="J32" s="4">
        <f t="shared" si="0"/>
        <v>0</v>
      </c>
      <c r="K32" s="36">
        <f>IF(('Raw Data'!I33-16384)/32768&lt;0,0,('Raw Data'!I33-16384)/32768)</f>
        <v>0</v>
      </c>
      <c r="L32" s="4">
        <f>IF(('Raw Data'!J33-12010)/45.6=-263.377192982456,0,('Raw Data'!J33-12010)/45.6)</f>
        <v>0</v>
      </c>
      <c r="M32" s="16">
        <f>'Raw Data'!N33*2^-8</f>
        <v>0</v>
      </c>
      <c r="N32" s="16">
        <f>'Raw Data'!O33*2^-8</f>
        <v>0</v>
      </c>
      <c r="O32" s="17" t="str">
        <f>IF(BITWISE_AND('Raw Data'!$K33, 8192),"X","")</f>
        <v/>
      </c>
      <c r="P32" s="17" t="str">
        <f>IF(BITWISE_AND('Raw Data'!$K33, 2048),"X","")</f>
        <v/>
      </c>
      <c r="Q32" s="17" t="str">
        <f>IF(BITWISE_AND('Raw Data'!$K33, 64),"X","")</f>
        <v/>
      </c>
      <c r="R32" s="18" t="str">
        <f>IF(BITWISE_AND('Raw Data'!$L33, 1024),"X","")</f>
        <v/>
      </c>
      <c r="S32" s="18" t="str">
        <f>IF(BITWISE_AND('Raw Data'!$L33, 512),"X","")</f>
        <v/>
      </c>
      <c r="T32" s="18" t="str">
        <f>IF(BITWISE_AND('Raw Data'!$L33, 256),"X","")</f>
        <v/>
      </c>
      <c r="U32" s="18" t="str">
        <f>IF(BITWISE_AND('Raw Data'!$L33, 64),"X","")</f>
        <v/>
      </c>
      <c r="V32" s="18" t="str">
        <f>IF(BITWISE_AND('Raw Data'!$L33, 2),"X","")</f>
        <v/>
      </c>
      <c r="W32" s="18" t="str">
        <f>IF(BITWISE_AND('Raw Data'!$L33, 1),"X","")</f>
        <v/>
      </c>
      <c r="X32" s="19" t="str">
        <f>IF(BITWISE_AND('Raw Data'!M33, 1),"Bat Voltage", IF(BITWISE_AND('Raw Data'!M33, 2), "Charge Current", IF(BITWISE_AND('Raw Data'!M33, 4),"Input Ilim", IF(BITWISE_AND('Raw Data'!M33, 8), "Input UV", "none"))))</f>
        <v>none</v>
      </c>
    </row>
    <row r="33" spans="1:24" x14ac:dyDescent="0.2">
      <c r="A33" s="15">
        <f>A32+TIME(0,0,'Raw Data'!B33)</f>
        <v>0</v>
      </c>
      <c r="B33" s="4">
        <f>'Raw Data'!C34*0.025</f>
        <v>0</v>
      </c>
      <c r="C33" s="4">
        <f t="shared" si="3"/>
        <v>0</v>
      </c>
      <c r="D33" s="4">
        <f>'Raw Data'!D34*0.025</f>
        <v>0</v>
      </c>
      <c r="E33" s="4">
        <f t="shared" si="4"/>
        <v>0</v>
      </c>
      <c r="F33" s="4">
        <f>'Raw Data'!E34*0.001648</f>
        <v>0</v>
      </c>
      <c r="G33" s="4">
        <f>'Raw Data'!F34*0.001648</f>
        <v>0</v>
      </c>
      <c r="H33" s="4">
        <f>'Raw Data'!G34*6*0.000128176</f>
        <v>0</v>
      </c>
      <c r="I33" s="4">
        <f>'Raw Data'!H34*0.000732435</f>
        <v>0</v>
      </c>
      <c r="J33" s="4">
        <f t="shared" si="0"/>
        <v>0</v>
      </c>
      <c r="K33" s="36">
        <f>IF(('Raw Data'!I34-16384)/32768&lt;0,0,('Raw Data'!I34-16384)/32768)</f>
        <v>0</v>
      </c>
      <c r="L33" s="4">
        <f>IF(('Raw Data'!J34-12010)/45.6=-263.377192982456,0,('Raw Data'!J34-12010)/45.6)</f>
        <v>0</v>
      </c>
      <c r="M33" s="16">
        <f>'Raw Data'!N34*2^-8</f>
        <v>0</v>
      </c>
      <c r="N33" s="16">
        <f>'Raw Data'!O34*2^-8</f>
        <v>0</v>
      </c>
      <c r="O33" s="17" t="str">
        <f>IF(BITWISE_AND('Raw Data'!$K34, 8192),"X","")</f>
        <v/>
      </c>
      <c r="P33" s="17" t="str">
        <f>IF(BITWISE_AND('Raw Data'!$K34, 2048),"X","")</f>
        <v/>
      </c>
      <c r="Q33" s="17" t="str">
        <f>IF(BITWISE_AND('Raw Data'!$K34, 64),"X","")</f>
        <v/>
      </c>
      <c r="R33" s="18" t="str">
        <f>IF(BITWISE_AND('Raw Data'!$L34, 1024),"X","")</f>
        <v/>
      </c>
      <c r="S33" s="18" t="str">
        <f>IF(BITWISE_AND('Raw Data'!$L34, 512),"X","")</f>
        <v/>
      </c>
      <c r="T33" s="18" t="str">
        <f>IF(BITWISE_AND('Raw Data'!$L34, 256),"X","")</f>
        <v/>
      </c>
      <c r="U33" s="18" t="str">
        <f>IF(BITWISE_AND('Raw Data'!$L34, 64),"X","")</f>
        <v/>
      </c>
      <c r="V33" s="18" t="str">
        <f>IF(BITWISE_AND('Raw Data'!$L34, 2),"X","")</f>
        <v/>
      </c>
      <c r="W33" s="18" t="str">
        <f>IF(BITWISE_AND('Raw Data'!$L34, 1),"X","")</f>
        <v/>
      </c>
      <c r="X33" s="19" t="str">
        <f>IF(BITWISE_AND('Raw Data'!M34, 1),"Bat Voltage", IF(BITWISE_AND('Raw Data'!M34, 2), "Charge Current", IF(BITWISE_AND('Raw Data'!M34, 4),"Input Ilim", IF(BITWISE_AND('Raw Data'!M34, 8), "Input UV", "none"))))</f>
        <v>none</v>
      </c>
    </row>
    <row r="34" spans="1:24" x14ac:dyDescent="0.2">
      <c r="A34" s="15">
        <f>A33+TIME(0,0,'Raw Data'!B34)</f>
        <v>0</v>
      </c>
      <c r="B34" s="4">
        <f>'Raw Data'!C35*0.025</f>
        <v>0</v>
      </c>
      <c r="C34" s="4">
        <f t="shared" si="3"/>
        <v>0</v>
      </c>
      <c r="D34" s="4">
        <f>'Raw Data'!D35*0.025</f>
        <v>0</v>
      </c>
      <c r="E34" s="4">
        <f t="shared" si="4"/>
        <v>0</v>
      </c>
      <c r="F34" s="4">
        <f>'Raw Data'!E35*0.001648</f>
        <v>0</v>
      </c>
      <c r="G34" s="4">
        <f>'Raw Data'!F35*0.001648</f>
        <v>0</v>
      </c>
      <c r="H34" s="4">
        <f>'Raw Data'!G35*6*0.000128176</f>
        <v>0</v>
      </c>
      <c r="I34" s="4">
        <f>'Raw Data'!H35*0.000732435</f>
        <v>0</v>
      </c>
      <c r="J34" s="4">
        <f t="shared" si="0"/>
        <v>0</v>
      </c>
      <c r="K34" s="36">
        <f>IF(('Raw Data'!I35-16384)/32768&lt;0,0,('Raw Data'!I35-16384)/32768)</f>
        <v>0</v>
      </c>
      <c r="L34" s="4">
        <f>IF(('Raw Data'!J35-12010)/45.6=-263.377192982456,0,('Raw Data'!J35-12010)/45.6)</f>
        <v>0</v>
      </c>
      <c r="M34" s="16">
        <f>'Raw Data'!N35*2^-8</f>
        <v>0</v>
      </c>
      <c r="N34" s="16">
        <f>'Raw Data'!O35*2^-8</f>
        <v>0</v>
      </c>
      <c r="O34" s="17" t="str">
        <f>IF(BITWISE_AND('Raw Data'!$K35, 8192),"X","")</f>
        <v/>
      </c>
      <c r="P34" s="17" t="str">
        <f>IF(BITWISE_AND('Raw Data'!$K35, 2048),"X","")</f>
        <v/>
      </c>
      <c r="Q34" s="17" t="str">
        <f>IF(BITWISE_AND('Raw Data'!$K35, 64),"X","")</f>
        <v/>
      </c>
      <c r="R34" s="18" t="str">
        <f>IF(BITWISE_AND('Raw Data'!$L35, 1024),"X","")</f>
        <v/>
      </c>
      <c r="S34" s="18" t="str">
        <f>IF(BITWISE_AND('Raw Data'!$L35, 512),"X","")</f>
        <v/>
      </c>
      <c r="T34" s="18" t="str">
        <f>IF(BITWISE_AND('Raw Data'!$L35, 256),"X","")</f>
        <v/>
      </c>
      <c r="U34" s="18" t="str">
        <f>IF(BITWISE_AND('Raw Data'!$L35, 64),"X","")</f>
        <v/>
      </c>
      <c r="V34" s="18" t="str">
        <f>IF(BITWISE_AND('Raw Data'!$L35, 2),"X","")</f>
        <v/>
      </c>
      <c r="W34" s="18" t="str">
        <f>IF(BITWISE_AND('Raw Data'!$L35, 1),"X","")</f>
        <v/>
      </c>
      <c r="X34" s="19" t="str">
        <f>IF(BITWISE_AND('Raw Data'!M35, 1),"Bat Voltage", IF(BITWISE_AND('Raw Data'!M35, 2), "Charge Current", IF(BITWISE_AND('Raw Data'!M35, 4),"Input Ilim", IF(BITWISE_AND('Raw Data'!M35, 8), "Input UV", "none"))))</f>
        <v>none</v>
      </c>
    </row>
    <row r="35" spans="1:24" x14ac:dyDescent="0.2">
      <c r="A35" s="15">
        <f>A34+TIME(0,0,'Raw Data'!B35)</f>
        <v>0</v>
      </c>
      <c r="B35" s="4">
        <f>'Raw Data'!C36*0.025</f>
        <v>0</v>
      </c>
      <c r="C35" s="4">
        <f t="shared" si="3"/>
        <v>0</v>
      </c>
      <c r="D35" s="4">
        <f>'Raw Data'!D36*0.025</f>
        <v>0</v>
      </c>
      <c r="E35" s="4">
        <f t="shared" si="4"/>
        <v>0</v>
      </c>
      <c r="F35" s="4">
        <f>'Raw Data'!E36*0.001648</f>
        <v>0</v>
      </c>
      <c r="G35" s="4">
        <f>'Raw Data'!F36*0.001648</f>
        <v>0</v>
      </c>
      <c r="H35" s="4">
        <f>'Raw Data'!G36*6*0.000128176</f>
        <v>0</v>
      </c>
      <c r="I35" s="4">
        <f>'Raw Data'!H36*0.000732435</f>
        <v>0</v>
      </c>
      <c r="J35" s="4">
        <f t="shared" si="0"/>
        <v>0</v>
      </c>
      <c r="K35" s="36">
        <f>IF(('Raw Data'!I36-16384)/32768&lt;0,0,('Raw Data'!I36-16384)/32768)</f>
        <v>0</v>
      </c>
      <c r="L35" s="4">
        <f>IF(('Raw Data'!J36-12010)/45.6=-263.377192982456,0,('Raw Data'!J36-12010)/45.6)</f>
        <v>0</v>
      </c>
      <c r="M35" s="16">
        <f>'Raw Data'!N36*2^-8</f>
        <v>0</v>
      </c>
      <c r="N35" s="16">
        <f>'Raw Data'!O36*2^-8</f>
        <v>0</v>
      </c>
      <c r="O35" s="17" t="str">
        <f>IF(BITWISE_AND('Raw Data'!$K36, 8192),"X","")</f>
        <v/>
      </c>
      <c r="P35" s="17" t="str">
        <f>IF(BITWISE_AND('Raw Data'!$K36, 2048),"X","")</f>
        <v/>
      </c>
      <c r="Q35" s="17" t="str">
        <f>IF(BITWISE_AND('Raw Data'!$K36, 64),"X","")</f>
        <v/>
      </c>
      <c r="R35" s="18" t="str">
        <f>IF(BITWISE_AND('Raw Data'!$L36, 1024),"X","")</f>
        <v/>
      </c>
      <c r="S35" s="18" t="str">
        <f>IF(BITWISE_AND('Raw Data'!$L36, 512),"X","")</f>
        <v/>
      </c>
      <c r="T35" s="18" t="str">
        <f>IF(BITWISE_AND('Raw Data'!$L36, 256),"X","")</f>
        <v/>
      </c>
      <c r="U35" s="18" t="str">
        <f>IF(BITWISE_AND('Raw Data'!$L36, 64),"X","")</f>
        <v/>
      </c>
      <c r="V35" s="18" t="str">
        <f>IF(BITWISE_AND('Raw Data'!$L36, 2),"X","")</f>
        <v/>
      </c>
      <c r="W35" s="18" t="str">
        <f>IF(BITWISE_AND('Raw Data'!$L36, 1),"X","")</f>
        <v/>
      </c>
      <c r="X35" s="19" t="str">
        <f>IF(BITWISE_AND('Raw Data'!M36, 1),"Bat Voltage", IF(BITWISE_AND('Raw Data'!M36, 2), "Charge Current", IF(BITWISE_AND('Raw Data'!M36, 4),"Input Ilim", IF(BITWISE_AND('Raw Data'!M36, 8), "Input UV", "none"))))</f>
        <v>none</v>
      </c>
    </row>
    <row r="36" spans="1:24" x14ac:dyDescent="0.2">
      <c r="A36" s="15">
        <f>A35+TIME(0,0,'Raw Data'!B36)</f>
        <v>0</v>
      </c>
      <c r="B36" s="4">
        <f>'Raw Data'!C37*0.025</f>
        <v>0</v>
      </c>
      <c r="C36" s="4">
        <f t="shared" si="3"/>
        <v>0</v>
      </c>
      <c r="D36" s="4">
        <f>'Raw Data'!D37*0.025</f>
        <v>0</v>
      </c>
      <c r="E36" s="4">
        <f t="shared" si="4"/>
        <v>0</v>
      </c>
      <c r="F36" s="4">
        <f>'Raw Data'!E37*0.001648</f>
        <v>0</v>
      </c>
      <c r="G36" s="4">
        <f>'Raw Data'!F37*0.001648</f>
        <v>0</v>
      </c>
      <c r="H36" s="4">
        <f>'Raw Data'!G37*6*0.000128176</f>
        <v>0</v>
      </c>
      <c r="I36" s="4">
        <f>'Raw Data'!H37*0.000732435</f>
        <v>0</v>
      </c>
      <c r="J36" s="4">
        <f t="shared" si="0"/>
        <v>0</v>
      </c>
      <c r="K36" s="36">
        <f>IF(('Raw Data'!I37-16384)/32768&lt;0,0,('Raw Data'!I37-16384)/32768)</f>
        <v>0</v>
      </c>
      <c r="L36" s="4">
        <f>IF(('Raw Data'!J37-12010)/45.6=-263.377192982456,0,('Raw Data'!J37-12010)/45.6)</f>
        <v>0</v>
      </c>
      <c r="M36" s="16">
        <f>'Raw Data'!N37*2^-8</f>
        <v>0</v>
      </c>
      <c r="N36" s="16">
        <f>'Raw Data'!O37*2^-8</f>
        <v>0</v>
      </c>
      <c r="O36" s="17" t="str">
        <f>IF(BITWISE_AND('Raw Data'!$K37, 8192),"X","")</f>
        <v/>
      </c>
      <c r="P36" s="17" t="str">
        <f>IF(BITWISE_AND('Raw Data'!$K37, 2048),"X","")</f>
        <v/>
      </c>
      <c r="Q36" s="17" t="str">
        <f>IF(BITWISE_AND('Raw Data'!$K37, 64),"X","")</f>
        <v/>
      </c>
      <c r="R36" s="18" t="str">
        <f>IF(BITWISE_AND('Raw Data'!$L37, 1024),"X","")</f>
        <v/>
      </c>
      <c r="S36" s="18" t="str">
        <f>IF(BITWISE_AND('Raw Data'!$L37, 512),"X","")</f>
        <v/>
      </c>
      <c r="T36" s="18" t="str">
        <f>IF(BITWISE_AND('Raw Data'!$L37, 256),"X","")</f>
        <v/>
      </c>
      <c r="U36" s="18" t="str">
        <f>IF(BITWISE_AND('Raw Data'!$L37, 64),"X","")</f>
        <v/>
      </c>
      <c r="V36" s="18" t="str">
        <f>IF(BITWISE_AND('Raw Data'!$L37, 2),"X","")</f>
        <v/>
      </c>
      <c r="W36" s="18" t="str">
        <f>IF(BITWISE_AND('Raw Data'!$L37, 1),"X","")</f>
        <v/>
      </c>
      <c r="X36" s="19" t="str">
        <f>IF(BITWISE_AND('Raw Data'!M37, 1),"Bat Voltage", IF(BITWISE_AND('Raw Data'!M37, 2), "Charge Current", IF(BITWISE_AND('Raw Data'!M37, 4),"Input Ilim", IF(BITWISE_AND('Raw Data'!M37, 8), "Input UV", "none"))))</f>
        <v>none</v>
      </c>
    </row>
    <row r="37" spans="1:24" x14ac:dyDescent="0.2">
      <c r="A37" s="15">
        <f>A36+TIME(0,0,'Raw Data'!B37)</f>
        <v>0</v>
      </c>
      <c r="B37" s="4">
        <f>'Raw Data'!C38*0.025</f>
        <v>0</v>
      </c>
      <c r="C37" s="4">
        <f t="shared" si="3"/>
        <v>0</v>
      </c>
      <c r="D37" s="4">
        <f>'Raw Data'!D38*0.025</f>
        <v>0</v>
      </c>
      <c r="E37" s="4">
        <f t="shared" si="4"/>
        <v>0</v>
      </c>
      <c r="F37" s="4">
        <f>'Raw Data'!E38*0.001648</f>
        <v>0</v>
      </c>
      <c r="G37" s="4">
        <f>'Raw Data'!F38*0.001648</f>
        <v>0</v>
      </c>
      <c r="H37" s="4">
        <f>'Raw Data'!G38*6*0.000128176</f>
        <v>0</v>
      </c>
      <c r="I37" s="4">
        <f>'Raw Data'!H38*0.000732435</f>
        <v>0</v>
      </c>
      <c r="J37" s="4">
        <f t="shared" si="0"/>
        <v>0</v>
      </c>
      <c r="K37" s="36">
        <f>IF(('Raw Data'!I38-16384)/32768&lt;0,0,('Raw Data'!I38-16384)/32768)</f>
        <v>0</v>
      </c>
      <c r="L37" s="4">
        <f>IF(('Raw Data'!J38-12010)/45.6=-263.377192982456,0,('Raw Data'!J38-12010)/45.6)</f>
        <v>0</v>
      </c>
      <c r="M37" s="16">
        <f>'Raw Data'!N38*2^-8</f>
        <v>0</v>
      </c>
      <c r="N37" s="16">
        <f>'Raw Data'!O38*2^-8</f>
        <v>0</v>
      </c>
      <c r="O37" s="17" t="str">
        <f>IF(BITWISE_AND('Raw Data'!$K38, 8192),"X","")</f>
        <v/>
      </c>
      <c r="P37" s="17" t="str">
        <f>IF(BITWISE_AND('Raw Data'!$K38, 2048),"X","")</f>
        <v/>
      </c>
      <c r="Q37" s="17" t="str">
        <f>IF(BITWISE_AND('Raw Data'!$K38, 64),"X","")</f>
        <v/>
      </c>
      <c r="R37" s="18" t="str">
        <f>IF(BITWISE_AND('Raw Data'!$L38, 1024),"X","")</f>
        <v/>
      </c>
      <c r="S37" s="18" t="str">
        <f>IF(BITWISE_AND('Raw Data'!$L38, 512),"X","")</f>
        <v/>
      </c>
      <c r="T37" s="18" t="str">
        <f>IF(BITWISE_AND('Raw Data'!$L38, 256),"X","")</f>
        <v/>
      </c>
      <c r="U37" s="18" t="str">
        <f>IF(BITWISE_AND('Raw Data'!$L38, 64),"X","")</f>
        <v/>
      </c>
      <c r="V37" s="18" t="str">
        <f>IF(BITWISE_AND('Raw Data'!$L38, 2),"X","")</f>
        <v/>
      </c>
      <c r="W37" s="18" t="str">
        <f>IF(BITWISE_AND('Raw Data'!$L38, 1),"X","")</f>
        <v/>
      </c>
      <c r="X37" s="19" t="str">
        <f>IF(BITWISE_AND('Raw Data'!M38, 1),"Bat Voltage", IF(BITWISE_AND('Raw Data'!M38, 2), "Charge Current", IF(BITWISE_AND('Raw Data'!M38, 4),"Input Ilim", IF(BITWISE_AND('Raw Data'!M38, 8), "Input UV", "none"))))</f>
        <v>none</v>
      </c>
    </row>
    <row r="38" spans="1:24" x14ac:dyDescent="0.2">
      <c r="A38" s="15">
        <f>A37+TIME(0,0,'Raw Data'!B38)</f>
        <v>0</v>
      </c>
      <c r="B38" s="4">
        <f>'Raw Data'!C39*0.025</f>
        <v>0</v>
      </c>
      <c r="C38" s="4">
        <f t="shared" si="3"/>
        <v>0</v>
      </c>
      <c r="D38" s="4">
        <f>'Raw Data'!D39*0.025</f>
        <v>0</v>
      </c>
      <c r="E38" s="4">
        <f t="shared" si="4"/>
        <v>0</v>
      </c>
      <c r="F38" s="4">
        <f>'Raw Data'!E39*0.001648</f>
        <v>0</v>
      </c>
      <c r="G38" s="4">
        <f>'Raw Data'!F39*0.001648</f>
        <v>0</v>
      </c>
      <c r="H38" s="4">
        <f>'Raw Data'!G39*6*0.000128176</f>
        <v>0</v>
      </c>
      <c r="I38" s="4">
        <f>'Raw Data'!H39*0.000732435</f>
        <v>0</v>
      </c>
      <c r="J38" s="4">
        <f t="shared" si="0"/>
        <v>0</v>
      </c>
      <c r="K38" s="36">
        <f>IF(('Raw Data'!I39-16384)/32768&lt;0,0,('Raw Data'!I39-16384)/32768)</f>
        <v>0</v>
      </c>
      <c r="L38" s="4">
        <f>IF(('Raw Data'!J39-12010)/45.6=-263.377192982456,0,('Raw Data'!J39-12010)/45.6)</f>
        <v>0</v>
      </c>
      <c r="M38" s="16">
        <f>'Raw Data'!N39*2^-8</f>
        <v>0</v>
      </c>
      <c r="N38" s="16">
        <f>'Raw Data'!O39*2^-8</f>
        <v>0</v>
      </c>
      <c r="O38" s="17" t="str">
        <f>IF(BITWISE_AND('Raw Data'!$K39, 8192),"X","")</f>
        <v/>
      </c>
      <c r="P38" s="17" t="str">
        <f>IF(BITWISE_AND('Raw Data'!$K39, 2048),"X","")</f>
        <v/>
      </c>
      <c r="Q38" s="17" t="str">
        <f>IF(BITWISE_AND('Raw Data'!$K39, 64),"X","")</f>
        <v/>
      </c>
      <c r="R38" s="18" t="str">
        <f>IF(BITWISE_AND('Raw Data'!$L39, 1024),"X","")</f>
        <v/>
      </c>
      <c r="S38" s="18" t="str">
        <f>IF(BITWISE_AND('Raw Data'!$L39, 512),"X","")</f>
        <v/>
      </c>
      <c r="T38" s="18" t="str">
        <f>IF(BITWISE_AND('Raw Data'!$L39, 256),"X","")</f>
        <v/>
      </c>
      <c r="U38" s="18" t="str">
        <f>IF(BITWISE_AND('Raw Data'!$L39, 64),"X","")</f>
        <v/>
      </c>
      <c r="V38" s="18" t="str">
        <f>IF(BITWISE_AND('Raw Data'!$L39, 2),"X","")</f>
        <v/>
      </c>
      <c r="W38" s="18" t="str">
        <f>IF(BITWISE_AND('Raw Data'!$L39, 1),"X","")</f>
        <v/>
      </c>
      <c r="X38" s="19" t="str">
        <f>IF(BITWISE_AND('Raw Data'!M39, 1),"Bat Voltage", IF(BITWISE_AND('Raw Data'!M39, 2), "Charge Current", IF(BITWISE_AND('Raw Data'!M39, 4),"Input Ilim", IF(BITWISE_AND('Raw Data'!M39, 8), "Input UV", "none"))))</f>
        <v>none</v>
      </c>
    </row>
    <row r="39" spans="1:24" x14ac:dyDescent="0.2">
      <c r="A39" s="15">
        <f>A38+TIME(0,0,'Raw Data'!B39)</f>
        <v>0</v>
      </c>
      <c r="B39" s="4">
        <f>'Raw Data'!C40*0.025</f>
        <v>0</v>
      </c>
      <c r="C39" s="4">
        <f t="shared" si="3"/>
        <v>0</v>
      </c>
      <c r="D39" s="4">
        <f>'Raw Data'!D40*0.025</f>
        <v>0</v>
      </c>
      <c r="E39" s="4">
        <f t="shared" si="4"/>
        <v>0</v>
      </c>
      <c r="F39" s="4">
        <f>'Raw Data'!E40*0.001648</f>
        <v>0</v>
      </c>
      <c r="G39" s="4">
        <f>'Raw Data'!F40*0.001648</f>
        <v>0</v>
      </c>
      <c r="H39" s="4">
        <f>'Raw Data'!G40*6*0.000128176</f>
        <v>0</v>
      </c>
      <c r="I39" s="4">
        <f>'Raw Data'!H40*0.000732435</f>
        <v>0</v>
      </c>
      <c r="J39" s="4">
        <f t="shared" si="0"/>
        <v>0</v>
      </c>
      <c r="K39" s="36">
        <f>IF(('Raw Data'!I40-16384)/32768&lt;0,0,('Raw Data'!I40-16384)/32768)</f>
        <v>0</v>
      </c>
      <c r="L39" s="4">
        <f>IF(('Raw Data'!J40-12010)/45.6=-263.377192982456,0,('Raw Data'!J40-12010)/45.6)</f>
        <v>0</v>
      </c>
      <c r="M39" s="16">
        <f>'Raw Data'!N40*2^-8</f>
        <v>0</v>
      </c>
      <c r="N39" s="16">
        <f>'Raw Data'!O40*2^-8</f>
        <v>0</v>
      </c>
      <c r="O39" s="17" t="str">
        <f>IF(BITWISE_AND('Raw Data'!$K40, 8192),"X","")</f>
        <v/>
      </c>
      <c r="P39" s="17" t="str">
        <f>IF(BITWISE_AND('Raw Data'!$K40, 2048),"X","")</f>
        <v/>
      </c>
      <c r="Q39" s="17" t="str">
        <f>IF(BITWISE_AND('Raw Data'!$K40, 64),"X","")</f>
        <v/>
      </c>
      <c r="R39" s="18" t="str">
        <f>IF(BITWISE_AND('Raw Data'!$L40, 1024),"X","")</f>
        <v/>
      </c>
      <c r="S39" s="18" t="str">
        <f>IF(BITWISE_AND('Raw Data'!$L40, 512),"X","")</f>
        <v/>
      </c>
      <c r="T39" s="18" t="str">
        <f>IF(BITWISE_AND('Raw Data'!$L40, 256),"X","")</f>
        <v/>
      </c>
      <c r="U39" s="18" t="str">
        <f>IF(BITWISE_AND('Raw Data'!$L40, 64),"X","")</f>
        <v/>
      </c>
      <c r="V39" s="18" t="str">
        <f>IF(BITWISE_AND('Raw Data'!$L40, 2),"X","")</f>
        <v/>
      </c>
      <c r="W39" s="18" t="str">
        <f>IF(BITWISE_AND('Raw Data'!$L40, 1),"X","")</f>
        <v/>
      </c>
      <c r="X39" s="19" t="str">
        <f>IF(BITWISE_AND('Raw Data'!M40, 1),"Bat Voltage", IF(BITWISE_AND('Raw Data'!M40, 2), "Charge Current", IF(BITWISE_AND('Raw Data'!M40, 4),"Input Ilim", IF(BITWISE_AND('Raw Data'!M40, 8), "Input UV", "none"))))</f>
        <v>none</v>
      </c>
    </row>
    <row r="40" spans="1:24" x14ac:dyDescent="0.2">
      <c r="A40" s="15">
        <f>A39+TIME(0,0,'Raw Data'!B40)</f>
        <v>0</v>
      </c>
      <c r="B40" s="4">
        <f>'Raw Data'!C41*0.025</f>
        <v>0</v>
      </c>
      <c r="C40" s="4">
        <f t="shared" si="3"/>
        <v>0</v>
      </c>
      <c r="D40" s="4">
        <f>'Raw Data'!D41*0.025</f>
        <v>0</v>
      </c>
      <c r="E40" s="4">
        <f t="shared" si="4"/>
        <v>0</v>
      </c>
      <c r="F40" s="4">
        <f>'Raw Data'!E41*0.001648</f>
        <v>0</v>
      </c>
      <c r="G40" s="4">
        <f>'Raw Data'!F41*0.001648</f>
        <v>0</v>
      </c>
      <c r="H40" s="4">
        <f>'Raw Data'!G41*6*0.000128176</f>
        <v>0</v>
      </c>
      <c r="I40" s="4">
        <f>'Raw Data'!H41*0.000732435</f>
        <v>0</v>
      </c>
      <c r="J40" s="4">
        <f t="shared" si="0"/>
        <v>0</v>
      </c>
      <c r="K40" s="36">
        <f>IF(('Raw Data'!I41-16384)/32768&lt;0,0,('Raw Data'!I41-16384)/32768)</f>
        <v>0</v>
      </c>
      <c r="L40" s="4">
        <f>IF(('Raw Data'!J41-12010)/45.6=-263.377192982456,0,('Raw Data'!J41-12010)/45.6)</f>
        <v>0</v>
      </c>
      <c r="M40" s="16">
        <f>'Raw Data'!N41*2^-8</f>
        <v>0</v>
      </c>
      <c r="N40" s="16">
        <f>'Raw Data'!O41*2^-8</f>
        <v>0</v>
      </c>
      <c r="O40" s="17" t="str">
        <f>IF(BITWISE_AND('Raw Data'!$K41, 8192),"X","")</f>
        <v/>
      </c>
      <c r="P40" s="17" t="str">
        <f>IF(BITWISE_AND('Raw Data'!$K41, 2048),"X","")</f>
        <v/>
      </c>
      <c r="Q40" s="17" t="str">
        <f>IF(BITWISE_AND('Raw Data'!$K41, 64),"X","")</f>
        <v/>
      </c>
      <c r="R40" s="18" t="str">
        <f>IF(BITWISE_AND('Raw Data'!$L41, 1024),"X","")</f>
        <v/>
      </c>
      <c r="S40" s="18" t="str">
        <f>IF(BITWISE_AND('Raw Data'!$L41, 512),"X","")</f>
        <v/>
      </c>
      <c r="T40" s="18" t="str">
        <f>IF(BITWISE_AND('Raw Data'!$L41, 256),"X","")</f>
        <v/>
      </c>
      <c r="U40" s="18" t="str">
        <f>IF(BITWISE_AND('Raw Data'!$L41, 64),"X","")</f>
        <v/>
      </c>
      <c r="V40" s="18" t="str">
        <f>IF(BITWISE_AND('Raw Data'!$L41, 2),"X","")</f>
        <v/>
      </c>
      <c r="W40" s="18" t="str">
        <f>IF(BITWISE_AND('Raw Data'!$L41, 1),"X","")</f>
        <v/>
      </c>
      <c r="X40" s="19" t="str">
        <f>IF(BITWISE_AND('Raw Data'!M41, 1),"Bat Voltage", IF(BITWISE_AND('Raw Data'!M41, 2), "Charge Current", IF(BITWISE_AND('Raw Data'!M41, 4),"Input Ilim", IF(BITWISE_AND('Raw Data'!M41, 8), "Input UV", "none"))))</f>
        <v>none</v>
      </c>
    </row>
    <row r="41" spans="1:24" x14ac:dyDescent="0.2">
      <c r="A41" s="15">
        <f>A40+TIME(0,0,'Raw Data'!B41)</f>
        <v>0</v>
      </c>
      <c r="B41" s="4">
        <f>'Raw Data'!C42*0.025</f>
        <v>0</v>
      </c>
      <c r="C41" s="4">
        <f t="shared" si="3"/>
        <v>0</v>
      </c>
      <c r="D41" s="4">
        <f>'Raw Data'!D42*0.025</f>
        <v>0</v>
      </c>
      <c r="E41" s="4">
        <f t="shared" si="4"/>
        <v>0</v>
      </c>
      <c r="F41" s="4">
        <f>'Raw Data'!E42*0.001648</f>
        <v>0</v>
      </c>
      <c r="G41" s="4">
        <f>'Raw Data'!F42*0.001648</f>
        <v>0</v>
      </c>
      <c r="H41" s="4">
        <f>'Raw Data'!G42*6*0.000128176</f>
        <v>0</v>
      </c>
      <c r="I41" s="4">
        <f>'Raw Data'!H42*0.000732435</f>
        <v>0</v>
      </c>
      <c r="J41" s="4">
        <f t="shared" si="0"/>
        <v>0</v>
      </c>
      <c r="K41" s="36">
        <f>IF(('Raw Data'!I42-16384)/32768&lt;0,0,('Raw Data'!I42-16384)/32768)</f>
        <v>0</v>
      </c>
      <c r="L41" s="4">
        <f>IF(('Raw Data'!J42-12010)/45.6=-263.377192982456,0,('Raw Data'!J42-12010)/45.6)</f>
        <v>0</v>
      </c>
      <c r="M41" s="16">
        <f>'Raw Data'!N42*2^-8</f>
        <v>0</v>
      </c>
      <c r="N41" s="16">
        <f>'Raw Data'!O42*2^-8</f>
        <v>0</v>
      </c>
      <c r="O41" s="17" t="str">
        <f>IF(BITWISE_AND('Raw Data'!$K42, 8192),"X","")</f>
        <v/>
      </c>
      <c r="P41" s="17" t="str">
        <f>IF(BITWISE_AND('Raw Data'!$K42, 2048),"X","")</f>
        <v/>
      </c>
      <c r="Q41" s="17" t="str">
        <f>IF(BITWISE_AND('Raw Data'!$K42, 64),"X","")</f>
        <v/>
      </c>
      <c r="R41" s="18" t="str">
        <f>IF(BITWISE_AND('Raw Data'!$L42, 1024),"X","")</f>
        <v/>
      </c>
      <c r="S41" s="18" t="str">
        <f>IF(BITWISE_AND('Raw Data'!$L42, 512),"X","")</f>
        <v/>
      </c>
      <c r="T41" s="18" t="str">
        <f>IF(BITWISE_AND('Raw Data'!$L42, 256),"X","")</f>
        <v/>
      </c>
      <c r="U41" s="18" t="str">
        <f>IF(BITWISE_AND('Raw Data'!$L42, 64),"X","")</f>
        <v/>
      </c>
      <c r="V41" s="18" t="str">
        <f>IF(BITWISE_AND('Raw Data'!$L42, 2),"X","")</f>
        <v/>
      </c>
      <c r="W41" s="18" t="str">
        <f>IF(BITWISE_AND('Raw Data'!$L42, 1),"X","")</f>
        <v/>
      </c>
      <c r="X41" s="19" t="str">
        <f>IF(BITWISE_AND('Raw Data'!M42, 1),"Bat Voltage", IF(BITWISE_AND('Raw Data'!M42, 2), "Charge Current", IF(BITWISE_AND('Raw Data'!M42, 4),"Input Ilim", IF(BITWISE_AND('Raw Data'!M42, 8), "Input UV", "none"))))</f>
        <v>none</v>
      </c>
    </row>
    <row r="42" spans="1:24" x14ac:dyDescent="0.2">
      <c r="A42" s="15">
        <f>A41+TIME(0,0,'Raw Data'!B42)</f>
        <v>0</v>
      </c>
      <c r="B42" s="4">
        <f>'Raw Data'!C43*0.025</f>
        <v>0</v>
      </c>
      <c r="C42" s="4">
        <f t="shared" si="3"/>
        <v>0</v>
      </c>
      <c r="D42" s="4">
        <f>'Raw Data'!D43*0.025</f>
        <v>0</v>
      </c>
      <c r="E42" s="4">
        <f t="shared" si="4"/>
        <v>0</v>
      </c>
      <c r="F42" s="4">
        <f>'Raw Data'!E43*0.001648</f>
        <v>0</v>
      </c>
      <c r="G42" s="4">
        <f>'Raw Data'!F43*0.001648</f>
        <v>0</v>
      </c>
      <c r="H42" s="4">
        <f>'Raw Data'!G43*6*0.000128176</f>
        <v>0</v>
      </c>
      <c r="I42" s="4">
        <f>'Raw Data'!H43*0.000732435</f>
        <v>0</v>
      </c>
      <c r="J42" s="4">
        <f t="shared" si="0"/>
        <v>0</v>
      </c>
      <c r="K42" s="36">
        <f>IF(('Raw Data'!I43-16384)/32768&lt;0,0,('Raw Data'!I43-16384)/32768)</f>
        <v>0</v>
      </c>
      <c r="L42" s="4">
        <f>IF(('Raw Data'!J43-12010)/45.6=-263.377192982456,0,('Raw Data'!J43-12010)/45.6)</f>
        <v>0</v>
      </c>
      <c r="M42" s="16">
        <f>'Raw Data'!N43*2^-8</f>
        <v>0</v>
      </c>
      <c r="N42" s="16">
        <f>'Raw Data'!O43*2^-8</f>
        <v>0</v>
      </c>
      <c r="O42" s="17" t="str">
        <f>IF(BITWISE_AND('Raw Data'!$K43, 8192),"X","")</f>
        <v/>
      </c>
      <c r="P42" s="17" t="str">
        <f>IF(BITWISE_AND('Raw Data'!$K43, 2048),"X","")</f>
        <v/>
      </c>
      <c r="Q42" s="17" t="str">
        <f>IF(BITWISE_AND('Raw Data'!$K43, 64),"X","")</f>
        <v/>
      </c>
      <c r="R42" s="18" t="str">
        <f>IF(BITWISE_AND('Raw Data'!$L43, 1024),"X","")</f>
        <v/>
      </c>
      <c r="S42" s="18" t="str">
        <f>IF(BITWISE_AND('Raw Data'!$L43, 512),"X","")</f>
        <v/>
      </c>
      <c r="T42" s="18" t="str">
        <f>IF(BITWISE_AND('Raw Data'!$L43, 256),"X","")</f>
        <v/>
      </c>
      <c r="U42" s="18" t="str">
        <f>IF(BITWISE_AND('Raw Data'!$L43, 64),"X","")</f>
        <v/>
      </c>
      <c r="V42" s="18" t="str">
        <f>IF(BITWISE_AND('Raw Data'!$L43, 2),"X","")</f>
        <v/>
      </c>
      <c r="W42" s="18" t="str">
        <f>IF(BITWISE_AND('Raw Data'!$L43, 1),"X","")</f>
        <v/>
      </c>
      <c r="X42" s="19" t="str">
        <f>IF(BITWISE_AND('Raw Data'!M43, 1),"Bat Voltage", IF(BITWISE_AND('Raw Data'!M43, 2), "Charge Current", IF(BITWISE_AND('Raw Data'!M43, 4),"Input Ilim", IF(BITWISE_AND('Raw Data'!M43, 8), "Input UV", "none"))))</f>
        <v>none</v>
      </c>
    </row>
    <row r="43" spans="1:24" x14ac:dyDescent="0.2">
      <c r="A43" s="15">
        <f>A42+TIME(0,0,'Raw Data'!B43)</f>
        <v>0</v>
      </c>
      <c r="B43" s="4">
        <f>'Raw Data'!C44*0.025</f>
        <v>0</v>
      </c>
      <c r="C43" s="4">
        <f t="shared" si="3"/>
        <v>0</v>
      </c>
      <c r="D43" s="4">
        <f>'Raw Data'!D44*0.025</f>
        <v>0</v>
      </c>
      <c r="E43" s="4">
        <f t="shared" si="4"/>
        <v>0</v>
      </c>
      <c r="F43" s="4">
        <f>'Raw Data'!E44*0.001648</f>
        <v>0</v>
      </c>
      <c r="G43" s="4">
        <f>'Raw Data'!F44*0.001648</f>
        <v>0</v>
      </c>
      <c r="H43" s="4">
        <f>'Raw Data'!G44*6*0.000128176</f>
        <v>0</v>
      </c>
      <c r="I43" s="4">
        <f>'Raw Data'!H44*0.000732435</f>
        <v>0</v>
      </c>
      <c r="J43" s="4">
        <f t="shared" si="0"/>
        <v>0</v>
      </c>
      <c r="K43" s="36">
        <f>IF(('Raw Data'!I44-16384)/32768&lt;0,0,('Raw Data'!I44-16384)/32768)</f>
        <v>0</v>
      </c>
      <c r="L43" s="4">
        <f>IF(('Raw Data'!J44-12010)/45.6=-263.377192982456,0,('Raw Data'!J44-12010)/45.6)</f>
        <v>0</v>
      </c>
      <c r="M43" s="16">
        <f>'Raw Data'!N44*2^-8</f>
        <v>0</v>
      </c>
      <c r="N43" s="16">
        <f>'Raw Data'!O44*2^-8</f>
        <v>0</v>
      </c>
      <c r="O43" s="17" t="str">
        <f>IF(BITWISE_AND('Raw Data'!$K44, 8192),"X","")</f>
        <v/>
      </c>
      <c r="P43" s="17" t="str">
        <f>IF(BITWISE_AND('Raw Data'!$K44, 2048),"X","")</f>
        <v/>
      </c>
      <c r="Q43" s="17" t="str">
        <f>IF(BITWISE_AND('Raw Data'!$K44, 64),"X","")</f>
        <v/>
      </c>
      <c r="R43" s="18" t="str">
        <f>IF(BITWISE_AND('Raw Data'!$L44, 1024),"X","")</f>
        <v/>
      </c>
      <c r="S43" s="18" t="str">
        <f>IF(BITWISE_AND('Raw Data'!$L44, 512),"X","")</f>
        <v/>
      </c>
      <c r="T43" s="18" t="str">
        <f>IF(BITWISE_AND('Raw Data'!$L44, 256),"X","")</f>
        <v/>
      </c>
      <c r="U43" s="18" t="str">
        <f>IF(BITWISE_AND('Raw Data'!$L44, 64),"X","")</f>
        <v/>
      </c>
      <c r="V43" s="18" t="str">
        <f>IF(BITWISE_AND('Raw Data'!$L44, 2),"X","")</f>
        <v/>
      </c>
      <c r="W43" s="18" t="str">
        <f>IF(BITWISE_AND('Raw Data'!$L44, 1),"X","")</f>
        <v/>
      </c>
      <c r="X43" s="19" t="str">
        <f>IF(BITWISE_AND('Raw Data'!M44, 1),"Bat Voltage", IF(BITWISE_AND('Raw Data'!M44, 2), "Charge Current", IF(BITWISE_AND('Raw Data'!M44, 4),"Input Ilim", IF(BITWISE_AND('Raw Data'!M44, 8), "Input UV", "none"))))</f>
        <v>none</v>
      </c>
    </row>
    <row r="44" spans="1:24" x14ac:dyDescent="0.2">
      <c r="A44" s="15">
        <f>A43+TIME(0,0,'Raw Data'!B44)</f>
        <v>0</v>
      </c>
      <c r="B44" s="4">
        <f>'Raw Data'!C45*0.025</f>
        <v>0</v>
      </c>
      <c r="C44" s="4">
        <f t="shared" si="3"/>
        <v>0</v>
      </c>
      <c r="D44" s="4">
        <f>'Raw Data'!D45*0.025</f>
        <v>0</v>
      </c>
      <c r="E44" s="4">
        <f t="shared" si="4"/>
        <v>0</v>
      </c>
      <c r="F44" s="4">
        <f>'Raw Data'!E45*0.001648</f>
        <v>0</v>
      </c>
      <c r="G44" s="4">
        <f>'Raw Data'!F45*0.001648</f>
        <v>0</v>
      </c>
      <c r="H44" s="4">
        <f>'Raw Data'!G45*6*0.000128176</f>
        <v>0</v>
      </c>
      <c r="I44" s="4">
        <f>'Raw Data'!H45*0.000732435</f>
        <v>0</v>
      </c>
      <c r="J44" s="4">
        <f t="shared" si="0"/>
        <v>0</v>
      </c>
      <c r="K44" s="36">
        <f>IF(('Raw Data'!I45-16384)/32768&lt;0,0,('Raw Data'!I45-16384)/32768)</f>
        <v>0</v>
      </c>
      <c r="L44" s="4">
        <f>IF(('Raw Data'!J45-12010)/45.6=-263.377192982456,0,('Raw Data'!J45-12010)/45.6)</f>
        <v>0</v>
      </c>
      <c r="M44" s="16">
        <f>'Raw Data'!N45*2^-8</f>
        <v>0</v>
      </c>
      <c r="N44" s="16">
        <f>'Raw Data'!O45*2^-8</f>
        <v>0</v>
      </c>
      <c r="O44" s="17" t="str">
        <f>IF(BITWISE_AND('Raw Data'!$K45, 8192),"X","")</f>
        <v/>
      </c>
      <c r="P44" s="17" t="str">
        <f>IF(BITWISE_AND('Raw Data'!$K45, 2048),"X","")</f>
        <v/>
      </c>
      <c r="Q44" s="17" t="str">
        <f>IF(BITWISE_AND('Raw Data'!$K45, 64),"X","")</f>
        <v/>
      </c>
      <c r="R44" s="18" t="str">
        <f>IF(BITWISE_AND('Raw Data'!$L45, 1024),"X","")</f>
        <v/>
      </c>
      <c r="S44" s="18" t="str">
        <f>IF(BITWISE_AND('Raw Data'!$L45, 512),"X","")</f>
        <v/>
      </c>
      <c r="T44" s="18" t="str">
        <f>IF(BITWISE_AND('Raw Data'!$L45, 256),"X","")</f>
        <v/>
      </c>
      <c r="U44" s="18" t="str">
        <f>IF(BITWISE_AND('Raw Data'!$L45, 64),"X","")</f>
        <v/>
      </c>
      <c r="V44" s="18" t="str">
        <f>IF(BITWISE_AND('Raw Data'!$L45, 2),"X","")</f>
        <v/>
      </c>
      <c r="W44" s="18" t="str">
        <f>IF(BITWISE_AND('Raw Data'!$L45, 1),"X","")</f>
        <v/>
      </c>
      <c r="X44" s="19" t="str">
        <f>IF(BITWISE_AND('Raw Data'!M45, 1),"Bat Voltage", IF(BITWISE_AND('Raw Data'!M45, 2), "Charge Current", IF(BITWISE_AND('Raw Data'!M45, 4),"Input Ilim", IF(BITWISE_AND('Raw Data'!M45, 8), "Input UV", "none"))))</f>
        <v>none</v>
      </c>
    </row>
    <row r="45" spans="1:24" x14ac:dyDescent="0.2">
      <c r="A45" s="15">
        <f>A44+TIME(0,0,'Raw Data'!B45)</f>
        <v>0</v>
      </c>
      <c r="B45" s="4">
        <f>'Raw Data'!C46*0.025</f>
        <v>0</v>
      </c>
      <c r="C45" s="4">
        <f t="shared" si="3"/>
        <v>0</v>
      </c>
      <c r="D45" s="4">
        <f>'Raw Data'!D46*0.025</f>
        <v>0</v>
      </c>
      <c r="E45" s="4">
        <f t="shared" si="4"/>
        <v>0</v>
      </c>
      <c r="F45" s="4">
        <f>'Raw Data'!E46*0.001648</f>
        <v>0</v>
      </c>
      <c r="G45" s="4">
        <f>'Raw Data'!F46*0.001648</f>
        <v>0</v>
      </c>
      <c r="H45" s="4">
        <f>'Raw Data'!G46*6*0.000128176</f>
        <v>0</v>
      </c>
      <c r="I45" s="4">
        <f>'Raw Data'!H46*0.000732435</f>
        <v>0</v>
      </c>
      <c r="J45" s="4">
        <f t="shared" si="0"/>
        <v>0</v>
      </c>
      <c r="K45" s="36">
        <f>IF(('Raw Data'!I46-16384)/32768&lt;0,0,('Raw Data'!I46-16384)/32768)</f>
        <v>0</v>
      </c>
      <c r="L45" s="4">
        <f>IF(('Raw Data'!J46-12010)/45.6=-263.377192982456,0,('Raw Data'!J46-12010)/45.6)</f>
        <v>0</v>
      </c>
      <c r="M45" s="16">
        <f>'Raw Data'!N46*2^-8</f>
        <v>0</v>
      </c>
      <c r="N45" s="16">
        <f>'Raw Data'!O46*2^-8</f>
        <v>0</v>
      </c>
      <c r="O45" s="17" t="str">
        <f>IF(BITWISE_AND('Raw Data'!$K46, 8192),"X","")</f>
        <v/>
      </c>
      <c r="P45" s="17" t="str">
        <f>IF(BITWISE_AND('Raw Data'!$K46, 2048),"X","")</f>
        <v/>
      </c>
      <c r="Q45" s="17" t="str">
        <f>IF(BITWISE_AND('Raw Data'!$K46, 64),"X","")</f>
        <v/>
      </c>
      <c r="R45" s="18" t="str">
        <f>IF(BITWISE_AND('Raw Data'!$L46, 1024),"X","")</f>
        <v/>
      </c>
      <c r="S45" s="18" t="str">
        <f>IF(BITWISE_AND('Raw Data'!$L46, 512),"X","")</f>
        <v/>
      </c>
      <c r="T45" s="18" t="str">
        <f>IF(BITWISE_AND('Raw Data'!$L46, 256),"X","")</f>
        <v/>
      </c>
      <c r="U45" s="18" t="str">
        <f>IF(BITWISE_AND('Raw Data'!$L46, 64),"X","")</f>
        <v/>
      </c>
      <c r="V45" s="18" t="str">
        <f>IF(BITWISE_AND('Raw Data'!$L46, 2),"X","")</f>
        <v/>
      </c>
      <c r="W45" s="18" t="str">
        <f>IF(BITWISE_AND('Raw Data'!$L46, 1),"X","")</f>
        <v/>
      </c>
      <c r="X45" s="19" t="str">
        <f>IF(BITWISE_AND('Raw Data'!M46, 1),"Bat Voltage", IF(BITWISE_AND('Raw Data'!M46, 2), "Charge Current", IF(BITWISE_AND('Raw Data'!M46, 4),"Input Ilim", IF(BITWISE_AND('Raw Data'!M46, 8), "Input UV", "none"))))</f>
        <v>none</v>
      </c>
    </row>
    <row r="46" spans="1:24" x14ac:dyDescent="0.2">
      <c r="A46" s="15">
        <f>A45+TIME(0,0,'Raw Data'!B46)</f>
        <v>0</v>
      </c>
      <c r="B46" s="4">
        <f>'Raw Data'!C47*0.025</f>
        <v>0</v>
      </c>
      <c r="C46" s="4">
        <f t="shared" si="3"/>
        <v>0</v>
      </c>
      <c r="D46" s="4">
        <f>'Raw Data'!D47*0.025</f>
        <v>0</v>
      </c>
      <c r="E46" s="4">
        <f t="shared" si="4"/>
        <v>0</v>
      </c>
      <c r="F46" s="4">
        <f>'Raw Data'!E47*0.001648</f>
        <v>0</v>
      </c>
      <c r="G46" s="4">
        <f>'Raw Data'!F47*0.001648</f>
        <v>0</v>
      </c>
      <c r="H46" s="4">
        <f>'Raw Data'!G47*6*0.000128176</f>
        <v>0</v>
      </c>
      <c r="I46" s="4">
        <f>'Raw Data'!H47*0.000732435</f>
        <v>0</v>
      </c>
      <c r="J46" s="4">
        <f t="shared" si="0"/>
        <v>0</v>
      </c>
      <c r="K46" s="36">
        <f>IF(('Raw Data'!I47-16384)/32768&lt;0,0,('Raw Data'!I47-16384)/32768)</f>
        <v>0</v>
      </c>
      <c r="L46" s="4">
        <f>IF(('Raw Data'!J47-12010)/45.6=-263.377192982456,0,('Raw Data'!J47-12010)/45.6)</f>
        <v>0</v>
      </c>
      <c r="M46" s="16">
        <f>'Raw Data'!N47*2^-8</f>
        <v>0</v>
      </c>
      <c r="N46" s="16">
        <f>'Raw Data'!O47*2^-8</f>
        <v>0</v>
      </c>
      <c r="O46" s="17" t="str">
        <f>IF(BITWISE_AND('Raw Data'!$K47, 8192),"X","")</f>
        <v/>
      </c>
      <c r="P46" s="17" t="str">
        <f>IF(BITWISE_AND('Raw Data'!$K47, 2048),"X","")</f>
        <v/>
      </c>
      <c r="Q46" s="17" t="str">
        <f>IF(BITWISE_AND('Raw Data'!$K47, 64),"X","")</f>
        <v/>
      </c>
      <c r="R46" s="18" t="str">
        <f>IF(BITWISE_AND('Raw Data'!$L47, 1024),"X","")</f>
        <v/>
      </c>
      <c r="S46" s="18" t="str">
        <f>IF(BITWISE_AND('Raw Data'!$L47, 512),"X","")</f>
        <v/>
      </c>
      <c r="T46" s="18" t="str">
        <f>IF(BITWISE_AND('Raw Data'!$L47, 256),"X","")</f>
        <v/>
      </c>
      <c r="U46" s="18" t="str">
        <f>IF(BITWISE_AND('Raw Data'!$L47, 64),"X","")</f>
        <v/>
      </c>
      <c r="V46" s="18" t="str">
        <f>IF(BITWISE_AND('Raw Data'!$L47, 2),"X","")</f>
        <v/>
      </c>
      <c r="W46" s="18" t="str">
        <f>IF(BITWISE_AND('Raw Data'!$L47, 1),"X","")</f>
        <v/>
      </c>
      <c r="X46" s="19" t="str">
        <f>IF(BITWISE_AND('Raw Data'!M47, 1),"Bat Voltage", IF(BITWISE_AND('Raw Data'!M47, 2), "Charge Current", IF(BITWISE_AND('Raw Data'!M47, 4),"Input Ilim", IF(BITWISE_AND('Raw Data'!M47, 8), "Input UV", "none"))))</f>
        <v>none</v>
      </c>
    </row>
    <row r="47" spans="1:24" x14ac:dyDescent="0.2">
      <c r="A47" s="15">
        <f>A46+TIME(0,0,'Raw Data'!B47)</f>
        <v>0</v>
      </c>
      <c r="B47" s="4">
        <f>'Raw Data'!C48*0.025</f>
        <v>0</v>
      </c>
      <c r="C47" s="4">
        <f t="shared" si="3"/>
        <v>0</v>
      </c>
      <c r="D47" s="4">
        <f>'Raw Data'!D48*0.025</f>
        <v>0</v>
      </c>
      <c r="E47" s="4">
        <f t="shared" si="4"/>
        <v>0</v>
      </c>
      <c r="F47" s="4">
        <f>'Raw Data'!E48*0.001648</f>
        <v>0</v>
      </c>
      <c r="G47" s="4">
        <f>'Raw Data'!F48*0.001648</f>
        <v>0</v>
      </c>
      <c r="H47" s="4">
        <f>'Raw Data'!G48*6*0.000128176</f>
        <v>0</v>
      </c>
      <c r="I47" s="4">
        <f>'Raw Data'!H48*0.000732435</f>
        <v>0</v>
      </c>
      <c r="J47" s="4">
        <f t="shared" si="0"/>
        <v>0</v>
      </c>
      <c r="K47" s="36">
        <f>IF(('Raw Data'!I48-16384)/32768&lt;0,0,('Raw Data'!I48-16384)/32768)</f>
        <v>0</v>
      </c>
      <c r="L47" s="4">
        <f>IF(('Raw Data'!J48-12010)/45.6=-263.377192982456,0,('Raw Data'!J48-12010)/45.6)</f>
        <v>0</v>
      </c>
      <c r="M47" s="16">
        <f>'Raw Data'!N48*2^-8</f>
        <v>0</v>
      </c>
      <c r="N47" s="16">
        <f>'Raw Data'!O48*2^-8</f>
        <v>0</v>
      </c>
      <c r="O47" s="17" t="str">
        <f>IF(BITWISE_AND('Raw Data'!$K48, 8192),"X","")</f>
        <v/>
      </c>
      <c r="P47" s="17" t="str">
        <f>IF(BITWISE_AND('Raw Data'!$K48, 2048),"X","")</f>
        <v/>
      </c>
      <c r="Q47" s="17" t="str">
        <f>IF(BITWISE_AND('Raw Data'!$K48, 64),"X","")</f>
        <v/>
      </c>
      <c r="R47" s="18" t="str">
        <f>IF(BITWISE_AND('Raw Data'!$L48, 1024),"X","")</f>
        <v/>
      </c>
      <c r="S47" s="18" t="str">
        <f>IF(BITWISE_AND('Raw Data'!$L48, 512),"X","")</f>
        <v/>
      </c>
      <c r="T47" s="18" t="str">
        <f>IF(BITWISE_AND('Raw Data'!$L48, 256),"X","")</f>
        <v/>
      </c>
      <c r="U47" s="18" t="str">
        <f>IF(BITWISE_AND('Raw Data'!$L48, 64),"X","")</f>
        <v/>
      </c>
      <c r="V47" s="18" t="str">
        <f>IF(BITWISE_AND('Raw Data'!$L48, 2),"X","")</f>
        <v/>
      </c>
      <c r="W47" s="18" t="str">
        <f>IF(BITWISE_AND('Raw Data'!$L48, 1),"X","")</f>
        <v/>
      </c>
      <c r="X47" s="19" t="str">
        <f>IF(BITWISE_AND('Raw Data'!M48, 1),"Bat Voltage", IF(BITWISE_AND('Raw Data'!M48, 2), "Charge Current", IF(BITWISE_AND('Raw Data'!M48, 4),"Input Ilim", IF(BITWISE_AND('Raw Data'!M48, 8), "Input UV", "none"))))</f>
        <v>none</v>
      </c>
    </row>
    <row r="48" spans="1:24" x14ac:dyDescent="0.2">
      <c r="A48" s="15">
        <f>A47+TIME(0,0,'Raw Data'!B48)</f>
        <v>0</v>
      </c>
      <c r="B48" s="4">
        <f>'Raw Data'!C49*0.025</f>
        <v>0</v>
      </c>
      <c r="C48" s="4">
        <f t="shared" si="3"/>
        <v>0</v>
      </c>
      <c r="D48" s="4">
        <f>'Raw Data'!D49*0.025</f>
        <v>0</v>
      </c>
      <c r="E48" s="4">
        <f t="shared" si="4"/>
        <v>0</v>
      </c>
      <c r="F48" s="4">
        <f>'Raw Data'!E49*0.001648</f>
        <v>0</v>
      </c>
      <c r="G48" s="4">
        <f>'Raw Data'!F49*0.001648</f>
        <v>0</v>
      </c>
      <c r="H48" s="4">
        <f>'Raw Data'!G49*6*0.000128176</f>
        <v>0</v>
      </c>
      <c r="I48" s="4">
        <f>'Raw Data'!H49*0.000732435</f>
        <v>0</v>
      </c>
      <c r="J48" s="4">
        <f t="shared" si="0"/>
        <v>0</v>
      </c>
      <c r="K48" s="36">
        <f>IF(('Raw Data'!I49-16384)/32768&lt;0,0,('Raw Data'!I49-16384)/32768)</f>
        <v>0</v>
      </c>
      <c r="L48" s="4">
        <f>IF(('Raw Data'!J49-12010)/45.6=-263.377192982456,0,('Raw Data'!J49-12010)/45.6)</f>
        <v>0</v>
      </c>
      <c r="M48" s="16">
        <f>'Raw Data'!N49*2^-8</f>
        <v>0</v>
      </c>
      <c r="N48" s="16">
        <f>'Raw Data'!O49*2^-8</f>
        <v>0</v>
      </c>
      <c r="O48" s="17" t="str">
        <f>IF(BITWISE_AND('Raw Data'!$K49, 8192),"X","")</f>
        <v/>
      </c>
      <c r="P48" s="17" t="str">
        <f>IF(BITWISE_AND('Raw Data'!$K49, 2048),"X","")</f>
        <v/>
      </c>
      <c r="Q48" s="17" t="str">
        <f>IF(BITWISE_AND('Raw Data'!$K49, 64),"X","")</f>
        <v/>
      </c>
      <c r="R48" s="18" t="str">
        <f>IF(BITWISE_AND('Raw Data'!$L49, 1024),"X","")</f>
        <v/>
      </c>
      <c r="S48" s="18" t="str">
        <f>IF(BITWISE_AND('Raw Data'!$L49, 512),"X","")</f>
        <v/>
      </c>
      <c r="T48" s="18" t="str">
        <f>IF(BITWISE_AND('Raw Data'!$L49, 256),"X","")</f>
        <v/>
      </c>
      <c r="U48" s="18" t="str">
        <f>IF(BITWISE_AND('Raw Data'!$L49, 64),"X","")</f>
        <v/>
      </c>
      <c r="V48" s="18" t="str">
        <f>IF(BITWISE_AND('Raw Data'!$L49, 2),"X","")</f>
        <v/>
      </c>
      <c r="W48" s="18" t="str">
        <f>IF(BITWISE_AND('Raw Data'!$L49, 1),"X","")</f>
        <v/>
      </c>
      <c r="X48" s="19" t="str">
        <f>IF(BITWISE_AND('Raw Data'!M49, 1),"Bat Voltage", IF(BITWISE_AND('Raw Data'!M49, 2), "Charge Current", IF(BITWISE_AND('Raw Data'!M49, 4),"Input Ilim", IF(BITWISE_AND('Raw Data'!M49, 8), "Input UV", "none"))))</f>
        <v>none</v>
      </c>
    </row>
    <row r="49" spans="1:24" x14ac:dyDescent="0.2">
      <c r="A49" s="15">
        <f>A48+TIME(0,0,'Raw Data'!B49)</f>
        <v>0</v>
      </c>
      <c r="B49" s="4">
        <f>'Raw Data'!C50*0.025</f>
        <v>0</v>
      </c>
      <c r="C49" s="4">
        <f t="shared" si="3"/>
        <v>0</v>
      </c>
      <c r="D49" s="4">
        <f>'Raw Data'!D50*0.025</f>
        <v>0</v>
      </c>
      <c r="E49" s="4">
        <f t="shared" si="4"/>
        <v>0</v>
      </c>
      <c r="F49" s="4">
        <f>'Raw Data'!E50*0.001648</f>
        <v>0</v>
      </c>
      <c r="G49" s="4">
        <f>'Raw Data'!F50*0.001648</f>
        <v>0</v>
      </c>
      <c r="H49" s="4">
        <f>'Raw Data'!G50*6*0.000128176</f>
        <v>0</v>
      </c>
      <c r="I49" s="4">
        <f>'Raw Data'!H50*0.000732435</f>
        <v>0</v>
      </c>
      <c r="J49" s="4">
        <f t="shared" si="0"/>
        <v>0</v>
      </c>
      <c r="K49" s="36">
        <f>IF(('Raw Data'!I50-16384)/32768&lt;0,0,('Raw Data'!I50-16384)/32768)</f>
        <v>0</v>
      </c>
      <c r="L49" s="4">
        <f>IF(('Raw Data'!J50-12010)/45.6=-263.377192982456,0,('Raw Data'!J50-12010)/45.6)</f>
        <v>0</v>
      </c>
      <c r="M49" s="16">
        <f>'Raw Data'!N50*2^-8</f>
        <v>0</v>
      </c>
      <c r="N49" s="16">
        <f>'Raw Data'!O50*2^-8</f>
        <v>0</v>
      </c>
      <c r="O49" s="17" t="str">
        <f>IF(BITWISE_AND('Raw Data'!$K50, 8192),"X","")</f>
        <v/>
      </c>
      <c r="P49" s="17" t="str">
        <f>IF(BITWISE_AND('Raw Data'!$K50, 2048),"X","")</f>
        <v/>
      </c>
      <c r="Q49" s="17" t="str">
        <f>IF(BITWISE_AND('Raw Data'!$K50, 64),"X","")</f>
        <v/>
      </c>
      <c r="R49" s="18" t="str">
        <f>IF(BITWISE_AND('Raw Data'!$L50, 1024),"X","")</f>
        <v/>
      </c>
      <c r="S49" s="18" t="str">
        <f>IF(BITWISE_AND('Raw Data'!$L50, 512),"X","")</f>
        <v/>
      </c>
      <c r="T49" s="18" t="str">
        <f>IF(BITWISE_AND('Raw Data'!$L50, 256),"X","")</f>
        <v/>
      </c>
      <c r="U49" s="18" t="str">
        <f>IF(BITWISE_AND('Raw Data'!$L50, 64),"X","")</f>
        <v/>
      </c>
      <c r="V49" s="18" t="str">
        <f>IF(BITWISE_AND('Raw Data'!$L50, 2),"X","")</f>
        <v/>
      </c>
      <c r="W49" s="18" t="str">
        <f>IF(BITWISE_AND('Raw Data'!$L50, 1),"X","")</f>
        <v/>
      </c>
      <c r="X49" s="19" t="str">
        <f>IF(BITWISE_AND('Raw Data'!M50, 1),"Bat Voltage", IF(BITWISE_AND('Raw Data'!M50, 2), "Charge Current", IF(BITWISE_AND('Raw Data'!M50, 4),"Input Ilim", IF(BITWISE_AND('Raw Data'!M50, 8), "Input UV", "none"))))</f>
        <v>none</v>
      </c>
    </row>
    <row r="50" spans="1:24" x14ac:dyDescent="0.2">
      <c r="A50" s="15">
        <f>A49+TIME(0,0,'Raw Data'!B50)</f>
        <v>0</v>
      </c>
      <c r="B50" s="4">
        <f>'Raw Data'!C51*0.025</f>
        <v>0</v>
      </c>
      <c r="C50" s="4">
        <f t="shared" si="3"/>
        <v>0</v>
      </c>
      <c r="D50" s="4">
        <f>'Raw Data'!D51*0.025</f>
        <v>0</v>
      </c>
      <c r="E50" s="4">
        <f t="shared" si="4"/>
        <v>0</v>
      </c>
      <c r="F50" s="4">
        <f>'Raw Data'!E51*0.001648</f>
        <v>0</v>
      </c>
      <c r="G50" s="4">
        <f>'Raw Data'!F51*0.001648</f>
        <v>0</v>
      </c>
      <c r="H50" s="4">
        <f>'Raw Data'!G51*6*0.000128176</f>
        <v>0</v>
      </c>
      <c r="I50" s="4">
        <f>'Raw Data'!H51*0.000732435</f>
        <v>0</v>
      </c>
      <c r="J50" s="4">
        <f t="shared" si="0"/>
        <v>0</v>
      </c>
      <c r="K50" s="36">
        <f>IF(('Raw Data'!I51-16384)/32768&lt;0,0,('Raw Data'!I51-16384)/32768)</f>
        <v>0</v>
      </c>
      <c r="L50" s="4">
        <f>IF(('Raw Data'!J51-12010)/45.6=-263.377192982456,0,('Raw Data'!J51-12010)/45.6)</f>
        <v>0</v>
      </c>
      <c r="M50" s="16">
        <f>'Raw Data'!N51*2^-8</f>
        <v>0</v>
      </c>
      <c r="N50" s="16">
        <f>'Raw Data'!O51*2^-8</f>
        <v>0</v>
      </c>
      <c r="O50" s="17" t="str">
        <f>IF(BITWISE_AND('Raw Data'!$K51, 8192),"X","")</f>
        <v/>
      </c>
      <c r="P50" s="17" t="str">
        <f>IF(BITWISE_AND('Raw Data'!$K51, 2048),"X","")</f>
        <v/>
      </c>
      <c r="Q50" s="17" t="str">
        <f>IF(BITWISE_AND('Raw Data'!$K51, 64),"X","")</f>
        <v/>
      </c>
      <c r="R50" s="18" t="str">
        <f>IF(BITWISE_AND('Raw Data'!$L51, 1024),"X","")</f>
        <v/>
      </c>
      <c r="S50" s="18" t="str">
        <f>IF(BITWISE_AND('Raw Data'!$L51, 512),"X","")</f>
        <v/>
      </c>
      <c r="T50" s="18" t="str">
        <f>IF(BITWISE_AND('Raw Data'!$L51, 256),"X","")</f>
        <v/>
      </c>
      <c r="U50" s="18" t="str">
        <f>IF(BITWISE_AND('Raw Data'!$L51, 64),"X","")</f>
        <v/>
      </c>
      <c r="V50" s="18" t="str">
        <f>IF(BITWISE_AND('Raw Data'!$L51, 2),"X","")</f>
        <v/>
      </c>
      <c r="W50" s="18" t="str">
        <f>IF(BITWISE_AND('Raw Data'!$L51, 1),"X","")</f>
        <v/>
      </c>
      <c r="X50" s="19" t="str">
        <f>IF(BITWISE_AND('Raw Data'!M51, 1),"Bat Voltage", IF(BITWISE_AND('Raw Data'!M51, 2), "Charge Current", IF(BITWISE_AND('Raw Data'!M51, 4),"Input Ilim", IF(BITWISE_AND('Raw Data'!M51, 8), "Input UV", "none"))))</f>
        <v>none</v>
      </c>
    </row>
    <row r="51" spans="1:24" x14ac:dyDescent="0.2">
      <c r="A51" s="15">
        <f>A50+TIME(0,0,'Raw Data'!B51)</f>
        <v>0</v>
      </c>
      <c r="B51" s="4">
        <f>'Raw Data'!C52*0.025</f>
        <v>0</v>
      </c>
      <c r="C51" s="4">
        <f t="shared" si="3"/>
        <v>0</v>
      </c>
      <c r="D51" s="4">
        <f>'Raw Data'!D52*0.025</f>
        <v>0</v>
      </c>
      <c r="E51" s="4">
        <f t="shared" si="4"/>
        <v>0</v>
      </c>
      <c r="F51" s="4">
        <f>'Raw Data'!E52*0.001648</f>
        <v>0</v>
      </c>
      <c r="G51" s="4">
        <f>'Raw Data'!F52*0.001648</f>
        <v>0</v>
      </c>
      <c r="H51" s="4">
        <f>'Raw Data'!G52*6*0.000128176</f>
        <v>0</v>
      </c>
      <c r="I51" s="4">
        <f>'Raw Data'!H52*0.000732435</f>
        <v>0</v>
      </c>
      <c r="J51" s="4">
        <f t="shared" si="0"/>
        <v>0</v>
      </c>
      <c r="K51" s="36">
        <f>IF(('Raw Data'!I52-16384)/32768&lt;0,0,('Raw Data'!I52-16384)/32768)</f>
        <v>0</v>
      </c>
      <c r="L51" s="4">
        <f>IF(('Raw Data'!J52-12010)/45.6=-263.377192982456,0,('Raw Data'!J52-12010)/45.6)</f>
        <v>0</v>
      </c>
      <c r="M51" s="16">
        <f>'Raw Data'!N52*2^-8</f>
        <v>0</v>
      </c>
      <c r="N51" s="16">
        <f>'Raw Data'!O52*2^-8</f>
        <v>0</v>
      </c>
      <c r="O51" s="17" t="str">
        <f>IF(BITWISE_AND('Raw Data'!$K52, 8192),"X","")</f>
        <v/>
      </c>
      <c r="P51" s="17" t="str">
        <f>IF(BITWISE_AND('Raw Data'!$K52, 2048),"X","")</f>
        <v/>
      </c>
      <c r="Q51" s="17" t="str">
        <f>IF(BITWISE_AND('Raw Data'!$K52, 64),"X","")</f>
        <v/>
      </c>
      <c r="R51" s="18" t="str">
        <f>IF(BITWISE_AND('Raw Data'!$L52, 1024),"X","")</f>
        <v/>
      </c>
      <c r="S51" s="18" t="str">
        <f>IF(BITWISE_AND('Raw Data'!$L52, 512),"X","")</f>
        <v/>
      </c>
      <c r="T51" s="18" t="str">
        <f>IF(BITWISE_AND('Raw Data'!$L52, 256),"X","")</f>
        <v/>
      </c>
      <c r="U51" s="18" t="str">
        <f>IF(BITWISE_AND('Raw Data'!$L52, 64),"X","")</f>
        <v/>
      </c>
      <c r="V51" s="18" t="str">
        <f>IF(BITWISE_AND('Raw Data'!$L52, 2),"X","")</f>
        <v/>
      </c>
      <c r="W51" s="18" t="str">
        <f>IF(BITWISE_AND('Raw Data'!$L52, 1),"X","")</f>
        <v/>
      </c>
      <c r="X51" s="19" t="str">
        <f>IF(BITWISE_AND('Raw Data'!M52, 1),"Bat Voltage", IF(BITWISE_AND('Raw Data'!M52, 2), "Charge Current", IF(BITWISE_AND('Raw Data'!M52, 4),"Input Ilim", IF(BITWISE_AND('Raw Data'!M52, 8), "Input UV", "none"))))</f>
        <v>none</v>
      </c>
    </row>
    <row r="52" spans="1:24" x14ac:dyDescent="0.2">
      <c r="A52" s="15">
        <f>A51+TIME(0,0,'Raw Data'!B52)</f>
        <v>0</v>
      </c>
      <c r="B52" s="4">
        <f>'Raw Data'!C53*0.025</f>
        <v>0</v>
      </c>
      <c r="C52" s="4">
        <f t="shared" si="3"/>
        <v>0</v>
      </c>
      <c r="D52" s="4">
        <f>'Raw Data'!D53*0.025</f>
        <v>0</v>
      </c>
      <c r="E52" s="4">
        <f t="shared" si="4"/>
        <v>0</v>
      </c>
      <c r="F52" s="4">
        <f>'Raw Data'!E53*0.001648</f>
        <v>0</v>
      </c>
      <c r="G52" s="4">
        <f>'Raw Data'!F53*0.001648</f>
        <v>0</v>
      </c>
      <c r="H52" s="4">
        <f>'Raw Data'!G53*6*0.000128176</f>
        <v>0</v>
      </c>
      <c r="I52" s="4">
        <f>'Raw Data'!H53*0.000732435</f>
        <v>0</v>
      </c>
      <c r="J52" s="4">
        <f t="shared" si="0"/>
        <v>0</v>
      </c>
      <c r="K52" s="36">
        <f>IF(('Raw Data'!I53-16384)/32768&lt;0,0,('Raw Data'!I53-16384)/32768)</f>
        <v>0</v>
      </c>
      <c r="L52" s="4">
        <f>IF(('Raw Data'!J53-12010)/45.6=-263.377192982456,0,('Raw Data'!J53-12010)/45.6)</f>
        <v>0</v>
      </c>
      <c r="M52" s="16">
        <f>'Raw Data'!N53*2^-8</f>
        <v>0</v>
      </c>
      <c r="N52" s="16">
        <f>'Raw Data'!O53*2^-8</f>
        <v>0</v>
      </c>
      <c r="O52" s="17" t="str">
        <f>IF(BITWISE_AND('Raw Data'!$K53, 8192),"X","")</f>
        <v/>
      </c>
      <c r="P52" s="17" t="str">
        <f>IF(BITWISE_AND('Raw Data'!$K53, 2048),"X","")</f>
        <v/>
      </c>
      <c r="Q52" s="17" t="str">
        <f>IF(BITWISE_AND('Raw Data'!$K53, 64),"X","")</f>
        <v/>
      </c>
      <c r="R52" s="18" t="str">
        <f>IF(BITWISE_AND('Raw Data'!$L53, 1024),"X","")</f>
        <v/>
      </c>
      <c r="S52" s="18" t="str">
        <f>IF(BITWISE_AND('Raw Data'!$L53, 512),"X","")</f>
        <v/>
      </c>
      <c r="T52" s="18" t="str">
        <f>IF(BITWISE_AND('Raw Data'!$L53, 256),"X","")</f>
        <v/>
      </c>
      <c r="U52" s="18" t="str">
        <f>IF(BITWISE_AND('Raw Data'!$L53, 64),"X","")</f>
        <v/>
      </c>
      <c r="V52" s="18" t="str">
        <f>IF(BITWISE_AND('Raw Data'!$L53, 2),"X","")</f>
        <v/>
      </c>
      <c r="W52" s="18" t="str">
        <f>IF(BITWISE_AND('Raw Data'!$L53, 1),"X","")</f>
        <v/>
      </c>
      <c r="X52" s="19" t="str">
        <f>IF(BITWISE_AND('Raw Data'!M53, 1),"Bat Voltage", IF(BITWISE_AND('Raw Data'!M53, 2), "Charge Current", IF(BITWISE_AND('Raw Data'!M53, 4),"Input Ilim", IF(BITWISE_AND('Raw Data'!M53, 8), "Input UV", "none"))))</f>
        <v>none</v>
      </c>
    </row>
    <row r="53" spans="1:24" x14ac:dyDescent="0.2">
      <c r="A53" s="15">
        <f>A52+TIME(0,0,'Raw Data'!B53)</f>
        <v>0</v>
      </c>
      <c r="B53" s="4">
        <f>'Raw Data'!C54*0.025</f>
        <v>0</v>
      </c>
      <c r="C53" s="4">
        <f t="shared" si="3"/>
        <v>0</v>
      </c>
      <c r="D53" s="4">
        <f>'Raw Data'!D54*0.025</f>
        <v>0</v>
      </c>
      <c r="E53" s="4">
        <f t="shared" si="4"/>
        <v>0</v>
      </c>
      <c r="F53" s="4">
        <f>'Raw Data'!E54*0.001648</f>
        <v>0</v>
      </c>
      <c r="G53" s="4">
        <f>'Raw Data'!F54*0.001648</f>
        <v>0</v>
      </c>
      <c r="H53" s="4">
        <f>'Raw Data'!G54*6*0.000128176</f>
        <v>0</v>
      </c>
      <c r="I53" s="4">
        <f>'Raw Data'!H54*0.000732435</f>
        <v>0</v>
      </c>
      <c r="J53" s="4">
        <f t="shared" si="0"/>
        <v>0</v>
      </c>
      <c r="K53" s="36">
        <f>IF(('Raw Data'!I54-16384)/32768&lt;0,0,('Raw Data'!I54-16384)/32768)</f>
        <v>0</v>
      </c>
      <c r="L53" s="4">
        <f>IF(('Raw Data'!J54-12010)/45.6=-263.377192982456,0,('Raw Data'!J54-12010)/45.6)</f>
        <v>0</v>
      </c>
      <c r="M53" s="16">
        <f>'Raw Data'!N54*2^-8</f>
        <v>0</v>
      </c>
      <c r="N53" s="16">
        <f>'Raw Data'!O54*2^-8</f>
        <v>0</v>
      </c>
      <c r="O53" s="17" t="str">
        <f>IF(BITWISE_AND('Raw Data'!$K54, 8192),"X","")</f>
        <v/>
      </c>
      <c r="P53" s="17" t="str">
        <f>IF(BITWISE_AND('Raw Data'!$K54, 2048),"X","")</f>
        <v/>
      </c>
      <c r="Q53" s="17" t="str">
        <f>IF(BITWISE_AND('Raw Data'!$K54, 64),"X","")</f>
        <v/>
      </c>
      <c r="R53" s="18" t="str">
        <f>IF(BITWISE_AND('Raw Data'!$L54, 1024),"X","")</f>
        <v/>
      </c>
      <c r="S53" s="18" t="str">
        <f>IF(BITWISE_AND('Raw Data'!$L54, 512),"X","")</f>
        <v/>
      </c>
      <c r="T53" s="18" t="str">
        <f>IF(BITWISE_AND('Raw Data'!$L54, 256),"X","")</f>
        <v/>
      </c>
      <c r="U53" s="18" t="str">
        <f>IF(BITWISE_AND('Raw Data'!$L54, 64),"X","")</f>
        <v/>
      </c>
      <c r="V53" s="18" t="str">
        <f>IF(BITWISE_AND('Raw Data'!$L54, 2),"X","")</f>
        <v/>
      </c>
      <c r="W53" s="18" t="str">
        <f>IF(BITWISE_AND('Raw Data'!$L54, 1),"X","")</f>
        <v/>
      </c>
      <c r="X53" s="19" t="str">
        <f>IF(BITWISE_AND('Raw Data'!M54, 1),"Bat Voltage", IF(BITWISE_AND('Raw Data'!M54, 2), "Charge Current", IF(BITWISE_AND('Raw Data'!M54, 4),"Input Ilim", IF(BITWISE_AND('Raw Data'!M54, 8), "Input UV", "none"))))</f>
        <v>none</v>
      </c>
    </row>
    <row r="54" spans="1:24" x14ac:dyDescent="0.2">
      <c r="A54" s="15">
        <f>A53+TIME(0,0,'Raw Data'!B54)</f>
        <v>0</v>
      </c>
      <c r="B54" s="4">
        <f>'Raw Data'!C55*0.025</f>
        <v>0</v>
      </c>
      <c r="C54" s="4">
        <f t="shared" si="3"/>
        <v>0</v>
      </c>
      <c r="D54" s="4">
        <f>'Raw Data'!D55*0.025</f>
        <v>0</v>
      </c>
      <c r="E54" s="4">
        <f t="shared" si="4"/>
        <v>0</v>
      </c>
      <c r="F54" s="4">
        <f>'Raw Data'!E55*0.001648</f>
        <v>0</v>
      </c>
      <c r="G54" s="4">
        <f>'Raw Data'!F55*0.001648</f>
        <v>0</v>
      </c>
      <c r="H54" s="4">
        <f>'Raw Data'!G55*6*0.000128176</f>
        <v>0</v>
      </c>
      <c r="I54" s="4">
        <f>'Raw Data'!H55*0.000732435</f>
        <v>0</v>
      </c>
      <c r="J54" s="4">
        <f t="shared" si="0"/>
        <v>0</v>
      </c>
      <c r="K54" s="36">
        <f>IF(('Raw Data'!I55-16384)/32768&lt;0,0,('Raw Data'!I55-16384)/32768)</f>
        <v>0</v>
      </c>
      <c r="L54" s="4">
        <f>IF(('Raw Data'!J55-12010)/45.6=-263.377192982456,0,('Raw Data'!J55-12010)/45.6)</f>
        <v>0</v>
      </c>
      <c r="M54" s="16">
        <f>'Raw Data'!N55*2^-8</f>
        <v>0</v>
      </c>
      <c r="N54" s="16">
        <f>'Raw Data'!O55*2^-8</f>
        <v>0</v>
      </c>
      <c r="O54" s="17" t="str">
        <f>IF(BITWISE_AND('Raw Data'!$K55, 8192),"X","")</f>
        <v/>
      </c>
      <c r="P54" s="17" t="str">
        <f>IF(BITWISE_AND('Raw Data'!$K55, 2048),"X","")</f>
        <v/>
      </c>
      <c r="Q54" s="17" t="str">
        <f>IF(BITWISE_AND('Raw Data'!$K55, 64),"X","")</f>
        <v/>
      </c>
      <c r="R54" s="18" t="str">
        <f>IF(BITWISE_AND('Raw Data'!$L55, 1024),"X","")</f>
        <v/>
      </c>
      <c r="S54" s="18" t="str">
        <f>IF(BITWISE_AND('Raw Data'!$L55, 512),"X","")</f>
        <v/>
      </c>
      <c r="T54" s="18" t="str">
        <f>IF(BITWISE_AND('Raw Data'!$L55, 256),"X","")</f>
        <v/>
      </c>
      <c r="U54" s="18" t="str">
        <f>IF(BITWISE_AND('Raw Data'!$L55, 64),"X","")</f>
        <v/>
      </c>
      <c r="V54" s="18" t="str">
        <f>IF(BITWISE_AND('Raw Data'!$L55, 2),"X","")</f>
        <v/>
      </c>
      <c r="W54" s="18" t="str">
        <f>IF(BITWISE_AND('Raw Data'!$L55, 1),"X","")</f>
        <v/>
      </c>
      <c r="X54" s="19" t="str">
        <f>IF(BITWISE_AND('Raw Data'!M55, 1),"Bat Voltage", IF(BITWISE_AND('Raw Data'!M55, 2), "Charge Current", IF(BITWISE_AND('Raw Data'!M55, 4),"Input Ilim", IF(BITWISE_AND('Raw Data'!M55, 8), "Input UV", "none"))))</f>
        <v>none</v>
      </c>
    </row>
    <row r="55" spans="1:24" x14ac:dyDescent="0.2">
      <c r="A55" s="15">
        <f>A54+TIME(0,0,'Raw Data'!B55)</f>
        <v>0</v>
      </c>
      <c r="B55" s="4">
        <f>'Raw Data'!C56*0.025</f>
        <v>0</v>
      </c>
      <c r="C55" s="4">
        <f t="shared" si="3"/>
        <v>0</v>
      </c>
      <c r="D55" s="4">
        <f>'Raw Data'!D56*0.025</f>
        <v>0</v>
      </c>
      <c r="E55" s="4">
        <f t="shared" si="4"/>
        <v>0</v>
      </c>
      <c r="F55" s="4">
        <f>'Raw Data'!E56*0.001648</f>
        <v>0</v>
      </c>
      <c r="G55" s="4">
        <f>'Raw Data'!F56*0.001648</f>
        <v>0</v>
      </c>
      <c r="H55" s="4">
        <f>'Raw Data'!G56*6*0.000128176</f>
        <v>0</v>
      </c>
      <c r="I55" s="4">
        <f>'Raw Data'!H56*0.000732435</f>
        <v>0</v>
      </c>
      <c r="J55" s="4">
        <f t="shared" si="0"/>
        <v>0</v>
      </c>
      <c r="K55" s="36">
        <f>IF(('Raw Data'!I56-16384)/32768&lt;0,0,('Raw Data'!I56-16384)/32768)</f>
        <v>0</v>
      </c>
      <c r="L55" s="4">
        <f>IF(('Raw Data'!J56-12010)/45.6=-263.377192982456,0,('Raw Data'!J56-12010)/45.6)</f>
        <v>0</v>
      </c>
      <c r="M55" s="16">
        <f>'Raw Data'!N56*2^-8</f>
        <v>0</v>
      </c>
      <c r="N55" s="16">
        <f>'Raw Data'!O56*2^-8</f>
        <v>0</v>
      </c>
      <c r="O55" s="17" t="str">
        <f>IF(BITWISE_AND('Raw Data'!$K56, 8192),"X","")</f>
        <v/>
      </c>
      <c r="P55" s="17" t="str">
        <f>IF(BITWISE_AND('Raw Data'!$K56, 2048),"X","")</f>
        <v/>
      </c>
      <c r="Q55" s="17" t="str">
        <f>IF(BITWISE_AND('Raw Data'!$K56, 64),"X","")</f>
        <v/>
      </c>
      <c r="R55" s="18" t="str">
        <f>IF(BITWISE_AND('Raw Data'!$L56, 1024),"X","")</f>
        <v/>
      </c>
      <c r="S55" s="18" t="str">
        <f>IF(BITWISE_AND('Raw Data'!$L56, 512),"X","")</f>
        <v/>
      </c>
      <c r="T55" s="18" t="str">
        <f>IF(BITWISE_AND('Raw Data'!$L56, 256),"X","")</f>
        <v/>
      </c>
      <c r="U55" s="18" t="str">
        <f>IF(BITWISE_AND('Raw Data'!$L56, 64),"X","")</f>
        <v/>
      </c>
      <c r="V55" s="18" t="str">
        <f>IF(BITWISE_AND('Raw Data'!$L56, 2),"X","")</f>
        <v/>
      </c>
      <c r="W55" s="18" t="str">
        <f>IF(BITWISE_AND('Raw Data'!$L56, 1),"X","")</f>
        <v/>
      </c>
      <c r="X55" s="19" t="str">
        <f>IF(BITWISE_AND('Raw Data'!M56, 1),"Bat Voltage", IF(BITWISE_AND('Raw Data'!M56, 2), "Charge Current", IF(BITWISE_AND('Raw Data'!M56, 4),"Input Ilim", IF(BITWISE_AND('Raw Data'!M56, 8), "Input UV", "none"))))</f>
        <v>none</v>
      </c>
    </row>
    <row r="56" spans="1:24" x14ac:dyDescent="0.2">
      <c r="A56" s="15">
        <f>A55+TIME(0,0,'Raw Data'!B56)</f>
        <v>0</v>
      </c>
      <c r="B56" s="4">
        <f>'Raw Data'!C57*0.025</f>
        <v>0</v>
      </c>
      <c r="C56" s="4">
        <f t="shared" si="3"/>
        <v>0</v>
      </c>
      <c r="D56" s="4">
        <f>'Raw Data'!D57*0.025</f>
        <v>0</v>
      </c>
      <c r="E56" s="4">
        <f t="shared" si="4"/>
        <v>0</v>
      </c>
      <c r="F56" s="4">
        <f>'Raw Data'!E57*0.001648</f>
        <v>0</v>
      </c>
      <c r="G56" s="4">
        <f>'Raw Data'!F57*0.001648</f>
        <v>0</v>
      </c>
      <c r="H56" s="4">
        <f>'Raw Data'!G57*6*0.000128176</f>
        <v>0</v>
      </c>
      <c r="I56" s="4">
        <f>'Raw Data'!H57*0.000732435</f>
        <v>0</v>
      </c>
      <c r="J56" s="4">
        <f t="shared" si="0"/>
        <v>0</v>
      </c>
      <c r="K56" s="36">
        <f>IF(('Raw Data'!I57-16384)/32768&lt;0,0,('Raw Data'!I57-16384)/32768)</f>
        <v>0</v>
      </c>
      <c r="L56" s="4">
        <f>IF(('Raw Data'!J57-12010)/45.6=-263.377192982456,0,('Raw Data'!J57-12010)/45.6)</f>
        <v>0</v>
      </c>
      <c r="M56" s="16">
        <f>'Raw Data'!N57*2^-8</f>
        <v>0</v>
      </c>
      <c r="N56" s="16">
        <f>'Raw Data'!O57*2^-8</f>
        <v>0</v>
      </c>
      <c r="O56" s="17" t="str">
        <f>IF(BITWISE_AND('Raw Data'!$K57, 8192),"X","")</f>
        <v/>
      </c>
      <c r="P56" s="17" t="str">
        <f>IF(BITWISE_AND('Raw Data'!$K57, 2048),"X","")</f>
        <v/>
      </c>
      <c r="Q56" s="17" t="str">
        <f>IF(BITWISE_AND('Raw Data'!$K57, 64),"X","")</f>
        <v/>
      </c>
      <c r="R56" s="18" t="str">
        <f>IF(BITWISE_AND('Raw Data'!$L57, 1024),"X","")</f>
        <v/>
      </c>
      <c r="S56" s="18" t="str">
        <f>IF(BITWISE_AND('Raw Data'!$L57, 512),"X","")</f>
        <v/>
      </c>
      <c r="T56" s="18" t="str">
        <f>IF(BITWISE_AND('Raw Data'!$L57, 256),"X","")</f>
        <v/>
      </c>
      <c r="U56" s="18" t="str">
        <f>IF(BITWISE_AND('Raw Data'!$L57, 64),"X","")</f>
        <v/>
      </c>
      <c r="V56" s="18" t="str">
        <f>IF(BITWISE_AND('Raw Data'!$L57, 2),"X","")</f>
        <v/>
      </c>
      <c r="W56" s="18" t="str">
        <f>IF(BITWISE_AND('Raw Data'!$L57, 1),"X","")</f>
        <v/>
      </c>
      <c r="X56" s="19" t="str">
        <f>IF(BITWISE_AND('Raw Data'!M57, 1),"Bat Voltage", IF(BITWISE_AND('Raw Data'!M57, 2), "Charge Current", IF(BITWISE_AND('Raw Data'!M57, 4),"Input Ilim", IF(BITWISE_AND('Raw Data'!M57, 8), "Input UV", "none"))))</f>
        <v>none</v>
      </c>
    </row>
    <row r="57" spans="1:24" x14ac:dyDescent="0.2">
      <c r="A57" s="15">
        <f>A56+TIME(0,0,'Raw Data'!B57)</f>
        <v>0</v>
      </c>
      <c r="B57" s="4">
        <f>'Raw Data'!C58*0.025</f>
        <v>0</v>
      </c>
      <c r="C57" s="4">
        <f t="shared" si="3"/>
        <v>0</v>
      </c>
      <c r="D57" s="4">
        <f>'Raw Data'!D58*0.025</f>
        <v>0</v>
      </c>
      <c r="E57" s="4">
        <f t="shared" si="4"/>
        <v>0</v>
      </c>
      <c r="F57" s="4">
        <f>'Raw Data'!E58*0.001648</f>
        <v>0</v>
      </c>
      <c r="G57" s="4">
        <f>'Raw Data'!F58*0.001648</f>
        <v>0</v>
      </c>
      <c r="H57" s="4">
        <f>'Raw Data'!G58*6*0.000128176</f>
        <v>0</v>
      </c>
      <c r="I57" s="4">
        <f>'Raw Data'!H58*0.000732435</f>
        <v>0</v>
      </c>
      <c r="J57" s="4">
        <f t="shared" si="0"/>
        <v>0</v>
      </c>
      <c r="K57" s="36">
        <f>IF(('Raw Data'!I58-16384)/32768&lt;0,0,('Raw Data'!I58-16384)/32768)</f>
        <v>0</v>
      </c>
      <c r="L57" s="4">
        <f>IF(('Raw Data'!J58-12010)/45.6=-263.377192982456,0,('Raw Data'!J58-12010)/45.6)</f>
        <v>0</v>
      </c>
      <c r="M57" s="16">
        <f>'Raw Data'!N58*2^-8</f>
        <v>0</v>
      </c>
      <c r="N57" s="16">
        <f>'Raw Data'!O58*2^-8</f>
        <v>0</v>
      </c>
      <c r="O57" s="17" t="str">
        <f>IF(BITWISE_AND('Raw Data'!$K58, 8192),"X","")</f>
        <v/>
      </c>
      <c r="P57" s="17" t="str">
        <f>IF(BITWISE_AND('Raw Data'!$K58, 2048),"X","")</f>
        <v/>
      </c>
      <c r="Q57" s="17" t="str">
        <f>IF(BITWISE_AND('Raw Data'!$K58, 64),"X","")</f>
        <v/>
      </c>
      <c r="R57" s="18" t="str">
        <f>IF(BITWISE_AND('Raw Data'!$L58, 1024),"X","")</f>
        <v/>
      </c>
      <c r="S57" s="18" t="str">
        <f>IF(BITWISE_AND('Raw Data'!$L58, 512),"X","")</f>
        <v/>
      </c>
      <c r="T57" s="18" t="str">
        <f>IF(BITWISE_AND('Raw Data'!$L58, 256),"X","")</f>
        <v/>
      </c>
      <c r="U57" s="18" t="str">
        <f>IF(BITWISE_AND('Raw Data'!$L58, 64),"X","")</f>
        <v/>
      </c>
      <c r="V57" s="18" t="str">
        <f>IF(BITWISE_AND('Raw Data'!$L58, 2),"X","")</f>
        <v/>
      </c>
      <c r="W57" s="18" t="str">
        <f>IF(BITWISE_AND('Raw Data'!$L58, 1),"X","")</f>
        <v/>
      </c>
      <c r="X57" s="19" t="str">
        <f>IF(BITWISE_AND('Raw Data'!M58, 1),"Bat Voltage", IF(BITWISE_AND('Raw Data'!M58, 2), "Charge Current", IF(BITWISE_AND('Raw Data'!M58, 4),"Input Ilim", IF(BITWISE_AND('Raw Data'!M58, 8), "Input UV", "none"))))</f>
        <v>none</v>
      </c>
    </row>
    <row r="58" spans="1:24" x14ac:dyDescent="0.2">
      <c r="A58" s="15">
        <f>A57+TIME(0,0,'Raw Data'!B58)</f>
        <v>0</v>
      </c>
      <c r="B58" s="4">
        <f>'Raw Data'!C59*0.025</f>
        <v>0</v>
      </c>
      <c r="C58" s="4">
        <f t="shared" si="3"/>
        <v>0</v>
      </c>
      <c r="D58" s="4">
        <f>'Raw Data'!D59*0.025</f>
        <v>0</v>
      </c>
      <c r="E58" s="4">
        <f t="shared" si="4"/>
        <v>0</v>
      </c>
      <c r="F58" s="4">
        <f>'Raw Data'!E59*0.001648</f>
        <v>0</v>
      </c>
      <c r="G58" s="4">
        <f>'Raw Data'!F59*0.001648</f>
        <v>0</v>
      </c>
      <c r="H58" s="4">
        <f>'Raw Data'!G59*6*0.000128176</f>
        <v>0</v>
      </c>
      <c r="I58" s="4">
        <f>'Raw Data'!H59*0.000732435</f>
        <v>0</v>
      </c>
      <c r="J58" s="4">
        <f t="shared" si="0"/>
        <v>0</v>
      </c>
      <c r="K58" s="36">
        <f>IF(('Raw Data'!I59-16384)/32768&lt;0,0,('Raw Data'!I59-16384)/32768)</f>
        <v>0</v>
      </c>
      <c r="L58" s="4">
        <f>IF(('Raw Data'!J59-12010)/45.6=-263.377192982456,0,('Raw Data'!J59-12010)/45.6)</f>
        <v>0</v>
      </c>
      <c r="M58" s="16">
        <f>'Raw Data'!N59*2^-8</f>
        <v>0</v>
      </c>
      <c r="N58" s="16">
        <f>'Raw Data'!O59*2^-8</f>
        <v>0</v>
      </c>
      <c r="O58" s="17" t="str">
        <f>IF(BITWISE_AND('Raw Data'!$K59, 8192),"X","")</f>
        <v/>
      </c>
      <c r="P58" s="17" t="str">
        <f>IF(BITWISE_AND('Raw Data'!$K59, 2048),"X","")</f>
        <v/>
      </c>
      <c r="Q58" s="17" t="str">
        <f>IF(BITWISE_AND('Raw Data'!$K59, 64),"X","")</f>
        <v/>
      </c>
      <c r="R58" s="18" t="str">
        <f>IF(BITWISE_AND('Raw Data'!$L59, 1024),"X","")</f>
        <v/>
      </c>
      <c r="S58" s="18" t="str">
        <f>IF(BITWISE_AND('Raw Data'!$L59, 512),"X","")</f>
        <v/>
      </c>
      <c r="T58" s="18" t="str">
        <f>IF(BITWISE_AND('Raw Data'!$L59, 256),"X","")</f>
        <v/>
      </c>
      <c r="U58" s="18" t="str">
        <f>IF(BITWISE_AND('Raw Data'!$L59, 64),"X","")</f>
        <v/>
      </c>
      <c r="V58" s="18" t="str">
        <f>IF(BITWISE_AND('Raw Data'!$L59, 2),"X","")</f>
        <v/>
      </c>
      <c r="W58" s="18" t="str">
        <f>IF(BITWISE_AND('Raw Data'!$L59, 1),"X","")</f>
        <v/>
      </c>
      <c r="X58" s="19" t="str">
        <f>IF(BITWISE_AND('Raw Data'!M59, 1),"Bat Voltage", IF(BITWISE_AND('Raw Data'!M59, 2), "Charge Current", IF(BITWISE_AND('Raw Data'!M59, 4),"Input Ilim", IF(BITWISE_AND('Raw Data'!M59, 8), "Input UV", "none"))))</f>
        <v>none</v>
      </c>
    </row>
    <row r="59" spans="1:24" x14ac:dyDescent="0.2">
      <c r="A59" s="15">
        <f>A58+TIME(0,0,'Raw Data'!B59)</f>
        <v>0</v>
      </c>
      <c r="B59" s="4">
        <f>'Raw Data'!C60*0.025</f>
        <v>0</v>
      </c>
      <c r="C59" s="4">
        <f t="shared" si="3"/>
        <v>0</v>
      </c>
      <c r="D59" s="4">
        <f>'Raw Data'!D60*0.025</f>
        <v>0</v>
      </c>
      <c r="E59" s="4">
        <f t="shared" si="4"/>
        <v>0</v>
      </c>
      <c r="F59" s="4">
        <f>'Raw Data'!E60*0.001648</f>
        <v>0</v>
      </c>
      <c r="G59" s="4">
        <f>'Raw Data'!F60*0.001648</f>
        <v>0</v>
      </c>
      <c r="H59" s="4">
        <f>'Raw Data'!G60*6*0.000128176</f>
        <v>0</v>
      </c>
      <c r="I59" s="4">
        <f>'Raw Data'!H60*0.000732435</f>
        <v>0</v>
      </c>
      <c r="J59" s="4">
        <f t="shared" si="0"/>
        <v>0</v>
      </c>
      <c r="K59" s="36">
        <f>IF(('Raw Data'!I60-16384)/32768&lt;0,0,('Raw Data'!I60-16384)/32768)</f>
        <v>0</v>
      </c>
      <c r="L59" s="4">
        <f>IF(('Raw Data'!J60-12010)/45.6=-263.377192982456,0,('Raw Data'!J60-12010)/45.6)</f>
        <v>0</v>
      </c>
      <c r="M59" s="16">
        <f>'Raw Data'!N60*2^-8</f>
        <v>0</v>
      </c>
      <c r="N59" s="16">
        <f>'Raw Data'!O60*2^-8</f>
        <v>0</v>
      </c>
      <c r="O59" s="17" t="str">
        <f>IF(BITWISE_AND('Raw Data'!$K60, 8192),"X","")</f>
        <v/>
      </c>
      <c r="P59" s="17" t="str">
        <f>IF(BITWISE_AND('Raw Data'!$K60, 2048),"X","")</f>
        <v/>
      </c>
      <c r="Q59" s="17" t="str">
        <f>IF(BITWISE_AND('Raw Data'!$K60, 64),"X","")</f>
        <v/>
      </c>
      <c r="R59" s="18" t="str">
        <f>IF(BITWISE_AND('Raw Data'!$L60, 1024),"X","")</f>
        <v/>
      </c>
      <c r="S59" s="18" t="str">
        <f>IF(BITWISE_AND('Raw Data'!$L60, 512),"X","")</f>
        <v/>
      </c>
      <c r="T59" s="18" t="str">
        <f>IF(BITWISE_AND('Raw Data'!$L60, 256),"X","")</f>
        <v/>
      </c>
      <c r="U59" s="18" t="str">
        <f>IF(BITWISE_AND('Raw Data'!$L60, 64),"X","")</f>
        <v/>
      </c>
      <c r="V59" s="18" t="str">
        <f>IF(BITWISE_AND('Raw Data'!$L60, 2),"X","")</f>
        <v/>
      </c>
      <c r="W59" s="18" t="str">
        <f>IF(BITWISE_AND('Raw Data'!$L60, 1),"X","")</f>
        <v/>
      </c>
      <c r="X59" s="19" t="str">
        <f>IF(BITWISE_AND('Raw Data'!M60, 1),"Bat Voltage", IF(BITWISE_AND('Raw Data'!M60, 2), "Charge Current", IF(BITWISE_AND('Raw Data'!M60, 4),"Input Ilim", IF(BITWISE_AND('Raw Data'!M60, 8), "Input UV", "none"))))</f>
        <v>none</v>
      </c>
    </row>
    <row r="60" spans="1:24" x14ac:dyDescent="0.2">
      <c r="A60" s="15">
        <f>A59+TIME(0,0,'Raw Data'!B60)</f>
        <v>0</v>
      </c>
      <c r="B60" s="4">
        <f>'Raw Data'!C61*0.025</f>
        <v>0</v>
      </c>
      <c r="C60" s="4">
        <f t="shared" si="3"/>
        <v>0</v>
      </c>
      <c r="D60" s="4">
        <f>'Raw Data'!D61*0.025</f>
        <v>0</v>
      </c>
      <c r="E60" s="4">
        <f t="shared" si="4"/>
        <v>0</v>
      </c>
      <c r="F60" s="4">
        <f>'Raw Data'!E61*0.001648</f>
        <v>0</v>
      </c>
      <c r="G60" s="4">
        <f>'Raw Data'!F61*0.001648</f>
        <v>0</v>
      </c>
      <c r="H60" s="4">
        <f>'Raw Data'!G61*6*0.000128176</f>
        <v>0</v>
      </c>
      <c r="I60" s="4">
        <f>'Raw Data'!H61*0.000732435</f>
        <v>0</v>
      </c>
      <c r="J60" s="4">
        <f t="shared" si="0"/>
        <v>0</v>
      </c>
      <c r="K60" s="36">
        <f>IF(('Raw Data'!I61-16384)/32768&lt;0,0,('Raw Data'!I61-16384)/32768)</f>
        <v>0</v>
      </c>
      <c r="L60" s="4">
        <f>IF(('Raw Data'!J61-12010)/45.6=-263.377192982456,0,('Raw Data'!J61-12010)/45.6)</f>
        <v>0</v>
      </c>
      <c r="M60" s="16">
        <f>'Raw Data'!N61*2^-8</f>
        <v>0</v>
      </c>
      <c r="N60" s="16">
        <f>'Raw Data'!O61*2^-8</f>
        <v>0</v>
      </c>
      <c r="O60" s="17" t="str">
        <f>IF(BITWISE_AND('Raw Data'!$K61, 8192),"X","")</f>
        <v/>
      </c>
      <c r="P60" s="17" t="str">
        <f>IF(BITWISE_AND('Raw Data'!$K61, 2048),"X","")</f>
        <v/>
      </c>
      <c r="Q60" s="17" t="str">
        <f>IF(BITWISE_AND('Raw Data'!$K61, 64),"X","")</f>
        <v/>
      </c>
      <c r="R60" s="18" t="str">
        <f>IF(BITWISE_AND('Raw Data'!$L61, 1024),"X","")</f>
        <v/>
      </c>
      <c r="S60" s="18" t="str">
        <f>IF(BITWISE_AND('Raw Data'!$L61, 512),"X","")</f>
        <v/>
      </c>
      <c r="T60" s="18" t="str">
        <f>IF(BITWISE_AND('Raw Data'!$L61, 256),"X","")</f>
        <v/>
      </c>
      <c r="U60" s="18" t="str">
        <f>IF(BITWISE_AND('Raw Data'!$L61, 64),"X","")</f>
        <v/>
      </c>
      <c r="V60" s="18" t="str">
        <f>IF(BITWISE_AND('Raw Data'!$L61, 2),"X","")</f>
        <v/>
      </c>
      <c r="W60" s="18" t="str">
        <f>IF(BITWISE_AND('Raw Data'!$L61, 1),"X","")</f>
        <v/>
      </c>
      <c r="X60" s="19" t="str">
        <f>IF(BITWISE_AND('Raw Data'!M61, 1),"Bat Voltage", IF(BITWISE_AND('Raw Data'!M61, 2), "Charge Current", IF(BITWISE_AND('Raw Data'!M61, 4),"Input Ilim", IF(BITWISE_AND('Raw Data'!M61, 8), "Input UV", "none"))))</f>
        <v>none</v>
      </c>
    </row>
    <row r="61" spans="1:24" x14ac:dyDescent="0.2">
      <c r="A61" s="15">
        <f>A60+TIME(0,0,'Raw Data'!B61)</f>
        <v>0</v>
      </c>
      <c r="B61" s="4">
        <f>'Raw Data'!C62*0.025</f>
        <v>0</v>
      </c>
      <c r="C61" s="4">
        <f t="shared" si="3"/>
        <v>0</v>
      </c>
      <c r="D61" s="4">
        <f>'Raw Data'!D62*0.025</f>
        <v>0</v>
      </c>
      <c r="E61" s="4">
        <f t="shared" si="4"/>
        <v>0</v>
      </c>
      <c r="F61" s="4">
        <f>'Raw Data'!E62*0.001648</f>
        <v>0</v>
      </c>
      <c r="G61" s="4">
        <f>'Raw Data'!F62*0.001648</f>
        <v>0</v>
      </c>
      <c r="H61" s="4">
        <f>'Raw Data'!G62*6*0.000128176</f>
        <v>0</v>
      </c>
      <c r="I61" s="4">
        <f>'Raw Data'!H62*0.000732435</f>
        <v>0</v>
      </c>
      <c r="J61" s="4">
        <f t="shared" si="0"/>
        <v>0</v>
      </c>
      <c r="K61" s="36">
        <f>IF(('Raw Data'!I62-16384)/32768&lt;0,0,('Raw Data'!I62-16384)/32768)</f>
        <v>0</v>
      </c>
      <c r="L61" s="4">
        <f>IF(('Raw Data'!J62-12010)/45.6=-263.377192982456,0,('Raw Data'!J62-12010)/45.6)</f>
        <v>0</v>
      </c>
      <c r="M61" s="16">
        <f>'Raw Data'!N62*2^-8</f>
        <v>0</v>
      </c>
      <c r="N61" s="16">
        <f>'Raw Data'!O62*2^-8</f>
        <v>0</v>
      </c>
      <c r="O61" s="17" t="str">
        <f>IF(BITWISE_AND('Raw Data'!$K62, 8192),"X","")</f>
        <v/>
      </c>
      <c r="P61" s="17" t="str">
        <f>IF(BITWISE_AND('Raw Data'!$K62, 2048),"X","")</f>
        <v/>
      </c>
      <c r="Q61" s="17" t="str">
        <f>IF(BITWISE_AND('Raw Data'!$K62, 64),"X","")</f>
        <v/>
      </c>
      <c r="R61" s="18" t="str">
        <f>IF(BITWISE_AND('Raw Data'!$L62, 1024),"X","")</f>
        <v/>
      </c>
      <c r="S61" s="18" t="str">
        <f>IF(BITWISE_AND('Raw Data'!$L62, 512),"X","")</f>
        <v/>
      </c>
      <c r="T61" s="18" t="str">
        <f>IF(BITWISE_AND('Raw Data'!$L62, 256),"X","")</f>
        <v/>
      </c>
      <c r="U61" s="18" t="str">
        <f>IF(BITWISE_AND('Raw Data'!$L62, 64),"X","")</f>
        <v/>
      </c>
      <c r="V61" s="18" t="str">
        <f>IF(BITWISE_AND('Raw Data'!$L62, 2),"X","")</f>
        <v/>
      </c>
      <c r="W61" s="18" t="str">
        <f>IF(BITWISE_AND('Raw Data'!$L62, 1),"X","")</f>
        <v/>
      </c>
      <c r="X61" s="19" t="str">
        <f>IF(BITWISE_AND('Raw Data'!M62, 1),"Bat Voltage", IF(BITWISE_AND('Raw Data'!M62, 2), "Charge Current", IF(BITWISE_AND('Raw Data'!M62, 4),"Input Ilim", IF(BITWISE_AND('Raw Data'!M62, 8), "Input UV", "none"))))</f>
        <v>none</v>
      </c>
    </row>
    <row r="62" spans="1:24" x14ac:dyDescent="0.2">
      <c r="A62" s="15">
        <f>A61+TIME(0,0,'Raw Data'!B62)</f>
        <v>0</v>
      </c>
      <c r="B62" s="4">
        <f>'Raw Data'!C63*0.025</f>
        <v>0</v>
      </c>
      <c r="C62" s="4">
        <f t="shared" si="3"/>
        <v>0</v>
      </c>
      <c r="D62" s="4">
        <f>'Raw Data'!D63*0.025</f>
        <v>0</v>
      </c>
      <c r="E62" s="4">
        <f t="shared" si="4"/>
        <v>0</v>
      </c>
      <c r="F62" s="4">
        <f>'Raw Data'!E63*0.001648</f>
        <v>0</v>
      </c>
      <c r="G62" s="4">
        <f>'Raw Data'!F63*0.001648</f>
        <v>0</v>
      </c>
      <c r="H62" s="4">
        <f>'Raw Data'!G63*6*0.000128176</f>
        <v>0</v>
      </c>
      <c r="I62" s="4">
        <f>'Raw Data'!H63*0.000732435</f>
        <v>0</v>
      </c>
      <c r="J62" s="4">
        <f t="shared" si="0"/>
        <v>0</v>
      </c>
      <c r="K62" s="36">
        <f>IF(('Raw Data'!I63-16384)/32768&lt;0,0,('Raw Data'!I63-16384)/32768)</f>
        <v>0</v>
      </c>
      <c r="L62" s="4">
        <f>IF(('Raw Data'!J63-12010)/45.6=-263.377192982456,0,('Raw Data'!J63-12010)/45.6)</f>
        <v>0</v>
      </c>
      <c r="M62" s="16">
        <f>'Raw Data'!N63*2^-8</f>
        <v>0</v>
      </c>
      <c r="N62" s="16">
        <f>'Raw Data'!O63*2^-8</f>
        <v>0</v>
      </c>
      <c r="O62" s="17" t="str">
        <f>IF(BITWISE_AND('Raw Data'!$K63, 8192),"X","")</f>
        <v/>
      </c>
      <c r="P62" s="17" t="str">
        <f>IF(BITWISE_AND('Raw Data'!$K63, 2048),"X","")</f>
        <v/>
      </c>
      <c r="Q62" s="17" t="str">
        <f>IF(BITWISE_AND('Raw Data'!$K63, 64),"X","")</f>
        <v/>
      </c>
      <c r="R62" s="18" t="str">
        <f>IF(BITWISE_AND('Raw Data'!$L63, 1024),"X","")</f>
        <v/>
      </c>
      <c r="S62" s="18" t="str">
        <f>IF(BITWISE_AND('Raw Data'!$L63, 512),"X","")</f>
        <v/>
      </c>
      <c r="T62" s="18" t="str">
        <f>IF(BITWISE_AND('Raw Data'!$L63, 256),"X","")</f>
        <v/>
      </c>
      <c r="U62" s="18" t="str">
        <f>IF(BITWISE_AND('Raw Data'!$L63, 64),"X","")</f>
        <v/>
      </c>
      <c r="V62" s="18" t="str">
        <f>IF(BITWISE_AND('Raw Data'!$L63, 2),"X","")</f>
        <v/>
      </c>
      <c r="W62" s="18" t="str">
        <f>IF(BITWISE_AND('Raw Data'!$L63, 1),"X","")</f>
        <v/>
      </c>
      <c r="X62" s="19" t="str">
        <f>IF(BITWISE_AND('Raw Data'!M63, 1),"Bat Voltage", IF(BITWISE_AND('Raw Data'!M63, 2), "Charge Current", IF(BITWISE_AND('Raw Data'!M63, 4),"Input Ilim", IF(BITWISE_AND('Raw Data'!M63, 8), "Input UV", "none"))))</f>
        <v>none</v>
      </c>
    </row>
    <row r="63" spans="1:24" x14ac:dyDescent="0.2">
      <c r="A63" s="15">
        <f>A62+TIME(0,0,'Raw Data'!B63)</f>
        <v>0</v>
      </c>
      <c r="B63" s="4">
        <f>'Raw Data'!C64*0.025</f>
        <v>0</v>
      </c>
      <c r="C63" s="4">
        <f t="shared" si="3"/>
        <v>0</v>
      </c>
      <c r="D63" s="4">
        <f>'Raw Data'!D64*0.025</f>
        <v>0</v>
      </c>
      <c r="E63" s="4">
        <f t="shared" si="4"/>
        <v>0</v>
      </c>
      <c r="F63" s="4">
        <f>'Raw Data'!E64*0.001648</f>
        <v>0</v>
      </c>
      <c r="G63" s="4">
        <f>'Raw Data'!F64*0.001648</f>
        <v>0</v>
      </c>
      <c r="H63" s="4">
        <f>'Raw Data'!G64*6*0.000128176</f>
        <v>0</v>
      </c>
      <c r="I63" s="4">
        <f>'Raw Data'!H64*0.000732435</f>
        <v>0</v>
      </c>
      <c r="J63" s="4">
        <f t="shared" si="0"/>
        <v>0</v>
      </c>
      <c r="K63" s="36">
        <f>IF(('Raw Data'!I64-16384)/32768&lt;0,0,('Raw Data'!I64-16384)/32768)</f>
        <v>0</v>
      </c>
      <c r="L63" s="4">
        <f>IF(('Raw Data'!J64-12010)/45.6=-263.377192982456,0,('Raw Data'!J64-12010)/45.6)</f>
        <v>0</v>
      </c>
      <c r="M63" s="16">
        <f>'Raw Data'!N64*2^-8</f>
        <v>0</v>
      </c>
      <c r="N63" s="16">
        <f>'Raw Data'!O64*2^-8</f>
        <v>0</v>
      </c>
      <c r="O63" s="17" t="str">
        <f>IF(BITWISE_AND('Raw Data'!$K64, 8192),"X","")</f>
        <v/>
      </c>
      <c r="P63" s="17" t="str">
        <f>IF(BITWISE_AND('Raw Data'!$K64, 2048),"X","")</f>
        <v/>
      </c>
      <c r="Q63" s="17" t="str">
        <f>IF(BITWISE_AND('Raw Data'!$K64, 64),"X","")</f>
        <v/>
      </c>
      <c r="R63" s="18" t="str">
        <f>IF(BITWISE_AND('Raw Data'!$L64, 1024),"X","")</f>
        <v/>
      </c>
      <c r="S63" s="18" t="str">
        <f>IF(BITWISE_AND('Raw Data'!$L64, 512),"X","")</f>
        <v/>
      </c>
      <c r="T63" s="18" t="str">
        <f>IF(BITWISE_AND('Raw Data'!$L64, 256),"X","")</f>
        <v/>
      </c>
      <c r="U63" s="18" t="str">
        <f>IF(BITWISE_AND('Raw Data'!$L64, 64),"X","")</f>
        <v/>
      </c>
      <c r="V63" s="18" t="str">
        <f>IF(BITWISE_AND('Raw Data'!$L64, 2),"X","")</f>
        <v/>
      </c>
      <c r="W63" s="18" t="str">
        <f>IF(BITWISE_AND('Raw Data'!$L64, 1),"X","")</f>
        <v/>
      </c>
      <c r="X63" s="19" t="str">
        <f>IF(BITWISE_AND('Raw Data'!M64, 1),"Bat Voltage", IF(BITWISE_AND('Raw Data'!M64, 2), "Charge Current", IF(BITWISE_AND('Raw Data'!M64, 4),"Input Ilim", IF(BITWISE_AND('Raw Data'!M64, 8), "Input UV", "none"))))</f>
        <v>none</v>
      </c>
    </row>
    <row r="64" spans="1:24" x14ac:dyDescent="0.2">
      <c r="A64" s="15">
        <f>A63+TIME(0,0,'Raw Data'!B64)</f>
        <v>0</v>
      </c>
      <c r="B64" s="4">
        <f>'Raw Data'!C65*0.025</f>
        <v>0</v>
      </c>
      <c r="C64" s="4">
        <f t="shared" si="3"/>
        <v>0</v>
      </c>
      <c r="D64" s="4">
        <f>'Raw Data'!D65*0.025</f>
        <v>0</v>
      </c>
      <c r="E64" s="4">
        <f t="shared" si="4"/>
        <v>0</v>
      </c>
      <c r="F64" s="4">
        <f>'Raw Data'!E65*0.001648</f>
        <v>0</v>
      </c>
      <c r="G64" s="4">
        <f>'Raw Data'!F65*0.001648</f>
        <v>0</v>
      </c>
      <c r="H64" s="4">
        <f>'Raw Data'!G65*6*0.000128176</f>
        <v>0</v>
      </c>
      <c r="I64" s="4">
        <f>'Raw Data'!H65*0.000732435</f>
        <v>0</v>
      </c>
      <c r="J64" s="4">
        <f t="shared" si="0"/>
        <v>0</v>
      </c>
      <c r="K64" s="36">
        <f>IF(('Raw Data'!I65-16384)/32768&lt;0,0,('Raw Data'!I65-16384)/32768)</f>
        <v>0</v>
      </c>
      <c r="L64" s="4">
        <f>IF(('Raw Data'!J65-12010)/45.6=-263.377192982456,0,('Raw Data'!J65-12010)/45.6)</f>
        <v>0</v>
      </c>
      <c r="M64" s="16">
        <f>'Raw Data'!N65*2^-8</f>
        <v>0</v>
      </c>
      <c r="N64" s="16">
        <f>'Raw Data'!O65*2^-8</f>
        <v>0</v>
      </c>
      <c r="O64" s="17" t="str">
        <f>IF(BITWISE_AND('Raw Data'!$K65, 8192),"X","")</f>
        <v/>
      </c>
      <c r="P64" s="17" t="str">
        <f>IF(BITWISE_AND('Raw Data'!$K65, 2048),"X","")</f>
        <v/>
      </c>
      <c r="Q64" s="17" t="str">
        <f>IF(BITWISE_AND('Raw Data'!$K65, 64),"X","")</f>
        <v/>
      </c>
      <c r="R64" s="18" t="str">
        <f>IF(BITWISE_AND('Raw Data'!$L65, 1024),"X","")</f>
        <v/>
      </c>
      <c r="S64" s="18" t="str">
        <f>IF(BITWISE_AND('Raw Data'!$L65, 512),"X","")</f>
        <v/>
      </c>
      <c r="T64" s="18" t="str">
        <f>IF(BITWISE_AND('Raw Data'!$L65, 256),"X","")</f>
        <v/>
      </c>
      <c r="U64" s="18" t="str">
        <f>IF(BITWISE_AND('Raw Data'!$L65, 64),"X","")</f>
        <v/>
      </c>
      <c r="V64" s="18" t="str">
        <f>IF(BITWISE_AND('Raw Data'!$L65, 2),"X","")</f>
        <v/>
      </c>
      <c r="W64" s="18" t="str">
        <f>IF(BITWISE_AND('Raw Data'!$L65, 1),"X","")</f>
        <v/>
      </c>
      <c r="X64" s="19" t="str">
        <f>IF(BITWISE_AND('Raw Data'!M65, 1),"Bat Voltage", IF(BITWISE_AND('Raw Data'!M65, 2), "Charge Current", IF(BITWISE_AND('Raw Data'!M65, 4),"Input Ilim", IF(BITWISE_AND('Raw Data'!M65, 8), "Input UV", "none"))))</f>
        <v>none</v>
      </c>
    </row>
    <row r="65" spans="1:24" x14ac:dyDescent="0.2">
      <c r="A65" s="15">
        <f>A64+TIME(0,0,'Raw Data'!B65)</f>
        <v>0</v>
      </c>
      <c r="B65" s="4">
        <f>'Raw Data'!C66*0.025</f>
        <v>0</v>
      </c>
      <c r="C65" s="4">
        <f t="shared" si="3"/>
        <v>0</v>
      </c>
      <c r="D65" s="4">
        <f>'Raw Data'!D66*0.025</f>
        <v>0</v>
      </c>
      <c r="E65" s="4">
        <f t="shared" si="4"/>
        <v>0</v>
      </c>
      <c r="F65" s="4">
        <f>'Raw Data'!E66*0.001648</f>
        <v>0</v>
      </c>
      <c r="G65" s="4">
        <f>'Raw Data'!F66*0.001648</f>
        <v>0</v>
      </c>
      <c r="H65" s="4">
        <f>'Raw Data'!G66*6*0.000128176</f>
        <v>0</v>
      </c>
      <c r="I65" s="4">
        <f>'Raw Data'!H66*0.000732435</f>
        <v>0</v>
      </c>
      <c r="J65" s="4">
        <f t="shared" si="0"/>
        <v>0</v>
      </c>
      <c r="K65" s="36">
        <f>IF(('Raw Data'!I66-16384)/32768&lt;0,0,('Raw Data'!I66-16384)/32768)</f>
        <v>0</v>
      </c>
      <c r="L65" s="4">
        <f>IF(('Raw Data'!J66-12010)/45.6=-263.377192982456,0,('Raw Data'!J66-12010)/45.6)</f>
        <v>0</v>
      </c>
      <c r="M65" s="16">
        <f>'Raw Data'!N66*2^-8</f>
        <v>0</v>
      </c>
      <c r="N65" s="16">
        <f>'Raw Data'!O66*2^-8</f>
        <v>0</v>
      </c>
      <c r="O65" s="17" t="str">
        <f>IF(BITWISE_AND('Raw Data'!$K66, 8192),"X","")</f>
        <v/>
      </c>
      <c r="P65" s="17" t="str">
        <f>IF(BITWISE_AND('Raw Data'!$K66, 2048),"X","")</f>
        <v/>
      </c>
      <c r="Q65" s="17" t="str">
        <f>IF(BITWISE_AND('Raw Data'!$K66, 64),"X","")</f>
        <v/>
      </c>
      <c r="R65" s="18" t="str">
        <f>IF(BITWISE_AND('Raw Data'!$L66, 1024),"X","")</f>
        <v/>
      </c>
      <c r="S65" s="18" t="str">
        <f>IF(BITWISE_AND('Raw Data'!$L66, 512),"X","")</f>
        <v/>
      </c>
      <c r="T65" s="18" t="str">
        <f>IF(BITWISE_AND('Raw Data'!$L66, 256),"X","")</f>
        <v/>
      </c>
      <c r="U65" s="18" t="str">
        <f>IF(BITWISE_AND('Raw Data'!$L66, 64),"X","")</f>
        <v/>
      </c>
      <c r="V65" s="18" t="str">
        <f>IF(BITWISE_AND('Raw Data'!$L66, 2),"X","")</f>
        <v/>
      </c>
      <c r="W65" s="18" t="str">
        <f>IF(BITWISE_AND('Raw Data'!$L66, 1),"X","")</f>
        <v/>
      </c>
      <c r="X65" s="19" t="str">
        <f>IF(BITWISE_AND('Raw Data'!M66, 1),"Bat Voltage", IF(BITWISE_AND('Raw Data'!M66, 2), "Charge Current", IF(BITWISE_AND('Raw Data'!M66, 4),"Input Ilim", IF(BITWISE_AND('Raw Data'!M66, 8), "Input UV", "none"))))</f>
        <v>none</v>
      </c>
    </row>
    <row r="66" spans="1:24" x14ac:dyDescent="0.2">
      <c r="A66" s="15">
        <f>A65+TIME(0,0,'Raw Data'!B66)</f>
        <v>0</v>
      </c>
      <c r="B66" s="4">
        <f>'Raw Data'!C67*0.025</f>
        <v>0</v>
      </c>
      <c r="C66" s="4">
        <f t="shared" si="3"/>
        <v>0</v>
      </c>
      <c r="D66" s="4">
        <f>'Raw Data'!D67*0.025</f>
        <v>0</v>
      </c>
      <c r="E66" s="4">
        <f t="shared" si="4"/>
        <v>0</v>
      </c>
      <c r="F66" s="4">
        <f>'Raw Data'!E67*0.001648</f>
        <v>0</v>
      </c>
      <c r="G66" s="4">
        <f>'Raw Data'!F67*0.001648</f>
        <v>0</v>
      </c>
      <c r="H66" s="4">
        <f>'Raw Data'!G67*6*0.000128176</f>
        <v>0</v>
      </c>
      <c r="I66" s="4">
        <f>'Raw Data'!H67*0.000732435</f>
        <v>0</v>
      </c>
      <c r="J66" s="4">
        <f t="shared" si="0"/>
        <v>0</v>
      </c>
      <c r="K66" s="36">
        <f>IF(('Raw Data'!I67-16384)/32768&lt;0,0,('Raw Data'!I67-16384)/32768)</f>
        <v>0</v>
      </c>
      <c r="L66" s="4">
        <f>IF(('Raw Data'!J67-12010)/45.6=-263.377192982456,0,('Raw Data'!J67-12010)/45.6)</f>
        <v>0</v>
      </c>
      <c r="M66" s="16">
        <f>'Raw Data'!N67*2^-8</f>
        <v>0</v>
      </c>
      <c r="N66" s="16">
        <f>'Raw Data'!O67*2^-8</f>
        <v>0</v>
      </c>
      <c r="O66" s="17" t="str">
        <f>IF(BITWISE_AND('Raw Data'!$K67, 8192),"X","")</f>
        <v/>
      </c>
      <c r="P66" s="17" t="str">
        <f>IF(BITWISE_AND('Raw Data'!$K67, 2048),"X","")</f>
        <v/>
      </c>
      <c r="Q66" s="17" t="str">
        <f>IF(BITWISE_AND('Raw Data'!$K67, 64),"X","")</f>
        <v/>
      </c>
      <c r="R66" s="18" t="str">
        <f>IF(BITWISE_AND('Raw Data'!$L67, 1024),"X","")</f>
        <v/>
      </c>
      <c r="S66" s="18" t="str">
        <f>IF(BITWISE_AND('Raw Data'!$L67, 512),"X","")</f>
        <v/>
      </c>
      <c r="T66" s="18" t="str">
        <f>IF(BITWISE_AND('Raw Data'!$L67, 256),"X","")</f>
        <v/>
      </c>
      <c r="U66" s="18" t="str">
        <f>IF(BITWISE_AND('Raw Data'!$L67, 64),"X","")</f>
        <v/>
      </c>
      <c r="V66" s="18" t="str">
        <f>IF(BITWISE_AND('Raw Data'!$L67, 2),"X","")</f>
        <v/>
      </c>
      <c r="W66" s="18" t="str">
        <f>IF(BITWISE_AND('Raw Data'!$L67, 1),"X","")</f>
        <v/>
      </c>
      <c r="X66" s="19" t="str">
        <f>IF(BITWISE_AND('Raw Data'!M67, 1),"Bat Voltage", IF(BITWISE_AND('Raw Data'!M67, 2), "Charge Current", IF(BITWISE_AND('Raw Data'!M67, 4),"Input Ilim", IF(BITWISE_AND('Raw Data'!M67, 8), "Input UV", "none"))))</f>
        <v>none</v>
      </c>
    </row>
    <row r="67" spans="1:24" x14ac:dyDescent="0.2">
      <c r="A67" s="15">
        <f>A66+TIME(0,0,'Raw Data'!B67)</f>
        <v>0</v>
      </c>
      <c r="B67" s="4">
        <f>'Raw Data'!C68*0.025</f>
        <v>0</v>
      </c>
      <c r="C67" s="4">
        <f t="shared" si="3"/>
        <v>0</v>
      </c>
      <c r="D67" s="4">
        <f>'Raw Data'!D68*0.025</f>
        <v>0</v>
      </c>
      <c r="E67" s="4">
        <f t="shared" si="4"/>
        <v>0</v>
      </c>
      <c r="F67" s="4">
        <f>'Raw Data'!E68*0.001648</f>
        <v>0</v>
      </c>
      <c r="G67" s="4">
        <f>'Raw Data'!F68*0.001648</f>
        <v>0</v>
      </c>
      <c r="H67" s="4">
        <f>'Raw Data'!G68*6*0.000128176</f>
        <v>0</v>
      </c>
      <c r="I67" s="4">
        <f>'Raw Data'!H68*0.000732435</f>
        <v>0</v>
      </c>
      <c r="J67" s="4">
        <f t="shared" ref="J67:J130" si="5">H67*I67</f>
        <v>0</v>
      </c>
      <c r="K67" s="36">
        <f>IF(('Raw Data'!I68-16384)/32768&lt;0,0,('Raw Data'!I68-16384)/32768)</f>
        <v>0</v>
      </c>
      <c r="L67" s="4">
        <f>IF(('Raw Data'!J68-12010)/45.6=-263.377192982456,0,('Raw Data'!J68-12010)/45.6)</f>
        <v>0</v>
      </c>
      <c r="M67" s="16">
        <f>'Raw Data'!N68*2^-8</f>
        <v>0</v>
      </c>
      <c r="N67" s="16">
        <f>'Raw Data'!O68*2^-8</f>
        <v>0</v>
      </c>
      <c r="O67" s="17" t="str">
        <f>IF(BITWISE_AND('Raw Data'!$K68, 8192),"X","")</f>
        <v/>
      </c>
      <c r="P67" s="17" t="str">
        <f>IF(BITWISE_AND('Raw Data'!$K68, 2048),"X","")</f>
        <v/>
      </c>
      <c r="Q67" s="17" t="str">
        <f>IF(BITWISE_AND('Raw Data'!$K68, 64),"X","")</f>
        <v/>
      </c>
      <c r="R67" s="18" t="str">
        <f>IF(BITWISE_AND('Raw Data'!$L68, 1024),"X","")</f>
        <v/>
      </c>
      <c r="S67" s="18" t="str">
        <f>IF(BITWISE_AND('Raw Data'!$L68, 512),"X","")</f>
        <v/>
      </c>
      <c r="T67" s="18" t="str">
        <f>IF(BITWISE_AND('Raw Data'!$L68, 256),"X","")</f>
        <v/>
      </c>
      <c r="U67" s="18" t="str">
        <f>IF(BITWISE_AND('Raw Data'!$L68, 64),"X","")</f>
        <v/>
      </c>
      <c r="V67" s="18" t="str">
        <f>IF(BITWISE_AND('Raw Data'!$L68, 2),"X","")</f>
        <v/>
      </c>
      <c r="W67" s="18" t="str">
        <f>IF(BITWISE_AND('Raw Data'!$L68, 1),"X","")</f>
        <v/>
      </c>
      <c r="X67" s="19" t="str">
        <f>IF(BITWISE_AND('Raw Data'!M68, 1),"Bat Voltage", IF(BITWISE_AND('Raw Data'!M68, 2), "Charge Current", IF(BITWISE_AND('Raw Data'!M68, 4),"Input Ilim", IF(BITWISE_AND('Raw Data'!M68, 8), "Input UV", "none"))))</f>
        <v>none</v>
      </c>
    </row>
    <row r="68" spans="1:24" x14ac:dyDescent="0.2">
      <c r="A68" s="15">
        <f>A67+TIME(0,0,'Raw Data'!B68)</f>
        <v>0</v>
      </c>
      <c r="B68" s="4">
        <f>'Raw Data'!C69*0.025</f>
        <v>0</v>
      </c>
      <c r="C68" s="4">
        <f t="shared" si="3"/>
        <v>0</v>
      </c>
      <c r="D68" s="4">
        <f>'Raw Data'!D69*0.025</f>
        <v>0</v>
      </c>
      <c r="E68" s="4">
        <f t="shared" si="4"/>
        <v>0</v>
      </c>
      <c r="F68" s="4">
        <f>'Raw Data'!E69*0.001648</f>
        <v>0</v>
      </c>
      <c r="G68" s="4">
        <f>'Raw Data'!F69*0.001648</f>
        <v>0</v>
      </c>
      <c r="H68" s="4">
        <f>'Raw Data'!G69*6*0.000128176</f>
        <v>0</v>
      </c>
      <c r="I68" s="4">
        <f>'Raw Data'!H69*0.000732435</f>
        <v>0</v>
      </c>
      <c r="J68" s="4">
        <f t="shared" si="5"/>
        <v>0</v>
      </c>
      <c r="K68" s="36">
        <f>IF(('Raw Data'!I69-16384)/32768&lt;0,0,('Raw Data'!I69-16384)/32768)</f>
        <v>0</v>
      </c>
      <c r="L68" s="4">
        <f>IF(('Raw Data'!J69-12010)/45.6=-263.377192982456,0,('Raw Data'!J69-12010)/45.6)</f>
        <v>0</v>
      </c>
      <c r="M68" s="16">
        <f>'Raw Data'!N69*2^-8</f>
        <v>0</v>
      </c>
      <c r="N68" s="16">
        <f>'Raw Data'!O69*2^-8</f>
        <v>0</v>
      </c>
      <c r="O68" s="17" t="str">
        <f>IF(BITWISE_AND('Raw Data'!$K69, 8192),"X","")</f>
        <v/>
      </c>
      <c r="P68" s="17" t="str">
        <f>IF(BITWISE_AND('Raw Data'!$K69, 2048),"X","")</f>
        <v/>
      </c>
      <c r="Q68" s="17" t="str">
        <f>IF(BITWISE_AND('Raw Data'!$K69, 64),"X","")</f>
        <v/>
      </c>
      <c r="R68" s="18" t="str">
        <f>IF(BITWISE_AND('Raw Data'!$L69, 1024),"X","")</f>
        <v/>
      </c>
      <c r="S68" s="18" t="str">
        <f>IF(BITWISE_AND('Raw Data'!$L69, 512),"X","")</f>
        <v/>
      </c>
      <c r="T68" s="18" t="str">
        <f>IF(BITWISE_AND('Raw Data'!$L69, 256),"X","")</f>
        <v/>
      </c>
      <c r="U68" s="18" t="str">
        <f>IF(BITWISE_AND('Raw Data'!$L69, 64),"X","")</f>
        <v/>
      </c>
      <c r="V68" s="18" t="str">
        <f>IF(BITWISE_AND('Raw Data'!$L69, 2),"X","")</f>
        <v/>
      </c>
      <c r="W68" s="18" t="str">
        <f>IF(BITWISE_AND('Raw Data'!$L69, 1),"X","")</f>
        <v/>
      </c>
      <c r="X68" s="19" t="str">
        <f>IF(BITWISE_AND('Raw Data'!M69, 1),"Bat Voltage", IF(BITWISE_AND('Raw Data'!M69, 2), "Charge Current", IF(BITWISE_AND('Raw Data'!M69, 4),"Input Ilim", IF(BITWISE_AND('Raw Data'!M69, 8), "Input UV", "none"))))</f>
        <v>none</v>
      </c>
    </row>
    <row r="69" spans="1:24" x14ac:dyDescent="0.2">
      <c r="A69" s="15">
        <f>A68+TIME(0,0,'Raw Data'!B69)</f>
        <v>0</v>
      </c>
      <c r="B69" s="4">
        <f>'Raw Data'!C70*0.025</f>
        <v>0</v>
      </c>
      <c r="C69" s="4">
        <f t="shared" si="3"/>
        <v>0</v>
      </c>
      <c r="D69" s="4">
        <f>'Raw Data'!D70*0.025</f>
        <v>0</v>
      </c>
      <c r="E69" s="4">
        <f t="shared" si="4"/>
        <v>0</v>
      </c>
      <c r="F69" s="4">
        <f>'Raw Data'!E70*0.001648</f>
        <v>0</v>
      </c>
      <c r="G69" s="4">
        <f>'Raw Data'!F70*0.001648</f>
        <v>0</v>
      </c>
      <c r="H69" s="4">
        <f>'Raw Data'!G70*6*0.000128176</f>
        <v>0</v>
      </c>
      <c r="I69" s="4">
        <f>'Raw Data'!H70*0.000732435</f>
        <v>0</v>
      </c>
      <c r="J69" s="4">
        <f t="shared" si="5"/>
        <v>0</v>
      </c>
      <c r="K69" s="36">
        <f>IF(('Raw Data'!I70-16384)/32768&lt;0,0,('Raw Data'!I70-16384)/32768)</f>
        <v>0</v>
      </c>
      <c r="L69" s="4">
        <f>IF(('Raw Data'!J70-12010)/45.6=-263.377192982456,0,('Raw Data'!J70-12010)/45.6)</f>
        <v>0</v>
      </c>
      <c r="M69" s="16">
        <f>'Raw Data'!N70*2^-8</f>
        <v>0</v>
      </c>
      <c r="N69" s="16">
        <f>'Raw Data'!O70*2^-8</f>
        <v>0</v>
      </c>
      <c r="O69" s="17" t="str">
        <f>IF(BITWISE_AND('Raw Data'!$K70, 8192),"X","")</f>
        <v/>
      </c>
      <c r="P69" s="17" t="str">
        <f>IF(BITWISE_AND('Raw Data'!$K70, 2048),"X","")</f>
        <v/>
      </c>
      <c r="Q69" s="17" t="str">
        <f>IF(BITWISE_AND('Raw Data'!$K70, 64),"X","")</f>
        <v/>
      </c>
      <c r="R69" s="18" t="str">
        <f>IF(BITWISE_AND('Raw Data'!$L70, 1024),"X","")</f>
        <v/>
      </c>
      <c r="S69" s="18" t="str">
        <f>IF(BITWISE_AND('Raw Data'!$L70, 512),"X","")</f>
        <v/>
      </c>
      <c r="T69" s="18" t="str">
        <f>IF(BITWISE_AND('Raw Data'!$L70, 256),"X","")</f>
        <v/>
      </c>
      <c r="U69" s="18" t="str">
        <f>IF(BITWISE_AND('Raw Data'!$L70, 64),"X","")</f>
        <v/>
      </c>
      <c r="V69" s="18" t="str">
        <f>IF(BITWISE_AND('Raw Data'!$L70, 2),"X","")</f>
        <v/>
      </c>
      <c r="W69" s="18" t="str">
        <f>IF(BITWISE_AND('Raw Data'!$L70, 1),"X","")</f>
        <v/>
      </c>
      <c r="X69" s="19" t="str">
        <f>IF(BITWISE_AND('Raw Data'!M70, 1),"Bat Voltage", IF(BITWISE_AND('Raw Data'!M70, 2), "Charge Current", IF(BITWISE_AND('Raw Data'!M70, 4),"Input Ilim", IF(BITWISE_AND('Raw Data'!M70, 8), "Input UV", "none"))))</f>
        <v>none</v>
      </c>
    </row>
    <row r="70" spans="1:24" x14ac:dyDescent="0.2">
      <c r="A70" s="15">
        <f>A69+TIME(0,0,'Raw Data'!B70)</f>
        <v>0</v>
      </c>
      <c r="B70" s="4">
        <f>'Raw Data'!C71*0.025</f>
        <v>0</v>
      </c>
      <c r="C70" s="4">
        <f t="shared" si="3"/>
        <v>0</v>
      </c>
      <c r="D70" s="4">
        <f>'Raw Data'!D71*0.025</f>
        <v>0</v>
      </c>
      <c r="E70" s="4">
        <f t="shared" si="4"/>
        <v>0</v>
      </c>
      <c r="F70" s="4">
        <f>'Raw Data'!E71*0.001648</f>
        <v>0</v>
      </c>
      <c r="G70" s="4">
        <f>'Raw Data'!F71*0.001648</f>
        <v>0</v>
      </c>
      <c r="H70" s="4">
        <f>'Raw Data'!G71*6*0.000128176</f>
        <v>0</v>
      </c>
      <c r="I70" s="4">
        <f>'Raw Data'!H71*0.000732435</f>
        <v>0</v>
      </c>
      <c r="J70" s="4">
        <f t="shared" si="5"/>
        <v>0</v>
      </c>
      <c r="K70" s="36">
        <f>IF(('Raw Data'!I71-16384)/32768&lt;0,0,('Raw Data'!I71-16384)/32768)</f>
        <v>0</v>
      </c>
      <c r="L70" s="4">
        <f>IF(('Raw Data'!J71-12010)/45.6=-263.377192982456,0,('Raw Data'!J71-12010)/45.6)</f>
        <v>0</v>
      </c>
      <c r="M70" s="16">
        <f>'Raw Data'!N71*2^-8</f>
        <v>0</v>
      </c>
      <c r="N70" s="16">
        <f>'Raw Data'!O71*2^-8</f>
        <v>0</v>
      </c>
      <c r="O70" s="17" t="str">
        <f>IF(BITWISE_AND('Raw Data'!$K71, 8192),"X","")</f>
        <v/>
      </c>
      <c r="P70" s="17" t="str">
        <f>IF(BITWISE_AND('Raw Data'!$K71, 2048),"X","")</f>
        <v/>
      </c>
      <c r="Q70" s="17" t="str">
        <f>IF(BITWISE_AND('Raw Data'!$K71, 64),"X","")</f>
        <v/>
      </c>
      <c r="R70" s="18" t="str">
        <f>IF(BITWISE_AND('Raw Data'!$L71, 1024),"X","")</f>
        <v/>
      </c>
      <c r="S70" s="18" t="str">
        <f>IF(BITWISE_AND('Raw Data'!$L71, 512),"X","")</f>
        <v/>
      </c>
      <c r="T70" s="18" t="str">
        <f>IF(BITWISE_AND('Raw Data'!$L71, 256),"X","")</f>
        <v/>
      </c>
      <c r="U70" s="18" t="str">
        <f>IF(BITWISE_AND('Raw Data'!$L71, 64),"X","")</f>
        <v/>
      </c>
      <c r="V70" s="18" t="str">
        <f>IF(BITWISE_AND('Raw Data'!$L71, 2),"X","")</f>
        <v/>
      </c>
      <c r="W70" s="18" t="str">
        <f>IF(BITWISE_AND('Raw Data'!$L71, 1),"X","")</f>
        <v/>
      </c>
      <c r="X70" s="19" t="str">
        <f>IF(BITWISE_AND('Raw Data'!M71, 1),"Bat Voltage", IF(BITWISE_AND('Raw Data'!M71, 2), "Charge Current", IF(BITWISE_AND('Raw Data'!M71, 4),"Input Ilim", IF(BITWISE_AND('Raw Data'!M71, 8), "Input UV", "none"))))</f>
        <v>none</v>
      </c>
    </row>
    <row r="71" spans="1:24" x14ac:dyDescent="0.2">
      <c r="A71" s="15">
        <f>A70+TIME(0,0,'Raw Data'!B71)</f>
        <v>0</v>
      </c>
      <c r="B71" s="4">
        <f>'Raw Data'!C72*0.025</f>
        <v>0</v>
      </c>
      <c r="C71" s="4">
        <f t="shared" si="3"/>
        <v>0</v>
      </c>
      <c r="D71" s="4">
        <f>'Raw Data'!D72*0.025</f>
        <v>0</v>
      </c>
      <c r="E71" s="4">
        <f t="shared" si="4"/>
        <v>0</v>
      </c>
      <c r="F71" s="4">
        <f>'Raw Data'!E72*0.001648</f>
        <v>0</v>
      </c>
      <c r="G71" s="4">
        <f>'Raw Data'!F72*0.001648</f>
        <v>0</v>
      </c>
      <c r="H71" s="4">
        <f>'Raw Data'!G72*6*0.000128176</f>
        <v>0</v>
      </c>
      <c r="I71" s="4">
        <f>'Raw Data'!H72*0.000732435</f>
        <v>0</v>
      </c>
      <c r="J71" s="4">
        <f t="shared" si="5"/>
        <v>0</v>
      </c>
      <c r="K71" s="36">
        <f>IF(('Raw Data'!I72-16384)/32768&lt;0,0,('Raw Data'!I72-16384)/32768)</f>
        <v>0</v>
      </c>
      <c r="L71" s="4">
        <f>IF(('Raw Data'!J72-12010)/45.6=-263.377192982456,0,('Raw Data'!J72-12010)/45.6)</f>
        <v>0</v>
      </c>
      <c r="M71" s="16">
        <f>'Raw Data'!N72*2^-8</f>
        <v>0</v>
      </c>
      <c r="N71" s="16">
        <f>'Raw Data'!O72*2^-8</f>
        <v>0</v>
      </c>
      <c r="O71" s="17" t="str">
        <f>IF(BITWISE_AND('Raw Data'!$K72, 8192),"X","")</f>
        <v/>
      </c>
      <c r="P71" s="17" t="str">
        <f>IF(BITWISE_AND('Raw Data'!$K72, 2048),"X","")</f>
        <v/>
      </c>
      <c r="Q71" s="17" t="str">
        <f>IF(BITWISE_AND('Raw Data'!$K72, 64),"X","")</f>
        <v/>
      </c>
      <c r="R71" s="18" t="str">
        <f>IF(BITWISE_AND('Raw Data'!$L72, 1024),"X","")</f>
        <v/>
      </c>
      <c r="S71" s="18" t="str">
        <f>IF(BITWISE_AND('Raw Data'!$L72, 512),"X","")</f>
        <v/>
      </c>
      <c r="T71" s="18" t="str">
        <f>IF(BITWISE_AND('Raw Data'!$L72, 256),"X","")</f>
        <v/>
      </c>
      <c r="U71" s="18" t="str">
        <f>IF(BITWISE_AND('Raw Data'!$L72, 64),"X","")</f>
        <v/>
      </c>
      <c r="V71" s="18" t="str">
        <f>IF(BITWISE_AND('Raw Data'!$L72, 2),"X","")</f>
        <v/>
      </c>
      <c r="W71" s="18" t="str">
        <f>IF(BITWISE_AND('Raw Data'!$L72, 1),"X","")</f>
        <v/>
      </c>
      <c r="X71" s="19" t="str">
        <f>IF(BITWISE_AND('Raw Data'!M72, 1),"Bat Voltage", IF(BITWISE_AND('Raw Data'!M72, 2), "Charge Current", IF(BITWISE_AND('Raw Data'!M72, 4),"Input Ilim", IF(BITWISE_AND('Raw Data'!M72, 8), "Input UV", "none"))))</f>
        <v>none</v>
      </c>
    </row>
    <row r="72" spans="1:24" x14ac:dyDescent="0.2">
      <c r="A72" s="15">
        <f>A71+TIME(0,0,'Raw Data'!B72)</f>
        <v>0</v>
      </c>
      <c r="B72" s="4">
        <f>'Raw Data'!C73*0.025</f>
        <v>0</v>
      </c>
      <c r="C72" s="4">
        <f t="shared" si="3"/>
        <v>0</v>
      </c>
      <c r="D72" s="4">
        <f>'Raw Data'!D73*0.025</f>
        <v>0</v>
      </c>
      <c r="E72" s="4">
        <f t="shared" si="4"/>
        <v>0</v>
      </c>
      <c r="F72" s="4">
        <f>'Raw Data'!E73*0.001648</f>
        <v>0</v>
      </c>
      <c r="G72" s="4">
        <f>'Raw Data'!F73*0.001648</f>
        <v>0</v>
      </c>
      <c r="H72" s="4">
        <f>'Raw Data'!G73*6*0.000128176</f>
        <v>0</v>
      </c>
      <c r="I72" s="4">
        <f>'Raw Data'!H73*0.000732435</f>
        <v>0</v>
      </c>
      <c r="J72" s="4">
        <f t="shared" si="5"/>
        <v>0</v>
      </c>
      <c r="K72" s="36">
        <f>IF(('Raw Data'!I73-16384)/32768&lt;0,0,('Raw Data'!I73-16384)/32768)</f>
        <v>0</v>
      </c>
      <c r="L72" s="4">
        <f>IF(('Raw Data'!J73-12010)/45.6=-263.377192982456,0,('Raw Data'!J73-12010)/45.6)</f>
        <v>0</v>
      </c>
      <c r="M72" s="16">
        <f>'Raw Data'!N73*2^-8</f>
        <v>0</v>
      </c>
      <c r="N72" s="16">
        <f>'Raw Data'!O73*2^-8</f>
        <v>0</v>
      </c>
      <c r="O72" s="17" t="str">
        <f>IF(BITWISE_AND('Raw Data'!$K73, 8192),"X","")</f>
        <v/>
      </c>
      <c r="P72" s="17" t="str">
        <f>IF(BITWISE_AND('Raw Data'!$K73, 2048),"X","")</f>
        <v/>
      </c>
      <c r="Q72" s="17" t="str">
        <f>IF(BITWISE_AND('Raw Data'!$K73, 64),"X","")</f>
        <v/>
      </c>
      <c r="R72" s="18" t="str">
        <f>IF(BITWISE_AND('Raw Data'!$L73, 1024),"X","")</f>
        <v/>
      </c>
      <c r="S72" s="18" t="str">
        <f>IF(BITWISE_AND('Raw Data'!$L73, 512),"X","")</f>
        <v/>
      </c>
      <c r="T72" s="18" t="str">
        <f>IF(BITWISE_AND('Raw Data'!$L73, 256),"X","")</f>
        <v/>
      </c>
      <c r="U72" s="18" t="str">
        <f>IF(BITWISE_AND('Raw Data'!$L73, 64),"X","")</f>
        <v/>
      </c>
      <c r="V72" s="18" t="str">
        <f>IF(BITWISE_AND('Raw Data'!$L73, 2),"X","")</f>
        <v/>
      </c>
      <c r="W72" s="18" t="str">
        <f>IF(BITWISE_AND('Raw Data'!$L73, 1),"X","")</f>
        <v/>
      </c>
      <c r="X72" s="19" t="str">
        <f>IF(BITWISE_AND('Raw Data'!M73, 1),"Bat Voltage", IF(BITWISE_AND('Raw Data'!M73, 2), "Charge Current", IF(BITWISE_AND('Raw Data'!M73, 4),"Input Ilim", IF(BITWISE_AND('Raw Data'!M73, 8), "Input UV", "none"))))</f>
        <v>none</v>
      </c>
    </row>
    <row r="73" spans="1:24" x14ac:dyDescent="0.2">
      <c r="A73" s="15">
        <f>A72+TIME(0,0,'Raw Data'!B73)</f>
        <v>0</v>
      </c>
      <c r="B73" s="4">
        <f>'Raw Data'!C74*0.025</f>
        <v>0</v>
      </c>
      <c r="C73" s="4">
        <f t="shared" si="3"/>
        <v>0</v>
      </c>
      <c r="D73" s="4">
        <f>'Raw Data'!D74*0.025</f>
        <v>0</v>
      </c>
      <c r="E73" s="4">
        <f t="shared" si="4"/>
        <v>0</v>
      </c>
      <c r="F73" s="4">
        <f>'Raw Data'!E74*0.001648</f>
        <v>0</v>
      </c>
      <c r="G73" s="4">
        <f>'Raw Data'!F74*0.001648</f>
        <v>0</v>
      </c>
      <c r="H73" s="4">
        <f>'Raw Data'!G74*6*0.000128176</f>
        <v>0</v>
      </c>
      <c r="I73" s="4">
        <f>'Raw Data'!H74*0.000732435</f>
        <v>0</v>
      </c>
      <c r="J73" s="4">
        <f t="shared" si="5"/>
        <v>0</v>
      </c>
      <c r="K73" s="36">
        <f>IF(('Raw Data'!I74-16384)/32768&lt;0,0,('Raw Data'!I74-16384)/32768)</f>
        <v>0</v>
      </c>
      <c r="L73" s="4">
        <f>IF(('Raw Data'!J74-12010)/45.6=-263.377192982456,0,('Raw Data'!J74-12010)/45.6)</f>
        <v>0</v>
      </c>
      <c r="M73" s="16">
        <f>'Raw Data'!N74*2^-8</f>
        <v>0</v>
      </c>
      <c r="N73" s="16">
        <f>'Raw Data'!O74*2^-8</f>
        <v>0</v>
      </c>
      <c r="O73" s="17" t="str">
        <f>IF(BITWISE_AND('Raw Data'!$K74, 8192),"X","")</f>
        <v/>
      </c>
      <c r="P73" s="17" t="str">
        <f>IF(BITWISE_AND('Raw Data'!$K74, 2048),"X","")</f>
        <v/>
      </c>
      <c r="Q73" s="17" t="str">
        <f>IF(BITWISE_AND('Raw Data'!$K74, 64),"X","")</f>
        <v/>
      </c>
      <c r="R73" s="18" t="str">
        <f>IF(BITWISE_AND('Raw Data'!$L74, 1024),"X","")</f>
        <v/>
      </c>
      <c r="S73" s="18" t="str">
        <f>IF(BITWISE_AND('Raw Data'!$L74, 512),"X","")</f>
        <v/>
      </c>
      <c r="T73" s="18" t="str">
        <f>IF(BITWISE_AND('Raw Data'!$L74, 256),"X","")</f>
        <v/>
      </c>
      <c r="U73" s="18" t="str">
        <f>IF(BITWISE_AND('Raw Data'!$L74, 64),"X","")</f>
        <v/>
      </c>
      <c r="V73" s="18" t="str">
        <f>IF(BITWISE_AND('Raw Data'!$L74, 2),"X","")</f>
        <v/>
      </c>
      <c r="W73" s="18" t="str">
        <f>IF(BITWISE_AND('Raw Data'!$L74, 1),"X","")</f>
        <v/>
      </c>
      <c r="X73" s="19" t="str">
        <f>IF(BITWISE_AND('Raw Data'!M74, 1),"Bat Voltage", IF(BITWISE_AND('Raw Data'!M74, 2), "Charge Current", IF(BITWISE_AND('Raw Data'!M74, 4),"Input Ilim", IF(BITWISE_AND('Raw Data'!M74, 8), "Input UV", "none"))))</f>
        <v>none</v>
      </c>
    </row>
    <row r="74" spans="1:24" x14ac:dyDescent="0.2">
      <c r="A74" s="15">
        <f>A73+TIME(0,0,'Raw Data'!B74)</f>
        <v>0</v>
      </c>
      <c r="B74" s="4">
        <f>'Raw Data'!C75*0.025</f>
        <v>0</v>
      </c>
      <c r="C74" s="4">
        <f t="shared" si="3"/>
        <v>0</v>
      </c>
      <c r="D74" s="4">
        <f>'Raw Data'!D75*0.025</f>
        <v>0</v>
      </c>
      <c r="E74" s="4">
        <f t="shared" si="4"/>
        <v>0</v>
      </c>
      <c r="F74" s="4">
        <f>'Raw Data'!E75*0.001648</f>
        <v>0</v>
      </c>
      <c r="G74" s="4">
        <f>'Raw Data'!F75*0.001648</f>
        <v>0</v>
      </c>
      <c r="H74" s="4">
        <f>'Raw Data'!G75*6*0.000128176</f>
        <v>0</v>
      </c>
      <c r="I74" s="4">
        <f>'Raw Data'!H75*0.000732435</f>
        <v>0</v>
      </c>
      <c r="J74" s="4">
        <f t="shared" si="5"/>
        <v>0</v>
      </c>
      <c r="K74" s="36">
        <f>IF(('Raw Data'!I75-16384)/32768&lt;0,0,('Raw Data'!I75-16384)/32768)</f>
        <v>0</v>
      </c>
      <c r="L74" s="4">
        <f>IF(('Raw Data'!J75-12010)/45.6=-263.377192982456,0,('Raw Data'!J75-12010)/45.6)</f>
        <v>0</v>
      </c>
      <c r="M74" s="16">
        <f>'Raw Data'!N75*2^-8</f>
        <v>0</v>
      </c>
      <c r="N74" s="16">
        <f>'Raw Data'!O75*2^-8</f>
        <v>0</v>
      </c>
      <c r="O74" s="17" t="str">
        <f>IF(BITWISE_AND('Raw Data'!$K75, 8192),"X","")</f>
        <v/>
      </c>
      <c r="P74" s="17" t="str">
        <f>IF(BITWISE_AND('Raw Data'!$K75, 2048),"X","")</f>
        <v/>
      </c>
      <c r="Q74" s="17" t="str">
        <f>IF(BITWISE_AND('Raw Data'!$K75, 64),"X","")</f>
        <v/>
      </c>
      <c r="R74" s="18" t="str">
        <f>IF(BITWISE_AND('Raw Data'!$L75, 1024),"X","")</f>
        <v/>
      </c>
      <c r="S74" s="18" t="str">
        <f>IF(BITWISE_AND('Raw Data'!$L75, 512),"X","")</f>
        <v/>
      </c>
      <c r="T74" s="18" t="str">
        <f>IF(BITWISE_AND('Raw Data'!$L75, 256),"X","")</f>
        <v/>
      </c>
      <c r="U74" s="18" t="str">
        <f>IF(BITWISE_AND('Raw Data'!$L75, 64),"X","")</f>
        <v/>
      </c>
      <c r="V74" s="18" t="str">
        <f>IF(BITWISE_AND('Raw Data'!$L75, 2),"X","")</f>
        <v/>
      </c>
      <c r="W74" s="18" t="str">
        <f>IF(BITWISE_AND('Raw Data'!$L75, 1),"X","")</f>
        <v/>
      </c>
      <c r="X74" s="19" t="str">
        <f>IF(BITWISE_AND('Raw Data'!M75, 1),"Bat Voltage", IF(BITWISE_AND('Raw Data'!M75, 2), "Charge Current", IF(BITWISE_AND('Raw Data'!M75, 4),"Input Ilim", IF(BITWISE_AND('Raw Data'!M75, 8), "Input UV", "none"))))</f>
        <v>none</v>
      </c>
    </row>
    <row r="75" spans="1:24" x14ac:dyDescent="0.2">
      <c r="A75" s="15">
        <f>A74+TIME(0,0,'Raw Data'!B75)</f>
        <v>0</v>
      </c>
      <c r="B75" s="4">
        <f>'Raw Data'!C76*0.025</f>
        <v>0</v>
      </c>
      <c r="C75" s="4">
        <f t="shared" si="3"/>
        <v>0</v>
      </c>
      <c r="D75" s="4">
        <f>'Raw Data'!D76*0.025</f>
        <v>0</v>
      </c>
      <c r="E75" s="4">
        <f t="shared" si="4"/>
        <v>0</v>
      </c>
      <c r="F75" s="4">
        <f>'Raw Data'!E76*0.001648</f>
        <v>0</v>
      </c>
      <c r="G75" s="4">
        <f>'Raw Data'!F76*0.001648</f>
        <v>0</v>
      </c>
      <c r="H75" s="4">
        <f>'Raw Data'!G76*6*0.000128176</f>
        <v>0</v>
      </c>
      <c r="I75" s="4">
        <f>'Raw Data'!H76*0.000732435</f>
        <v>0</v>
      </c>
      <c r="J75" s="4">
        <f t="shared" si="5"/>
        <v>0</v>
      </c>
      <c r="K75" s="36">
        <f>IF(('Raw Data'!I76-16384)/32768&lt;0,0,('Raw Data'!I76-16384)/32768)</f>
        <v>0</v>
      </c>
      <c r="L75" s="4">
        <f>IF(('Raw Data'!J76-12010)/45.6=-263.377192982456,0,('Raw Data'!J76-12010)/45.6)</f>
        <v>0</v>
      </c>
      <c r="M75" s="16">
        <f>'Raw Data'!N76*2^-8</f>
        <v>0</v>
      </c>
      <c r="N75" s="16">
        <f>'Raw Data'!O76*2^-8</f>
        <v>0</v>
      </c>
      <c r="O75" s="17" t="str">
        <f>IF(BITWISE_AND('Raw Data'!$K76, 8192),"X","")</f>
        <v/>
      </c>
      <c r="P75" s="17" t="str">
        <f>IF(BITWISE_AND('Raw Data'!$K76, 2048),"X","")</f>
        <v/>
      </c>
      <c r="Q75" s="17" t="str">
        <f>IF(BITWISE_AND('Raw Data'!$K76, 64),"X","")</f>
        <v/>
      </c>
      <c r="R75" s="18" t="str">
        <f>IF(BITWISE_AND('Raw Data'!$L76, 1024),"X","")</f>
        <v/>
      </c>
      <c r="S75" s="18" t="str">
        <f>IF(BITWISE_AND('Raw Data'!$L76, 512),"X","")</f>
        <v/>
      </c>
      <c r="T75" s="18" t="str">
        <f>IF(BITWISE_AND('Raw Data'!$L76, 256),"X","")</f>
        <v/>
      </c>
      <c r="U75" s="18" t="str">
        <f>IF(BITWISE_AND('Raw Data'!$L76, 64),"X","")</f>
        <v/>
      </c>
      <c r="V75" s="18" t="str">
        <f>IF(BITWISE_AND('Raw Data'!$L76, 2),"X","")</f>
        <v/>
      </c>
      <c r="W75" s="18" t="str">
        <f>IF(BITWISE_AND('Raw Data'!$L76, 1),"X","")</f>
        <v/>
      </c>
      <c r="X75" s="19" t="str">
        <f>IF(BITWISE_AND('Raw Data'!M76, 1),"Bat Voltage", IF(BITWISE_AND('Raw Data'!M76, 2), "Charge Current", IF(BITWISE_AND('Raw Data'!M76, 4),"Input Ilim", IF(BITWISE_AND('Raw Data'!M76, 8), "Input UV", "none"))))</f>
        <v>none</v>
      </c>
    </row>
    <row r="76" spans="1:24" x14ac:dyDescent="0.2">
      <c r="A76" s="15">
        <f>A75+TIME(0,0,'Raw Data'!B76)</f>
        <v>0</v>
      </c>
      <c r="B76" s="4">
        <f>'Raw Data'!C77*0.025</f>
        <v>0</v>
      </c>
      <c r="C76" s="4">
        <f t="shared" si="3"/>
        <v>0</v>
      </c>
      <c r="D76" s="4">
        <f>'Raw Data'!D77*0.025</f>
        <v>0</v>
      </c>
      <c r="E76" s="4">
        <f t="shared" si="4"/>
        <v>0</v>
      </c>
      <c r="F76" s="4">
        <f>'Raw Data'!E77*0.001648</f>
        <v>0</v>
      </c>
      <c r="G76" s="4">
        <f>'Raw Data'!F77*0.001648</f>
        <v>0</v>
      </c>
      <c r="H76" s="4">
        <f>'Raw Data'!G77*6*0.000128176</f>
        <v>0</v>
      </c>
      <c r="I76" s="4">
        <f>'Raw Data'!H77*0.000732435</f>
        <v>0</v>
      </c>
      <c r="J76" s="4">
        <f t="shared" si="5"/>
        <v>0</v>
      </c>
      <c r="K76" s="36">
        <f>IF(('Raw Data'!I77-16384)/32768&lt;0,0,('Raw Data'!I77-16384)/32768)</f>
        <v>0</v>
      </c>
      <c r="L76" s="4">
        <f>IF(('Raw Data'!J77-12010)/45.6=-263.377192982456,0,('Raw Data'!J77-12010)/45.6)</f>
        <v>0</v>
      </c>
      <c r="M76" s="16">
        <f>'Raw Data'!N77*2^-8</f>
        <v>0</v>
      </c>
      <c r="N76" s="16">
        <f>'Raw Data'!O77*2^-8</f>
        <v>0</v>
      </c>
      <c r="O76" s="17" t="str">
        <f>IF(BITWISE_AND('Raw Data'!$K77, 8192),"X","")</f>
        <v/>
      </c>
      <c r="P76" s="17" t="str">
        <f>IF(BITWISE_AND('Raw Data'!$K77, 2048),"X","")</f>
        <v/>
      </c>
      <c r="Q76" s="17" t="str">
        <f>IF(BITWISE_AND('Raw Data'!$K77, 64),"X","")</f>
        <v/>
      </c>
      <c r="R76" s="18" t="str">
        <f>IF(BITWISE_AND('Raw Data'!$L77, 1024),"X","")</f>
        <v/>
      </c>
      <c r="S76" s="18" t="str">
        <f>IF(BITWISE_AND('Raw Data'!$L77, 512),"X","")</f>
        <v/>
      </c>
      <c r="T76" s="18" t="str">
        <f>IF(BITWISE_AND('Raw Data'!$L77, 256),"X","")</f>
        <v/>
      </c>
      <c r="U76" s="18" t="str">
        <f>IF(BITWISE_AND('Raw Data'!$L77, 64),"X","")</f>
        <v/>
      </c>
      <c r="V76" s="18" t="str">
        <f>IF(BITWISE_AND('Raw Data'!$L77, 2),"X","")</f>
        <v/>
      </c>
      <c r="W76" s="18" t="str">
        <f>IF(BITWISE_AND('Raw Data'!$L77, 1),"X","")</f>
        <v/>
      </c>
      <c r="X76" s="19" t="str">
        <f>IF(BITWISE_AND('Raw Data'!M77, 1),"Bat Voltage", IF(BITWISE_AND('Raw Data'!M77, 2), "Charge Current", IF(BITWISE_AND('Raw Data'!M77, 4),"Input Ilim", IF(BITWISE_AND('Raw Data'!M77, 8), "Input UV", "none"))))</f>
        <v>none</v>
      </c>
    </row>
    <row r="77" spans="1:24" x14ac:dyDescent="0.2">
      <c r="A77" s="15">
        <f>A76+TIME(0,0,'Raw Data'!B77)</f>
        <v>0</v>
      </c>
      <c r="B77" s="4">
        <f>'Raw Data'!C78*0.025</f>
        <v>0</v>
      </c>
      <c r="C77" s="4">
        <f t="shared" si="3"/>
        <v>0</v>
      </c>
      <c r="D77" s="4">
        <f>'Raw Data'!D78*0.025</f>
        <v>0</v>
      </c>
      <c r="E77" s="4">
        <f t="shared" si="4"/>
        <v>0</v>
      </c>
      <c r="F77" s="4">
        <f>'Raw Data'!E78*0.001648</f>
        <v>0</v>
      </c>
      <c r="G77" s="4">
        <f>'Raw Data'!F78*0.001648</f>
        <v>0</v>
      </c>
      <c r="H77" s="4">
        <f>'Raw Data'!G78*6*0.000128176</f>
        <v>0</v>
      </c>
      <c r="I77" s="4">
        <f>'Raw Data'!H78*0.000732435</f>
        <v>0</v>
      </c>
      <c r="J77" s="4">
        <f t="shared" si="5"/>
        <v>0</v>
      </c>
      <c r="K77" s="36">
        <f>IF(('Raw Data'!I78-16384)/32768&lt;0,0,('Raw Data'!I78-16384)/32768)</f>
        <v>0</v>
      </c>
      <c r="L77" s="4">
        <f>IF(('Raw Data'!J78-12010)/45.6=-263.377192982456,0,('Raw Data'!J78-12010)/45.6)</f>
        <v>0</v>
      </c>
      <c r="M77" s="16">
        <f>'Raw Data'!N78*2^-8</f>
        <v>0</v>
      </c>
      <c r="N77" s="16">
        <f>'Raw Data'!O78*2^-8</f>
        <v>0</v>
      </c>
      <c r="O77" s="17" t="str">
        <f>IF(BITWISE_AND('Raw Data'!$K78, 8192),"X","")</f>
        <v/>
      </c>
      <c r="P77" s="17" t="str">
        <f>IF(BITWISE_AND('Raw Data'!$K78, 2048),"X","")</f>
        <v/>
      </c>
      <c r="Q77" s="17" t="str">
        <f>IF(BITWISE_AND('Raw Data'!$K78, 64),"X","")</f>
        <v/>
      </c>
      <c r="R77" s="18" t="str">
        <f>IF(BITWISE_AND('Raw Data'!$L78, 1024),"X","")</f>
        <v/>
      </c>
      <c r="S77" s="18" t="str">
        <f>IF(BITWISE_AND('Raw Data'!$L78, 512),"X","")</f>
        <v/>
      </c>
      <c r="T77" s="18" t="str">
        <f>IF(BITWISE_AND('Raw Data'!$L78, 256),"X","")</f>
        <v/>
      </c>
      <c r="U77" s="18" t="str">
        <f>IF(BITWISE_AND('Raw Data'!$L78, 64),"X","")</f>
        <v/>
      </c>
      <c r="V77" s="18" t="str">
        <f>IF(BITWISE_AND('Raw Data'!$L78, 2),"X","")</f>
        <v/>
      </c>
      <c r="W77" s="18" t="str">
        <f>IF(BITWISE_AND('Raw Data'!$L78, 1),"X","")</f>
        <v/>
      </c>
      <c r="X77" s="19" t="str">
        <f>IF(BITWISE_AND('Raw Data'!M78, 1),"Bat Voltage", IF(BITWISE_AND('Raw Data'!M78, 2), "Charge Current", IF(BITWISE_AND('Raw Data'!M78, 4),"Input Ilim", IF(BITWISE_AND('Raw Data'!M78, 8), "Input UV", "none"))))</f>
        <v>none</v>
      </c>
    </row>
    <row r="78" spans="1:24" x14ac:dyDescent="0.2">
      <c r="A78" s="15">
        <f>A77+TIME(0,0,'Raw Data'!B78)</f>
        <v>0</v>
      </c>
      <c r="B78" s="4">
        <f>'Raw Data'!C79*0.025</f>
        <v>0</v>
      </c>
      <c r="C78" s="4">
        <f t="shared" si="3"/>
        <v>0</v>
      </c>
      <c r="D78" s="4">
        <f>'Raw Data'!D79*0.025</f>
        <v>0</v>
      </c>
      <c r="E78" s="4">
        <f t="shared" si="4"/>
        <v>0</v>
      </c>
      <c r="F78" s="4">
        <f>'Raw Data'!E79*0.001648</f>
        <v>0</v>
      </c>
      <c r="G78" s="4">
        <f>'Raw Data'!F79*0.001648</f>
        <v>0</v>
      </c>
      <c r="H78" s="4">
        <f>'Raw Data'!G79*6*0.000128176</f>
        <v>0</v>
      </c>
      <c r="I78" s="4">
        <f>'Raw Data'!H79*0.000732435</f>
        <v>0</v>
      </c>
      <c r="J78" s="4">
        <f t="shared" si="5"/>
        <v>0</v>
      </c>
      <c r="K78" s="36">
        <f>IF(('Raw Data'!I79-16384)/32768&lt;0,0,('Raw Data'!I79-16384)/32768)</f>
        <v>0</v>
      </c>
      <c r="L78" s="4">
        <f>IF(('Raw Data'!J79-12010)/45.6=-263.377192982456,0,('Raw Data'!J79-12010)/45.6)</f>
        <v>0</v>
      </c>
      <c r="M78" s="16">
        <f>'Raw Data'!N79*2^-8</f>
        <v>0</v>
      </c>
      <c r="N78" s="16">
        <f>'Raw Data'!O79*2^-8</f>
        <v>0</v>
      </c>
      <c r="O78" s="17" t="str">
        <f>IF(BITWISE_AND('Raw Data'!$K79, 8192),"X","")</f>
        <v/>
      </c>
      <c r="P78" s="17" t="str">
        <f>IF(BITWISE_AND('Raw Data'!$K79, 2048),"X","")</f>
        <v/>
      </c>
      <c r="Q78" s="17" t="str">
        <f>IF(BITWISE_AND('Raw Data'!$K79, 64),"X","")</f>
        <v/>
      </c>
      <c r="R78" s="18" t="str">
        <f>IF(BITWISE_AND('Raw Data'!$L79, 1024),"X","")</f>
        <v/>
      </c>
      <c r="S78" s="18" t="str">
        <f>IF(BITWISE_AND('Raw Data'!$L79, 512),"X","")</f>
        <v/>
      </c>
      <c r="T78" s="18" t="str">
        <f>IF(BITWISE_AND('Raw Data'!$L79, 256),"X","")</f>
        <v/>
      </c>
      <c r="U78" s="18" t="str">
        <f>IF(BITWISE_AND('Raw Data'!$L79, 64),"X","")</f>
        <v/>
      </c>
      <c r="V78" s="18" t="str">
        <f>IF(BITWISE_AND('Raw Data'!$L79, 2),"X","")</f>
        <v/>
      </c>
      <c r="W78" s="18" t="str">
        <f>IF(BITWISE_AND('Raw Data'!$L79, 1),"X","")</f>
        <v/>
      </c>
      <c r="X78" s="19" t="str">
        <f>IF(BITWISE_AND('Raw Data'!M79, 1),"Bat Voltage", IF(BITWISE_AND('Raw Data'!M79, 2), "Charge Current", IF(BITWISE_AND('Raw Data'!M79, 4),"Input Ilim", IF(BITWISE_AND('Raw Data'!M79, 8), "Input UV", "none"))))</f>
        <v>none</v>
      </c>
    </row>
    <row r="79" spans="1:24" x14ac:dyDescent="0.2">
      <c r="A79" s="15">
        <f>A78+TIME(0,0,'Raw Data'!B79)</f>
        <v>0</v>
      </c>
      <c r="B79" s="4">
        <f>'Raw Data'!C80*0.025</f>
        <v>0</v>
      </c>
      <c r="C79" s="4">
        <f t="shared" si="3"/>
        <v>0</v>
      </c>
      <c r="D79" s="4">
        <f>'Raw Data'!D80*0.025</f>
        <v>0</v>
      </c>
      <c r="E79" s="4">
        <f t="shared" si="4"/>
        <v>0</v>
      </c>
      <c r="F79" s="4">
        <f>'Raw Data'!E80*0.001648</f>
        <v>0</v>
      </c>
      <c r="G79" s="4">
        <f>'Raw Data'!F80*0.001648</f>
        <v>0</v>
      </c>
      <c r="H79" s="4">
        <f>'Raw Data'!G80*6*0.000128176</f>
        <v>0</v>
      </c>
      <c r="I79" s="4">
        <f>'Raw Data'!H80*0.000732435</f>
        <v>0</v>
      </c>
      <c r="J79" s="4">
        <f t="shared" si="5"/>
        <v>0</v>
      </c>
      <c r="K79" s="36">
        <f>IF(('Raw Data'!I80-16384)/32768&lt;0,0,('Raw Data'!I80-16384)/32768)</f>
        <v>0</v>
      </c>
      <c r="L79" s="4">
        <f>IF(('Raw Data'!J80-12010)/45.6=-263.377192982456,0,('Raw Data'!J80-12010)/45.6)</f>
        <v>0</v>
      </c>
      <c r="M79" s="16">
        <f>'Raw Data'!N80*2^-8</f>
        <v>0</v>
      </c>
      <c r="N79" s="16">
        <f>'Raw Data'!O80*2^-8</f>
        <v>0</v>
      </c>
      <c r="O79" s="17" t="str">
        <f>IF(BITWISE_AND('Raw Data'!$K80, 8192),"X","")</f>
        <v/>
      </c>
      <c r="P79" s="17" t="str">
        <f>IF(BITWISE_AND('Raw Data'!$K80, 2048),"X","")</f>
        <v/>
      </c>
      <c r="Q79" s="17" t="str">
        <f>IF(BITWISE_AND('Raw Data'!$K80, 64),"X","")</f>
        <v/>
      </c>
      <c r="R79" s="18" t="str">
        <f>IF(BITWISE_AND('Raw Data'!$L80, 1024),"X","")</f>
        <v/>
      </c>
      <c r="S79" s="18" t="str">
        <f>IF(BITWISE_AND('Raw Data'!$L80, 512),"X","")</f>
        <v/>
      </c>
      <c r="T79" s="18" t="str">
        <f>IF(BITWISE_AND('Raw Data'!$L80, 256),"X","")</f>
        <v/>
      </c>
      <c r="U79" s="18" t="str">
        <f>IF(BITWISE_AND('Raw Data'!$L80, 64),"X","")</f>
        <v/>
      </c>
      <c r="V79" s="18" t="str">
        <f>IF(BITWISE_AND('Raw Data'!$L80, 2),"X","")</f>
        <v/>
      </c>
      <c r="W79" s="18" t="str">
        <f>IF(BITWISE_AND('Raw Data'!$L80, 1),"X","")</f>
        <v/>
      </c>
      <c r="X79" s="19" t="str">
        <f>IF(BITWISE_AND('Raw Data'!M80, 1),"Bat Voltage", IF(BITWISE_AND('Raw Data'!M80, 2), "Charge Current", IF(BITWISE_AND('Raw Data'!M80, 4),"Input Ilim", IF(BITWISE_AND('Raw Data'!M80, 8), "Input UV", "none"))))</f>
        <v>none</v>
      </c>
    </row>
    <row r="80" spans="1:24" x14ac:dyDescent="0.2">
      <c r="A80" s="15">
        <f>A79+TIME(0,0,'Raw Data'!B80)</f>
        <v>0</v>
      </c>
      <c r="B80" s="4">
        <f>'Raw Data'!C81*0.025</f>
        <v>0</v>
      </c>
      <c r="C80" s="4">
        <f t="shared" si="3"/>
        <v>0</v>
      </c>
      <c r="D80" s="4">
        <f>'Raw Data'!D81*0.025</f>
        <v>0</v>
      </c>
      <c r="E80" s="4">
        <f t="shared" si="4"/>
        <v>0</v>
      </c>
      <c r="F80" s="4">
        <f>'Raw Data'!E81*0.001648</f>
        <v>0</v>
      </c>
      <c r="G80" s="4">
        <f>'Raw Data'!F81*0.001648</f>
        <v>0</v>
      </c>
      <c r="H80" s="4">
        <f>'Raw Data'!G81*6*0.000128176</f>
        <v>0</v>
      </c>
      <c r="I80" s="4">
        <f>'Raw Data'!H81*0.000732435</f>
        <v>0</v>
      </c>
      <c r="J80" s="4">
        <f t="shared" si="5"/>
        <v>0</v>
      </c>
      <c r="K80" s="36">
        <f>IF(('Raw Data'!I81-16384)/32768&lt;0,0,('Raw Data'!I81-16384)/32768)</f>
        <v>0</v>
      </c>
      <c r="L80" s="4">
        <f>IF(('Raw Data'!J81-12010)/45.6=-263.377192982456,0,('Raw Data'!J81-12010)/45.6)</f>
        <v>0</v>
      </c>
      <c r="M80" s="16">
        <f>'Raw Data'!N81*2^-8</f>
        <v>0</v>
      </c>
      <c r="N80" s="16">
        <f>'Raw Data'!O81*2^-8</f>
        <v>0</v>
      </c>
      <c r="O80" s="17" t="str">
        <f>IF(BITWISE_AND('Raw Data'!$K81, 8192),"X","")</f>
        <v/>
      </c>
      <c r="P80" s="17" t="str">
        <f>IF(BITWISE_AND('Raw Data'!$K81, 2048),"X","")</f>
        <v/>
      </c>
      <c r="Q80" s="17" t="str">
        <f>IF(BITWISE_AND('Raw Data'!$K81, 64),"X","")</f>
        <v/>
      </c>
      <c r="R80" s="18" t="str">
        <f>IF(BITWISE_AND('Raw Data'!$L81, 1024),"X","")</f>
        <v/>
      </c>
      <c r="S80" s="18" t="str">
        <f>IF(BITWISE_AND('Raw Data'!$L81, 512),"X","")</f>
        <v/>
      </c>
      <c r="T80" s="18" t="str">
        <f>IF(BITWISE_AND('Raw Data'!$L81, 256),"X","")</f>
        <v/>
      </c>
      <c r="U80" s="18" t="str">
        <f>IF(BITWISE_AND('Raw Data'!$L81, 64),"X","")</f>
        <v/>
      </c>
      <c r="V80" s="18" t="str">
        <f>IF(BITWISE_AND('Raw Data'!$L81, 2),"X","")</f>
        <v/>
      </c>
      <c r="W80" s="18" t="str">
        <f>IF(BITWISE_AND('Raw Data'!$L81, 1),"X","")</f>
        <v/>
      </c>
      <c r="X80" s="19" t="str">
        <f>IF(BITWISE_AND('Raw Data'!M81, 1),"Bat Voltage", IF(BITWISE_AND('Raw Data'!M81, 2), "Charge Current", IF(BITWISE_AND('Raw Data'!M81, 4),"Input Ilim", IF(BITWISE_AND('Raw Data'!M81, 8), "Input UV", "none"))))</f>
        <v>none</v>
      </c>
    </row>
    <row r="81" spans="1:24" x14ac:dyDescent="0.2">
      <c r="A81" s="15">
        <f>A80+TIME(0,0,'Raw Data'!B81)</f>
        <v>0</v>
      </c>
      <c r="B81" s="4">
        <f>'Raw Data'!C82*0.025</f>
        <v>0</v>
      </c>
      <c r="C81" s="4">
        <f t="shared" si="3"/>
        <v>0</v>
      </c>
      <c r="D81" s="4">
        <f>'Raw Data'!D82*0.025</f>
        <v>0</v>
      </c>
      <c r="E81" s="4">
        <f t="shared" si="4"/>
        <v>0</v>
      </c>
      <c r="F81" s="4">
        <f>'Raw Data'!E82*0.001648</f>
        <v>0</v>
      </c>
      <c r="G81" s="4">
        <f>'Raw Data'!F82*0.001648</f>
        <v>0</v>
      </c>
      <c r="H81" s="4">
        <f>'Raw Data'!G82*6*0.000128176</f>
        <v>0</v>
      </c>
      <c r="I81" s="4">
        <f>'Raw Data'!H82*0.000732435</f>
        <v>0</v>
      </c>
      <c r="J81" s="4">
        <f t="shared" si="5"/>
        <v>0</v>
      </c>
      <c r="K81" s="36">
        <f>IF(('Raw Data'!I82-16384)/32768&lt;0,0,('Raw Data'!I82-16384)/32768)</f>
        <v>0</v>
      </c>
      <c r="L81" s="4">
        <f>IF(('Raw Data'!J82-12010)/45.6=-263.377192982456,0,('Raw Data'!J82-12010)/45.6)</f>
        <v>0</v>
      </c>
      <c r="M81" s="16">
        <f>'Raw Data'!N82*2^-8</f>
        <v>0</v>
      </c>
      <c r="N81" s="16">
        <f>'Raw Data'!O82*2^-8</f>
        <v>0</v>
      </c>
      <c r="O81" s="17" t="str">
        <f>IF(BITWISE_AND('Raw Data'!$K82, 8192),"X","")</f>
        <v/>
      </c>
      <c r="P81" s="17" t="str">
        <f>IF(BITWISE_AND('Raw Data'!$K82, 2048),"X","")</f>
        <v/>
      </c>
      <c r="Q81" s="17" t="str">
        <f>IF(BITWISE_AND('Raw Data'!$K82, 64),"X","")</f>
        <v/>
      </c>
      <c r="R81" s="18" t="str">
        <f>IF(BITWISE_AND('Raw Data'!$L82, 1024),"X","")</f>
        <v/>
      </c>
      <c r="S81" s="18" t="str">
        <f>IF(BITWISE_AND('Raw Data'!$L82, 512),"X","")</f>
        <v/>
      </c>
      <c r="T81" s="18" t="str">
        <f>IF(BITWISE_AND('Raw Data'!$L82, 256),"X","")</f>
        <v/>
      </c>
      <c r="U81" s="18" t="str">
        <f>IF(BITWISE_AND('Raw Data'!$L82, 64),"X","")</f>
        <v/>
      </c>
      <c r="V81" s="18" t="str">
        <f>IF(BITWISE_AND('Raw Data'!$L82, 2),"X","")</f>
        <v/>
      </c>
      <c r="W81" s="18" t="str">
        <f>IF(BITWISE_AND('Raw Data'!$L82, 1),"X","")</f>
        <v/>
      </c>
      <c r="X81" s="19" t="str">
        <f>IF(BITWISE_AND('Raw Data'!M82, 1),"Bat Voltage", IF(BITWISE_AND('Raw Data'!M82, 2), "Charge Current", IF(BITWISE_AND('Raw Data'!M82, 4),"Input Ilim", IF(BITWISE_AND('Raw Data'!M82, 8), "Input UV", "none"))))</f>
        <v>none</v>
      </c>
    </row>
    <row r="82" spans="1:24" x14ac:dyDescent="0.2">
      <c r="A82" s="15">
        <f>A81+TIME(0,0,'Raw Data'!B82)</f>
        <v>0</v>
      </c>
      <c r="B82" s="4">
        <f>'Raw Data'!C83*0.025</f>
        <v>0</v>
      </c>
      <c r="C82" s="4">
        <f t="shared" si="3"/>
        <v>0</v>
      </c>
      <c r="D82" s="4">
        <f>'Raw Data'!D83*0.025</f>
        <v>0</v>
      </c>
      <c r="E82" s="4">
        <f t="shared" si="4"/>
        <v>0</v>
      </c>
      <c r="F82" s="4">
        <f>'Raw Data'!E83*0.001648</f>
        <v>0</v>
      </c>
      <c r="G82" s="4">
        <f>'Raw Data'!F83*0.001648</f>
        <v>0</v>
      </c>
      <c r="H82" s="4">
        <f>'Raw Data'!G83*6*0.000128176</f>
        <v>0</v>
      </c>
      <c r="I82" s="4">
        <f>'Raw Data'!H83*0.000732435</f>
        <v>0</v>
      </c>
      <c r="J82" s="4">
        <f t="shared" si="5"/>
        <v>0</v>
      </c>
      <c r="K82" s="36">
        <f>IF(('Raw Data'!I83-16384)/32768&lt;0,0,('Raw Data'!I83-16384)/32768)</f>
        <v>0</v>
      </c>
      <c r="L82" s="4">
        <f>IF(('Raw Data'!J83-12010)/45.6=-263.377192982456,0,('Raw Data'!J83-12010)/45.6)</f>
        <v>0</v>
      </c>
      <c r="M82" s="16">
        <f>'Raw Data'!N83*2^-8</f>
        <v>0</v>
      </c>
      <c r="N82" s="16">
        <f>'Raw Data'!O83*2^-8</f>
        <v>0</v>
      </c>
      <c r="O82" s="17" t="str">
        <f>IF(BITWISE_AND('Raw Data'!$K83, 8192),"X","")</f>
        <v/>
      </c>
      <c r="P82" s="17" t="str">
        <f>IF(BITWISE_AND('Raw Data'!$K83, 2048),"X","")</f>
        <v/>
      </c>
      <c r="Q82" s="17" t="str">
        <f>IF(BITWISE_AND('Raw Data'!$K83, 64),"X","")</f>
        <v/>
      </c>
      <c r="R82" s="18" t="str">
        <f>IF(BITWISE_AND('Raw Data'!$L83, 1024),"X","")</f>
        <v/>
      </c>
      <c r="S82" s="18" t="str">
        <f>IF(BITWISE_AND('Raw Data'!$L83, 512),"X","")</f>
        <v/>
      </c>
      <c r="T82" s="18" t="str">
        <f>IF(BITWISE_AND('Raw Data'!$L83, 256),"X","")</f>
        <v/>
      </c>
      <c r="U82" s="18" t="str">
        <f>IF(BITWISE_AND('Raw Data'!$L83, 64),"X","")</f>
        <v/>
      </c>
      <c r="V82" s="18" t="str">
        <f>IF(BITWISE_AND('Raw Data'!$L83, 2),"X","")</f>
        <v/>
      </c>
      <c r="W82" s="18" t="str">
        <f>IF(BITWISE_AND('Raw Data'!$L83, 1),"X","")</f>
        <v/>
      </c>
      <c r="X82" s="19" t="str">
        <f>IF(BITWISE_AND('Raw Data'!M83, 1),"Bat Voltage", IF(BITWISE_AND('Raw Data'!M83, 2), "Charge Current", IF(BITWISE_AND('Raw Data'!M83, 4),"Input Ilim", IF(BITWISE_AND('Raw Data'!M83, 8), "Input UV", "none"))))</f>
        <v>none</v>
      </c>
    </row>
    <row r="83" spans="1:24" x14ac:dyDescent="0.2">
      <c r="A83" s="15">
        <f>A82+TIME(0,0,'Raw Data'!B83)</f>
        <v>0</v>
      </c>
      <c r="B83" s="4">
        <f>'Raw Data'!C84*0.025</f>
        <v>0</v>
      </c>
      <c r="C83" s="4">
        <f t="shared" si="3"/>
        <v>0</v>
      </c>
      <c r="D83" s="4">
        <f>'Raw Data'!D84*0.025</f>
        <v>0</v>
      </c>
      <c r="E83" s="4">
        <f t="shared" si="4"/>
        <v>0</v>
      </c>
      <c r="F83" s="4">
        <f>'Raw Data'!E84*0.001648</f>
        <v>0</v>
      </c>
      <c r="G83" s="4">
        <f>'Raw Data'!F84*0.001648</f>
        <v>0</v>
      </c>
      <c r="H83" s="4">
        <f>'Raw Data'!G84*6*0.000128176</f>
        <v>0</v>
      </c>
      <c r="I83" s="4">
        <f>'Raw Data'!H84*0.000732435</f>
        <v>0</v>
      </c>
      <c r="J83" s="4">
        <f t="shared" si="5"/>
        <v>0</v>
      </c>
      <c r="K83" s="36">
        <f>IF(('Raw Data'!I84-16384)/32768&lt;0,0,('Raw Data'!I84-16384)/32768)</f>
        <v>0</v>
      </c>
      <c r="L83" s="4">
        <f>IF(('Raw Data'!J84-12010)/45.6=-263.377192982456,0,('Raw Data'!J84-12010)/45.6)</f>
        <v>0</v>
      </c>
      <c r="M83" s="16">
        <f>'Raw Data'!N84*2^-8</f>
        <v>0</v>
      </c>
      <c r="N83" s="16">
        <f>'Raw Data'!O84*2^-8</f>
        <v>0</v>
      </c>
      <c r="O83" s="17" t="str">
        <f>IF(BITWISE_AND('Raw Data'!$K84, 8192),"X","")</f>
        <v/>
      </c>
      <c r="P83" s="17" t="str">
        <f>IF(BITWISE_AND('Raw Data'!$K84, 2048),"X","")</f>
        <v/>
      </c>
      <c r="Q83" s="17" t="str">
        <f>IF(BITWISE_AND('Raw Data'!$K84, 64),"X","")</f>
        <v/>
      </c>
      <c r="R83" s="18" t="str">
        <f>IF(BITWISE_AND('Raw Data'!$L84, 1024),"X","")</f>
        <v/>
      </c>
      <c r="S83" s="18" t="str">
        <f>IF(BITWISE_AND('Raw Data'!$L84, 512),"X","")</f>
        <v/>
      </c>
      <c r="T83" s="18" t="str">
        <f>IF(BITWISE_AND('Raw Data'!$L84, 256),"X","")</f>
        <v/>
      </c>
      <c r="U83" s="18" t="str">
        <f>IF(BITWISE_AND('Raw Data'!$L84, 64),"X","")</f>
        <v/>
      </c>
      <c r="V83" s="18" t="str">
        <f>IF(BITWISE_AND('Raw Data'!$L84, 2),"X","")</f>
        <v/>
      </c>
      <c r="W83" s="18" t="str">
        <f>IF(BITWISE_AND('Raw Data'!$L84, 1),"X","")</f>
        <v/>
      </c>
      <c r="X83" s="19" t="str">
        <f>IF(BITWISE_AND('Raw Data'!M84, 1),"Bat Voltage", IF(BITWISE_AND('Raw Data'!M84, 2), "Charge Current", IF(BITWISE_AND('Raw Data'!M84, 4),"Input Ilim", IF(BITWISE_AND('Raw Data'!M84, 8), "Input UV", "none"))))</f>
        <v>none</v>
      </c>
    </row>
    <row r="84" spans="1:24" x14ac:dyDescent="0.2">
      <c r="A84" s="15">
        <f>A83+TIME(0,0,'Raw Data'!B84)</f>
        <v>0</v>
      </c>
      <c r="B84" s="4">
        <f>'Raw Data'!C85*0.025</f>
        <v>0</v>
      </c>
      <c r="C84" s="4">
        <f t="shared" si="3"/>
        <v>0</v>
      </c>
      <c r="D84" s="4">
        <f>'Raw Data'!D85*0.025</f>
        <v>0</v>
      </c>
      <c r="E84" s="4">
        <f t="shared" si="4"/>
        <v>0</v>
      </c>
      <c r="F84" s="4">
        <f>'Raw Data'!E85*0.001648</f>
        <v>0</v>
      </c>
      <c r="G84" s="4">
        <f>'Raw Data'!F85*0.001648</f>
        <v>0</v>
      </c>
      <c r="H84" s="4">
        <f>'Raw Data'!G85*6*0.000128176</f>
        <v>0</v>
      </c>
      <c r="I84" s="4">
        <f>'Raw Data'!H85*0.000732435</f>
        <v>0</v>
      </c>
      <c r="J84" s="4">
        <f t="shared" si="5"/>
        <v>0</v>
      </c>
      <c r="K84" s="36">
        <f>IF(('Raw Data'!I85-16384)/32768&lt;0,0,('Raw Data'!I85-16384)/32768)</f>
        <v>0</v>
      </c>
      <c r="L84" s="4">
        <f>IF(('Raw Data'!J85-12010)/45.6=-263.377192982456,0,('Raw Data'!J85-12010)/45.6)</f>
        <v>0</v>
      </c>
      <c r="M84" s="16">
        <f>'Raw Data'!N85*2^-8</f>
        <v>0</v>
      </c>
      <c r="N84" s="16">
        <f>'Raw Data'!O85*2^-8</f>
        <v>0</v>
      </c>
      <c r="O84" s="17" t="str">
        <f>IF(BITWISE_AND('Raw Data'!$K85, 8192),"X","")</f>
        <v/>
      </c>
      <c r="P84" s="17" t="str">
        <f>IF(BITWISE_AND('Raw Data'!$K85, 2048),"X","")</f>
        <v/>
      </c>
      <c r="Q84" s="17" t="str">
        <f>IF(BITWISE_AND('Raw Data'!$K85, 64),"X","")</f>
        <v/>
      </c>
      <c r="R84" s="18" t="str">
        <f>IF(BITWISE_AND('Raw Data'!$L85, 1024),"X","")</f>
        <v/>
      </c>
      <c r="S84" s="18" t="str">
        <f>IF(BITWISE_AND('Raw Data'!$L85, 512),"X","")</f>
        <v/>
      </c>
      <c r="T84" s="18" t="str">
        <f>IF(BITWISE_AND('Raw Data'!$L85, 256),"X","")</f>
        <v/>
      </c>
      <c r="U84" s="18" t="str">
        <f>IF(BITWISE_AND('Raw Data'!$L85, 64),"X","")</f>
        <v/>
      </c>
      <c r="V84" s="18" t="str">
        <f>IF(BITWISE_AND('Raw Data'!$L85, 2),"X","")</f>
        <v/>
      </c>
      <c r="W84" s="18" t="str">
        <f>IF(BITWISE_AND('Raw Data'!$L85, 1),"X","")</f>
        <v/>
      </c>
      <c r="X84" s="19" t="str">
        <f>IF(BITWISE_AND('Raw Data'!M85, 1),"Bat Voltage", IF(BITWISE_AND('Raw Data'!M85, 2), "Charge Current", IF(BITWISE_AND('Raw Data'!M85, 4),"Input Ilim", IF(BITWISE_AND('Raw Data'!M85, 8), "Input UV", "none"))))</f>
        <v>none</v>
      </c>
    </row>
    <row r="85" spans="1:24" x14ac:dyDescent="0.2">
      <c r="A85" s="15">
        <f>A84+TIME(0,0,'Raw Data'!B85)</f>
        <v>0</v>
      </c>
      <c r="B85" s="4">
        <f>'Raw Data'!C86*0.025</f>
        <v>0</v>
      </c>
      <c r="C85" s="4">
        <f t="shared" ref="C85:C148" si="6">C84+B85/60</f>
        <v>0</v>
      </c>
      <c r="D85" s="4">
        <f>'Raw Data'!D86*0.025</f>
        <v>0</v>
      </c>
      <c r="E85" s="4">
        <f t="shared" ref="E85:E148" si="7">E84+D85/60</f>
        <v>0</v>
      </c>
      <c r="F85" s="4">
        <f>'Raw Data'!E86*0.001648</f>
        <v>0</v>
      </c>
      <c r="G85" s="4">
        <f>'Raw Data'!F86*0.001648</f>
        <v>0</v>
      </c>
      <c r="H85" s="4">
        <f>'Raw Data'!G86*6*0.000128176</f>
        <v>0</v>
      </c>
      <c r="I85" s="4">
        <f>'Raw Data'!H86*0.000732435</f>
        <v>0</v>
      </c>
      <c r="J85" s="4">
        <f t="shared" si="5"/>
        <v>0</v>
      </c>
      <c r="K85" s="36">
        <f>IF(('Raw Data'!I86-16384)/32768&lt;0,0,('Raw Data'!I86-16384)/32768)</f>
        <v>0</v>
      </c>
      <c r="L85" s="4">
        <f>IF(('Raw Data'!J86-12010)/45.6=-263.377192982456,0,('Raw Data'!J86-12010)/45.6)</f>
        <v>0</v>
      </c>
      <c r="M85" s="16">
        <f>'Raw Data'!N86*2^-8</f>
        <v>0</v>
      </c>
      <c r="N85" s="16">
        <f>'Raw Data'!O86*2^-8</f>
        <v>0</v>
      </c>
      <c r="O85" s="17" t="str">
        <f>IF(BITWISE_AND('Raw Data'!$K86, 8192),"X","")</f>
        <v/>
      </c>
      <c r="P85" s="17" t="str">
        <f>IF(BITWISE_AND('Raw Data'!$K86, 2048),"X","")</f>
        <v/>
      </c>
      <c r="Q85" s="17" t="str">
        <f>IF(BITWISE_AND('Raw Data'!$K86, 64),"X","")</f>
        <v/>
      </c>
      <c r="R85" s="18" t="str">
        <f>IF(BITWISE_AND('Raw Data'!$L86, 1024),"X","")</f>
        <v/>
      </c>
      <c r="S85" s="18" t="str">
        <f>IF(BITWISE_AND('Raw Data'!$L86, 512),"X","")</f>
        <v/>
      </c>
      <c r="T85" s="18" t="str">
        <f>IF(BITWISE_AND('Raw Data'!$L86, 256),"X","")</f>
        <v/>
      </c>
      <c r="U85" s="18" t="str">
        <f>IF(BITWISE_AND('Raw Data'!$L86, 64),"X","")</f>
        <v/>
      </c>
      <c r="V85" s="18" t="str">
        <f>IF(BITWISE_AND('Raw Data'!$L86, 2),"X","")</f>
        <v/>
      </c>
      <c r="W85" s="18" t="str">
        <f>IF(BITWISE_AND('Raw Data'!$L86, 1),"X","")</f>
        <v/>
      </c>
      <c r="X85" s="19" t="str">
        <f>IF(BITWISE_AND('Raw Data'!M86, 1),"Bat Voltage", IF(BITWISE_AND('Raw Data'!M86, 2), "Charge Current", IF(BITWISE_AND('Raw Data'!M86, 4),"Input Ilim", IF(BITWISE_AND('Raw Data'!M86, 8), "Input UV", "none"))))</f>
        <v>none</v>
      </c>
    </row>
    <row r="86" spans="1:24" x14ac:dyDescent="0.2">
      <c r="A86" s="15">
        <f>A85+TIME(0,0,'Raw Data'!B86)</f>
        <v>0</v>
      </c>
      <c r="B86" s="4">
        <f>'Raw Data'!C87*0.025</f>
        <v>0</v>
      </c>
      <c r="C86" s="4">
        <f t="shared" si="6"/>
        <v>0</v>
      </c>
      <c r="D86" s="4">
        <f>'Raw Data'!D87*0.025</f>
        <v>0</v>
      </c>
      <c r="E86" s="4">
        <f t="shared" si="7"/>
        <v>0</v>
      </c>
      <c r="F86" s="4">
        <f>'Raw Data'!E87*0.001648</f>
        <v>0</v>
      </c>
      <c r="G86" s="4">
        <f>'Raw Data'!F87*0.001648</f>
        <v>0</v>
      </c>
      <c r="H86" s="4">
        <f>'Raw Data'!G87*6*0.000128176</f>
        <v>0</v>
      </c>
      <c r="I86" s="4">
        <f>'Raw Data'!H87*0.000732435</f>
        <v>0</v>
      </c>
      <c r="J86" s="4">
        <f t="shared" si="5"/>
        <v>0</v>
      </c>
      <c r="K86" s="36">
        <f>IF(('Raw Data'!I87-16384)/32768&lt;0,0,('Raw Data'!I87-16384)/32768)</f>
        <v>0</v>
      </c>
      <c r="L86" s="4">
        <f>IF(('Raw Data'!J87-12010)/45.6=-263.377192982456,0,('Raw Data'!J87-12010)/45.6)</f>
        <v>0</v>
      </c>
      <c r="M86" s="16">
        <f>'Raw Data'!N87*2^-8</f>
        <v>0</v>
      </c>
      <c r="N86" s="16">
        <f>'Raw Data'!O87*2^-8</f>
        <v>0</v>
      </c>
      <c r="O86" s="17" t="str">
        <f>IF(BITWISE_AND('Raw Data'!$K87, 8192),"X","")</f>
        <v/>
      </c>
      <c r="P86" s="17" t="str">
        <f>IF(BITWISE_AND('Raw Data'!$K87, 2048),"X","")</f>
        <v/>
      </c>
      <c r="Q86" s="17" t="str">
        <f>IF(BITWISE_AND('Raw Data'!$K87, 64),"X","")</f>
        <v/>
      </c>
      <c r="R86" s="18" t="str">
        <f>IF(BITWISE_AND('Raw Data'!$L87, 1024),"X","")</f>
        <v/>
      </c>
      <c r="S86" s="18" t="str">
        <f>IF(BITWISE_AND('Raw Data'!$L87, 512),"X","")</f>
        <v/>
      </c>
      <c r="T86" s="18" t="str">
        <f>IF(BITWISE_AND('Raw Data'!$L87, 256),"X","")</f>
        <v/>
      </c>
      <c r="U86" s="18" t="str">
        <f>IF(BITWISE_AND('Raw Data'!$L87, 64),"X","")</f>
        <v/>
      </c>
      <c r="V86" s="18" t="str">
        <f>IF(BITWISE_AND('Raw Data'!$L87, 2),"X","")</f>
        <v/>
      </c>
      <c r="W86" s="18" t="str">
        <f>IF(BITWISE_AND('Raw Data'!$L87, 1),"X","")</f>
        <v/>
      </c>
      <c r="X86" s="19" t="str">
        <f>IF(BITWISE_AND('Raw Data'!M87, 1),"Bat Voltage", IF(BITWISE_AND('Raw Data'!M87, 2), "Charge Current", IF(BITWISE_AND('Raw Data'!M87, 4),"Input Ilim", IF(BITWISE_AND('Raw Data'!M87, 8), "Input UV", "none"))))</f>
        <v>none</v>
      </c>
    </row>
    <row r="87" spans="1:24" x14ac:dyDescent="0.2">
      <c r="A87" s="15">
        <f>A86+TIME(0,0,'Raw Data'!B87)</f>
        <v>0</v>
      </c>
      <c r="B87" s="4">
        <f>'Raw Data'!C88*0.025</f>
        <v>0</v>
      </c>
      <c r="C87" s="4">
        <f t="shared" si="6"/>
        <v>0</v>
      </c>
      <c r="D87" s="4">
        <f>'Raw Data'!D88*0.025</f>
        <v>0</v>
      </c>
      <c r="E87" s="4">
        <f t="shared" si="7"/>
        <v>0</v>
      </c>
      <c r="F87" s="4">
        <f>'Raw Data'!E88*0.001648</f>
        <v>0</v>
      </c>
      <c r="G87" s="4">
        <f>'Raw Data'!F88*0.001648</f>
        <v>0</v>
      </c>
      <c r="H87" s="4">
        <f>'Raw Data'!G88*6*0.000128176</f>
        <v>0</v>
      </c>
      <c r="I87" s="4">
        <f>'Raw Data'!H88*0.000732435</f>
        <v>0</v>
      </c>
      <c r="J87" s="4">
        <f t="shared" si="5"/>
        <v>0</v>
      </c>
      <c r="K87" s="36">
        <f>IF(('Raw Data'!I88-16384)/32768&lt;0,0,('Raw Data'!I88-16384)/32768)</f>
        <v>0</v>
      </c>
      <c r="L87" s="4">
        <f>IF(('Raw Data'!J88-12010)/45.6=-263.377192982456,0,('Raw Data'!J88-12010)/45.6)</f>
        <v>0</v>
      </c>
      <c r="M87" s="16">
        <f>'Raw Data'!N88*2^-8</f>
        <v>0</v>
      </c>
      <c r="N87" s="16">
        <f>'Raw Data'!O88*2^-8</f>
        <v>0</v>
      </c>
      <c r="O87" s="17" t="str">
        <f>IF(BITWISE_AND('Raw Data'!$K88, 8192),"X","")</f>
        <v/>
      </c>
      <c r="P87" s="17" t="str">
        <f>IF(BITWISE_AND('Raw Data'!$K88, 2048),"X","")</f>
        <v/>
      </c>
      <c r="Q87" s="17" t="str">
        <f>IF(BITWISE_AND('Raw Data'!$K88, 64),"X","")</f>
        <v/>
      </c>
      <c r="R87" s="18" t="str">
        <f>IF(BITWISE_AND('Raw Data'!$L88, 1024),"X","")</f>
        <v/>
      </c>
      <c r="S87" s="18" t="str">
        <f>IF(BITWISE_AND('Raw Data'!$L88, 512),"X","")</f>
        <v/>
      </c>
      <c r="T87" s="18" t="str">
        <f>IF(BITWISE_AND('Raw Data'!$L88, 256),"X","")</f>
        <v/>
      </c>
      <c r="U87" s="18" t="str">
        <f>IF(BITWISE_AND('Raw Data'!$L88, 64),"X","")</f>
        <v/>
      </c>
      <c r="V87" s="18" t="str">
        <f>IF(BITWISE_AND('Raw Data'!$L88, 2),"X","")</f>
        <v/>
      </c>
      <c r="W87" s="18" t="str">
        <f>IF(BITWISE_AND('Raw Data'!$L88, 1),"X","")</f>
        <v/>
      </c>
      <c r="X87" s="19" t="str">
        <f>IF(BITWISE_AND('Raw Data'!M88, 1),"Bat Voltage", IF(BITWISE_AND('Raw Data'!M88, 2), "Charge Current", IF(BITWISE_AND('Raw Data'!M88, 4),"Input Ilim", IF(BITWISE_AND('Raw Data'!M88, 8), "Input UV", "none"))))</f>
        <v>none</v>
      </c>
    </row>
    <row r="88" spans="1:24" x14ac:dyDescent="0.2">
      <c r="A88" s="15">
        <f>A87+TIME(0,0,'Raw Data'!B88)</f>
        <v>0</v>
      </c>
      <c r="B88" s="4">
        <f>'Raw Data'!C89*0.025</f>
        <v>0</v>
      </c>
      <c r="C88" s="4">
        <f t="shared" si="6"/>
        <v>0</v>
      </c>
      <c r="D88" s="4">
        <f>'Raw Data'!D89*0.025</f>
        <v>0</v>
      </c>
      <c r="E88" s="4">
        <f t="shared" si="7"/>
        <v>0</v>
      </c>
      <c r="F88" s="4">
        <f>'Raw Data'!E89*0.001648</f>
        <v>0</v>
      </c>
      <c r="G88" s="4">
        <f>'Raw Data'!F89*0.001648</f>
        <v>0</v>
      </c>
      <c r="H88" s="4">
        <f>'Raw Data'!G89*6*0.000128176</f>
        <v>0</v>
      </c>
      <c r="I88" s="4">
        <f>'Raw Data'!H89*0.000732435</f>
        <v>0</v>
      </c>
      <c r="J88" s="4">
        <f t="shared" si="5"/>
        <v>0</v>
      </c>
      <c r="K88" s="36">
        <f>IF(('Raw Data'!I89-16384)/32768&lt;0,0,('Raw Data'!I89-16384)/32768)</f>
        <v>0</v>
      </c>
      <c r="L88" s="4">
        <f>IF(('Raw Data'!J89-12010)/45.6=-263.377192982456,0,('Raw Data'!J89-12010)/45.6)</f>
        <v>0</v>
      </c>
      <c r="M88" s="16">
        <f>'Raw Data'!N89*2^-8</f>
        <v>0</v>
      </c>
      <c r="N88" s="16">
        <f>'Raw Data'!O89*2^-8</f>
        <v>0</v>
      </c>
      <c r="O88" s="17" t="str">
        <f>IF(BITWISE_AND('Raw Data'!$K89, 8192),"X","")</f>
        <v/>
      </c>
      <c r="P88" s="17" t="str">
        <f>IF(BITWISE_AND('Raw Data'!$K89, 2048),"X","")</f>
        <v/>
      </c>
      <c r="Q88" s="17" t="str">
        <f>IF(BITWISE_AND('Raw Data'!$K89, 64),"X","")</f>
        <v/>
      </c>
      <c r="R88" s="18" t="str">
        <f>IF(BITWISE_AND('Raw Data'!$L89, 1024),"X","")</f>
        <v/>
      </c>
      <c r="S88" s="18" t="str">
        <f>IF(BITWISE_AND('Raw Data'!$L89, 512),"X","")</f>
        <v/>
      </c>
      <c r="T88" s="18" t="str">
        <f>IF(BITWISE_AND('Raw Data'!$L89, 256),"X","")</f>
        <v/>
      </c>
      <c r="U88" s="18" t="str">
        <f>IF(BITWISE_AND('Raw Data'!$L89, 64),"X","")</f>
        <v/>
      </c>
      <c r="V88" s="18" t="str">
        <f>IF(BITWISE_AND('Raw Data'!$L89, 2),"X","")</f>
        <v/>
      </c>
      <c r="W88" s="18" t="str">
        <f>IF(BITWISE_AND('Raw Data'!$L89, 1),"X","")</f>
        <v/>
      </c>
      <c r="X88" s="19" t="str">
        <f>IF(BITWISE_AND('Raw Data'!M89, 1),"Bat Voltage", IF(BITWISE_AND('Raw Data'!M89, 2), "Charge Current", IF(BITWISE_AND('Raw Data'!M89, 4),"Input Ilim", IF(BITWISE_AND('Raw Data'!M89, 8), "Input UV", "none"))))</f>
        <v>none</v>
      </c>
    </row>
    <row r="89" spans="1:24" x14ac:dyDescent="0.2">
      <c r="A89" s="15">
        <f>A88+TIME(0,0,'Raw Data'!B89)</f>
        <v>0</v>
      </c>
      <c r="B89" s="4">
        <f>'Raw Data'!C90*0.025</f>
        <v>0</v>
      </c>
      <c r="C89" s="4">
        <f t="shared" si="6"/>
        <v>0</v>
      </c>
      <c r="D89" s="4">
        <f>'Raw Data'!D90*0.025</f>
        <v>0</v>
      </c>
      <c r="E89" s="4">
        <f t="shared" si="7"/>
        <v>0</v>
      </c>
      <c r="F89" s="4">
        <f>'Raw Data'!E90*0.001648</f>
        <v>0</v>
      </c>
      <c r="G89" s="4">
        <f>'Raw Data'!F90*0.001648</f>
        <v>0</v>
      </c>
      <c r="H89" s="4">
        <f>'Raw Data'!G90*6*0.000128176</f>
        <v>0</v>
      </c>
      <c r="I89" s="4">
        <f>'Raw Data'!H90*0.000732435</f>
        <v>0</v>
      </c>
      <c r="J89" s="4">
        <f t="shared" si="5"/>
        <v>0</v>
      </c>
      <c r="K89" s="36">
        <f>IF(('Raw Data'!I90-16384)/32768&lt;0,0,('Raw Data'!I90-16384)/32768)</f>
        <v>0</v>
      </c>
      <c r="L89" s="4">
        <f>IF(('Raw Data'!J90-12010)/45.6=-263.377192982456,0,('Raw Data'!J90-12010)/45.6)</f>
        <v>0</v>
      </c>
      <c r="M89" s="16">
        <f>'Raw Data'!N90*2^-8</f>
        <v>0</v>
      </c>
      <c r="N89" s="16">
        <f>'Raw Data'!O90*2^-8</f>
        <v>0</v>
      </c>
      <c r="O89" s="17" t="str">
        <f>IF(BITWISE_AND('Raw Data'!$K90, 8192),"X","")</f>
        <v/>
      </c>
      <c r="P89" s="17" t="str">
        <f>IF(BITWISE_AND('Raw Data'!$K90, 2048),"X","")</f>
        <v/>
      </c>
      <c r="Q89" s="17" t="str">
        <f>IF(BITWISE_AND('Raw Data'!$K90, 64),"X","")</f>
        <v/>
      </c>
      <c r="R89" s="18" t="str">
        <f>IF(BITWISE_AND('Raw Data'!$L90, 1024),"X","")</f>
        <v/>
      </c>
      <c r="S89" s="18" t="str">
        <f>IF(BITWISE_AND('Raw Data'!$L90, 512),"X","")</f>
        <v/>
      </c>
      <c r="T89" s="18" t="str">
        <f>IF(BITWISE_AND('Raw Data'!$L90, 256),"X","")</f>
        <v/>
      </c>
      <c r="U89" s="18" t="str">
        <f>IF(BITWISE_AND('Raw Data'!$L90, 64),"X","")</f>
        <v/>
      </c>
      <c r="V89" s="18" t="str">
        <f>IF(BITWISE_AND('Raw Data'!$L90, 2),"X","")</f>
        <v/>
      </c>
      <c r="W89" s="18" t="str">
        <f>IF(BITWISE_AND('Raw Data'!$L90, 1),"X","")</f>
        <v/>
      </c>
      <c r="X89" s="19" t="str">
        <f>IF(BITWISE_AND('Raw Data'!M90, 1),"Bat Voltage", IF(BITWISE_AND('Raw Data'!M90, 2), "Charge Current", IF(BITWISE_AND('Raw Data'!M90, 4),"Input Ilim", IF(BITWISE_AND('Raw Data'!M90, 8), "Input UV", "none"))))</f>
        <v>none</v>
      </c>
    </row>
    <row r="90" spans="1:24" x14ac:dyDescent="0.2">
      <c r="A90" s="15">
        <f>A89+TIME(0,0,'Raw Data'!B90)</f>
        <v>0</v>
      </c>
      <c r="B90" s="4">
        <f>'Raw Data'!C91*0.025</f>
        <v>0</v>
      </c>
      <c r="C90" s="4">
        <f t="shared" si="6"/>
        <v>0</v>
      </c>
      <c r="D90" s="4">
        <f>'Raw Data'!D91*0.025</f>
        <v>0</v>
      </c>
      <c r="E90" s="4">
        <f t="shared" si="7"/>
        <v>0</v>
      </c>
      <c r="F90" s="4">
        <f>'Raw Data'!E91*0.001648</f>
        <v>0</v>
      </c>
      <c r="G90" s="4">
        <f>'Raw Data'!F91*0.001648</f>
        <v>0</v>
      </c>
      <c r="H90" s="4">
        <f>'Raw Data'!G91*6*0.000128176</f>
        <v>0</v>
      </c>
      <c r="I90" s="4">
        <f>'Raw Data'!H91*0.000732435</f>
        <v>0</v>
      </c>
      <c r="J90" s="4">
        <f t="shared" si="5"/>
        <v>0</v>
      </c>
      <c r="K90" s="36">
        <f>IF(('Raw Data'!I91-16384)/32768&lt;0,0,('Raw Data'!I91-16384)/32768)</f>
        <v>0</v>
      </c>
      <c r="L90" s="4">
        <f>IF(('Raw Data'!J91-12010)/45.6=-263.377192982456,0,('Raw Data'!J91-12010)/45.6)</f>
        <v>0</v>
      </c>
      <c r="M90" s="16">
        <f>'Raw Data'!N91*2^-8</f>
        <v>0</v>
      </c>
      <c r="N90" s="16">
        <f>'Raw Data'!O91*2^-8</f>
        <v>0</v>
      </c>
      <c r="O90" s="17" t="str">
        <f>IF(BITWISE_AND('Raw Data'!$K91, 8192),"X","")</f>
        <v/>
      </c>
      <c r="P90" s="17" t="str">
        <f>IF(BITWISE_AND('Raw Data'!$K91, 2048),"X","")</f>
        <v/>
      </c>
      <c r="Q90" s="17" t="str">
        <f>IF(BITWISE_AND('Raw Data'!$K91, 64),"X","")</f>
        <v/>
      </c>
      <c r="R90" s="18" t="str">
        <f>IF(BITWISE_AND('Raw Data'!$L91, 1024),"X","")</f>
        <v/>
      </c>
      <c r="S90" s="18" t="str">
        <f>IF(BITWISE_AND('Raw Data'!$L91, 512),"X","")</f>
        <v/>
      </c>
      <c r="T90" s="18" t="str">
        <f>IF(BITWISE_AND('Raw Data'!$L91, 256),"X","")</f>
        <v/>
      </c>
      <c r="U90" s="18" t="str">
        <f>IF(BITWISE_AND('Raw Data'!$L91, 64),"X","")</f>
        <v/>
      </c>
      <c r="V90" s="18" t="str">
        <f>IF(BITWISE_AND('Raw Data'!$L91, 2),"X","")</f>
        <v/>
      </c>
      <c r="W90" s="18" t="str">
        <f>IF(BITWISE_AND('Raw Data'!$L91, 1),"X","")</f>
        <v/>
      </c>
      <c r="X90" s="19" t="str">
        <f>IF(BITWISE_AND('Raw Data'!M91, 1),"Bat Voltage", IF(BITWISE_AND('Raw Data'!M91, 2), "Charge Current", IF(BITWISE_AND('Raw Data'!M91, 4),"Input Ilim", IF(BITWISE_AND('Raw Data'!M91, 8), "Input UV", "none"))))</f>
        <v>none</v>
      </c>
    </row>
    <row r="91" spans="1:24" x14ac:dyDescent="0.2">
      <c r="A91" s="15">
        <f>A90+TIME(0,0,'Raw Data'!B91)</f>
        <v>0</v>
      </c>
      <c r="B91" s="4">
        <f>'Raw Data'!C92*0.025</f>
        <v>0</v>
      </c>
      <c r="C91" s="4">
        <f t="shared" si="6"/>
        <v>0</v>
      </c>
      <c r="D91" s="4">
        <f>'Raw Data'!D92*0.025</f>
        <v>0</v>
      </c>
      <c r="E91" s="4">
        <f t="shared" si="7"/>
        <v>0</v>
      </c>
      <c r="F91" s="4">
        <f>'Raw Data'!E92*0.001648</f>
        <v>0</v>
      </c>
      <c r="G91" s="4">
        <f>'Raw Data'!F92*0.001648</f>
        <v>0</v>
      </c>
      <c r="H91" s="4">
        <f>'Raw Data'!G92*6*0.000128176</f>
        <v>0</v>
      </c>
      <c r="I91" s="4">
        <f>'Raw Data'!H92*0.000732435</f>
        <v>0</v>
      </c>
      <c r="J91" s="4">
        <f t="shared" si="5"/>
        <v>0</v>
      </c>
      <c r="K91" s="36">
        <f>IF(('Raw Data'!I92-16384)/32768&lt;0,0,('Raw Data'!I92-16384)/32768)</f>
        <v>0</v>
      </c>
      <c r="L91" s="4">
        <f>IF(('Raw Data'!J92-12010)/45.6=-263.377192982456,0,('Raw Data'!J92-12010)/45.6)</f>
        <v>0</v>
      </c>
      <c r="M91" s="16">
        <f>'Raw Data'!N92*2^-8</f>
        <v>0</v>
      </c>
      <c r="N91" s="16">
        <f>'Raw Data'!O92*2^-8</f>
        <v>0</v>
      </c>
      <c r="O91" s="17" t="str">
        <f>IF(BITWISE_AND('Raw Data'!$K92, 8192),"X","")</f>
        <v/>
      </c>
      <c r="P91" s="17" t="str">
        <f>IF(BITWISE_AND('Raw Data'!$K92, 2048),"X","")</f>
        <v/>
      </c>
      <c r="Q91" s="17" t="str">
        <f>IF(BITWISE_AND('Raw Data'!$K92, 64),"X","")</f>
        <v/>
      </c>
      <c r="R91" s="18" t="str">
        <f>IF(BITWISE_AND('Raw Data'!$L92, 1024),"X","")</f>
        <v/>
      </c>
      <c r="S91" s="18" t="str">
        <f>IF(BITWISE_AND('Raw Data'!$L92, 512),"X","")</f>
        <v/>
      </c>
      <c r="T91" s="18" t="str">
        <f>IF(BITWISE_AND('Raw Data'!$L92, 256),"X","")</f>
        <v/>
      </c>
      <c r="U91" s="18" t="str">
        <f>IF(BITWISE_AND('Raw Data'!$L92, 64),"X","")</f>
        <v/>
      </c>
      <c r="V91" s="18" t="str">
        <f>IF(BITWISE_AND('Raw Data'!$L92, 2),"X","")</f>
        <v/>
      </c>
      <c r="W91" s="18" t="str">
        <f>IF(BITWISE_AND('Raw Data'!$L92, 1),"X","")</f>
        <v/>
      </c>
      <c r="X91" s="19" t="str">
        <f>IF(BITWISE_AND('Raw Data'!M92, 1),"Bat Voltage", IF(BITWISE_AND('Raw Data'!M92, 2), "Charge Current", IF(BITWISE_AND('Raw Data'!M92, 4),"Input Ilim", IF(BITWISE_AND('Raw Data'!M92, 8), "Input UV", "none"))))</f>
        <v>none</v>
      </c>
    </row>
    <row r="92" spans="1:24" x14ac:dyDescent="0.2">
      <c r="A92" s="15">
        <f>A91+TIME(0,0,'Raw Data'!B92)</f>
        <v>0</v>
      </c>
      <c r="B92" s="4">
        <f>'Raw Data'!C93*0.025</f>
        <v>0</v>
      </c>
      <c r="C92" s="4">
        <f t="shared" si="6"/>
        <v>0</v>
      </c>
      <c r="D92" s="4">
        <f>'Raw Data'!D93*0.025</f>
        <v>0</v>
      </c>
      <c r="E92" s="4">
        <f t="shared" si="7"/>
        <v>0</v>
      </c>
      <c r="F92" s="4">
        <f>'Raw Data'!E93*0.001648</f>
        <v>0</v>
      </c>
      <c r="G92" s="4">
        <f>'Raw Data'!F93*0.001648</f>
        <v>0</v>
      </c>
      <c r="H92" s="4">
        <f>'Raw Data'!G93*6*0.000128176</f>
        <v>0</v>
      </c>
      <c r="I92" s="4">
        <f>'Raw Data'!H93*0.000732435</f>
        <v>0</v>
      </c>
      <c r="J92" s="4">
        <f t="shared" si="5"/>
        <v>0</v>
      </c>
      <c r="K92" s="36">
        <f>IF(('Raw Data'!I93-16384)/32768&lt;0,0,('Raw Data'!I93-16384)/32768)</f>
        <v>0</v>
      </c>
      <c r="L92" s="4">
        <f>IF(('Raw Data'!J93-12010)/45.6=-263.377192982456,0,('Raw Data'!J93-12010)/45.6)</f>
        <v>0</v>
      </c>
      <c r="M92" s="16">
        <f>'Raw Data'!N93*2^-8</f>
        <v>0</v>
      </c>
      <c r="N92" s="16">
        <f>'Raw Data'!O93*2^-8</f>
        <v>0</v>
      </c>
      <c r="O92" s="17" t="str">
        <f>IF(BITWISE_AND('Raw Data'!$K93, 8192),"X","")</f>
        <v/>
      </c>
      <c r="P92" s="17" t="str">
        <f>IF(BITWISE_AND('Raw Data'!$K93, 2048),"X","")</f>
        <v/>
      </c>
      <c r="Q92" s="17" t="str">
        <f>IF(BITWISE_AND('Raw Data'!$K93, 64),"X","")</f>
        <v/>
      </c>
      <c r="R92" s="18" t="str">
        <f>IF(BITWISE_AND('Raw Data'!$L93, 1024),"X","")</f>
        <v/>
      </c>
      <c r="S92" s="18" t="str">
        <f>IF(BITWISE_AND('Raw Data'!$L93, 512),"X","")</f>
        <v/>
      </c>
      <c r="T92" s="18" t="str">
        <f>IF(BITWISE_AND('Raw Data'!$L93, 256),"X","")</f>
        <v/>
      </c>
      <c r="U92" s="18" t="str">
        <f>IF(BITWISE_AND('Raw Data'!$L93, 64),"X","")</f>
        <v/>
      </c>
      <c r="V92" s="18" t="str">
        <f>IF(BITWISE_AND('Raw Data'!$L93, 2),"X","")</f>
        <v/>
      </c>
      <c r="W92" s="18" t="str">
        <f>IF(BITWISE_AND('Raw Data'!$L93, 1),"X","")</f>
        <v/>
      </c>
      <c r="X92" s="19" t="str">
        <f>IF(BITWISE_AND('Raw Data'!M93, 1),"Bat Voltage", IF(BITWISE_AND('Raw Data'!M93, 2), "Charge Current", IF(BITWISE_AND('Raw Data'!M93, 4),"Input Ilim", IF(BITWISE_AND('Raw Data'!M93, 8), "Input UV", "none"))))</f>
        <v>none</v>
      </c>
    </row>
    <row r="93" spans="1:24" x14ac:dyDescent="0.2">
      <c r="A93" s="15">
        <f>A92+TIME(0,0,'Raw Data'!B93)</f>
        <v>0</v>
      </c>
      <c r="B93" s="4">
        <f>'Raw Data'!C94*0.025</f>
        <v>0</v>
      </c>
      <c r="C93" s="4">
        <f t="shared" si="6"/>
        <v>0</v>
      </c>
      <c r="D93" s="4">
        <f>'Raw Data'!D94*0.025</f>
        <v>0</v>
      </c>
      <c r="E93" s="4">
        <f t="shared" si="7"/>
        <v>0</v>
      </c>
      <c r="F93" s="4">
        <f>'Raw Data'!E94*0.001648</f>
        <v>0</v>
      </c>
      <c r="G93" s="4">
        <f>'Raw Data'!F94*0.001648</f>
        <v>0</v>
      </c>
      <c r="H93" s="4">
        <f>'Raw Data'!G94*6*0.000128176</f>
        <v>0</v>
      </c>
      <c r="I93" s="4">
        <f>'Raw Data'!H94*0.000732435</f>
        <v>0</v>
      </c>
      <c r="J93" s="4">
        <f t="shared" si="5"/>
        <v>0</v>
      </c>
      <c r="K93" s="36">
        <f>IF(('Raw Data'!I94-16384)/32768&lt;0,0,('Raw Data'!I94-16384)/32768)</f>
        <v>0</v>
      </c>
      <c r="L93" s="4">
        <f>IF(('Raw Data'!J94-12010)/45.6=-263.377192982456,0,('Raw Data'!J94-12010)/45.6)</f>
        <v>0</v>
      </c>
      <c r="M93" s="16">
        <f>'Raw Data'!N94*2^-8</f>
        <v>0</v>
      </c>
      <c r="N93" s="16">
        <f>'Raw Data'!O94*2^-8</f>
        <v>0</v>
      </c>
      <c r="O93" s="17" t="str">
        <f>IF(BITWISE_AND('Raw Data'!$K94, 8192),"X","")</f>
        <v/>
      </c>
      <c r="P93" s="17" t="str">
        <f>IF(BITWISE_AND('Raw Data'!$K94, 2048),"X","")</f>
        <v/>
      </c>
      <c r="Q93" s="17" t="str">
        <f>IF(BITWISE_AND('Raw Data'!$K94, 64),"X","")</f>
        <v/>
      </c>
      <c r="R93" s="18" t="str">
        <f>IF(BITWISE_AND('Raw Data'!$L94, 1024),"X","")</f>
        <v/>
      </c>
      <c r="S93" s="18" t="str">
        <f>IF(BITWISE_AND('Raw Data'!$L94, 512),"X","")</f>
        <v/>
      </c>
      <c r="T93" s="18" t="str">
        <f>IF(BITWISE_AND('Raw Data'!$L94, 256),"X","")</f>
        <v/>
      </c>
      <c r="U93" s="18" t="str">
        <f>IF(BITWISE_AND('Raw Data'!$L94, 64),"X","")</f>
        <v/>
      </c>
      <c r="V93" s="18" t="str">
        <f>IF(BITWISE_AND('Raw Data'!$L94, 2),"X","")</f>
        <v/>
      </c>
      <c r="W93" s="18" t="str">
        <f>IF(BITWISE_AND('Raw Data'!$L94, 1),"X","")</f>
        <v/>
      </c>
      <c r="X93" s="19" t="str">
        <f>IF(BITWISE_AND('Raw Data'!M94, 1),"Bat Voltage", IF(BITWISE_AND('Raw Data'!M94, 2), "Charge Current", IF(BITWISE_AND('Raw Data'!M94, 4),"Input Ilim", IF(BITWISE_AND('Raw Data'!M94, 8), "Input UV", "none"))))</f>
        <v>none</v>
      </c>
    </row>
    <row r="94" spans="1:24" x14ac:dyDescent="0.2">
      <c r="A94" s="15">
        <f>A93+TIME(0,0,'Raw Data'!B94)</f>
        <v>0</v>
      </c>
      <c r="B94" s="4">
        <f>'Raw Data'!C95*0.025</f>
        <v>0</v>
      </c>
      <c r="C94" s="4">
        <f t="shared" si="6"/>
        <v>0</v>
      </c>
      <c r="D94" s="4">
        <f>'Raw Data'!D95*0.025</f>
        <v>0</v>
      </c>
      <c r="E94" s="4">
        <f t="shared" si="7"/>
        <v>0</v>
      </c>
      <c r="F94" s="4">
        <f>'Raw Data'!E95*0.001648</f>
        <v>0</v>
      </c>
      <c r="G94" s="4">
        <f>'Raw Data'!F95*0.001648</f>
        <v>0</v>
      </c>
      <c r="H94" s="4">
        <f>'Raw Data'!G95*6*0.000128176</f>
        <v>0</v>
      </c>
      <c r="I94" s="4">
        <f>'Raw Data'!H95*0.000732435</f>
        <v>0</v>
      </c>
      <c r="J94" s="4">
        <f t="shared" si="5"/>
        <v>0</v>
      </c>
      <c r="K94" s="36">
        <f>IF(('Raw Data'!I95-16384)/32768&lt;0,0,('Raw Data'!I95-16384)/32768)</f>
        <v>0</v>
      </c>
      <c r="L94" s="4">
        <f>IF(('Raw Data'!J95-12010)/45.6=-263.377192982456,0,('Raw Data'!J95-12010)/45.6)</f>
        <v>0</v>
      </c>
      <c r="M94" s="16">
        <f>'Raw Data'!N95*2^-8</f>
        <v>0</v>
      </c>
      <c r="N94" s="16">
        <f>'Raw Data'!O95*2^-8</f>
        <v>0</v>
      </c>
      <c r="O94" s="17" t="str">
        <f>IF(BITWISE_AND('Raw Data'!$K95, 8192),"X","")</f>
        <v/>
      </c>
      <c r="P94" s="17" t="str">
        <f>IF(BITWISE_AND('Raw Data'!$K95, 2048),"X","")</f>
        <v/>
      </c>
      <c r="Q94" s="17" t="str">
        <f>IF(BITWISE_AND('Raw Data'!$K95, 64),"X","")</f>
        <v/>
      </c>
      <c r="R94" s="18" t="str">
        <f>IF(BITWISE_AND('Raw Data'!$L95, 1024),"X","")</f>
        <v/>
      </c>
      <c r="S94" s="18" t="str">
        <f>IF(BITWISE_AND('Raw Data'!$L95, 512),"X","")</f>
        <v/>
      </c>
      <c r="T94" s="18" t="str">
        <f>IF(BITWISE_AND('Raw Data'!$L95, 256),"X","")</f>
        <v/>
      </c>
      <c r="U94" s="18" t="str">
        <f>IF(BITWISE_AND('Raw Data'!$L95, 64),"X","")</f>
        <v/>
      </c>
      <c r="V94" s="18" t="str">
        <f>IF(BITWISE_AND('Raw Data'!$L95, 2),"X","")</f>
        <v/>
      </c>
      <c r="W94" s="18" t="str">
        <f>IF(BITWISE_AND('Raw Data'!$L95, 1),"X","")</f>
        <v/>
      </c>
      <c r="X94" s="19" t="str">
        <f>IF(BITWISE_AND('Raw Data'!M95, 1),"Bat Voltage", IF(BITWISE_AND('Raw Data'!M95, 2), "Charge Current", IF(BITWISE_AND('Raw Data'!M95, 4),"Input Ilim", IF(BITWISE_AND('Raw Data'!M95, 8), "Input UV", "none"))))</f>
        <v>none</v>
      </c>
    </row>
    <row r="95" spans="1:24" x14ac:dyDescent="0.2">
      <c r="A95" s="15">
        <f>A94+TIME(0,0,'Raw Data'!B95)</f>
        <v>0</v>
      </c>
      <c r="B95" s="4">
        <f>'Raw Data'!C96*0.025</f>
        <v>0</v>
      </c>
      <c r="C95" s="4">
        <f t="shared" si="6"/>
        <v>0</v>
      </c>
      <c r="D95" s="4">
        <f>'Raw Data'!D96*0.025</f>
        <v>0</v>
      </c>
      <c r="E95" s="4">
        <f t="shared" si="7"/>
        <v>0</v>
      </c>
      <c r="F95" s="4">
        <f>'Raw Data'!E96*0.001648</f>
        <v>0</v>
      </c>
      <c r="G95" s="4">
        <f>'Raw Data'!F96*0.001648</f>
        <v>0</v>
      </c>
      <c r="H95" s="4">
        <f>'Raw Data'!G96*6*0.000128176</f>
        <v>0</v>
      </c>
      <c r="I95" s="4">
        <f>'Raw Data'!H96*0.000732435</f>
        <v>0</v>
      </c>
      <c r="J95" s="4">
        <f t="shared" si="5"/>
        <v>0</v>
      </c>
      <c r="K95" s="36">
        <f>IF(('Raw Data'!I96-16384)/32768&lt;0,0,('Raw Data'!I96-16384)/32768)</f>
        <v>0</v>
      </c>
      <c r="L95" s="4">
        <f>IF(('Raw Data'!J96-12010)/45.6=-263.377192982456,0,('Raw Data'!J96-12010)/45.6)</f>
        <v>0</v>
      </c>
      <c r="M95" s="16">
        <f>'Raw Data'!N96*2^-8</f>
        <v>0</v>
      </c>
      <c r="N95" s="16">
        <f>'Raw Data'!O96*2^-8</f>
        <v>0</v>
      </c>
      <c r="O95" s="17" t="str">
        <f>IF(BITWISE_AND('Raw Data'!$K96, 8192),"X","")</f>
        <v/>
      </c>
      <c r="P95" s="17" t="str">
        <f>IF(BITWISE_AND('Raw Data'!$K96, 2048),"X","")</f>
        <v/>
      </c>
      <c r="Q95" s="17" t="str">
        <f>IF(BITWISE_AND('Raw Data'!$K96, 64),"X","")</f>
        <v/>
      </c>
      <c r="R95" s="18" t="str">
        <f>IF(BITWISE_AND('Raw Data'!$L96, 1024),"X","")</f>
        <v/>
      </c>
      <c r="S95" s="18" t="str">
        <f>IF(BITWISE_AND('Raw Data'!$L96, 512),"X","")</f>
        <v/>
      </c>
      <c r="T95" s="18" t="str">
        <f>IF(BITWISE_AND('Raw Data'!$L96, 256),"X","")</f>
        <v/>
      </c>
      <c r="U95" s="18" t="str">
        <f>IF(BITWISE_AND('Raw Data'!$L96, 64),"X","")</f>
        <v/>
      </c>
      <c r="V95" s="18" t="str">
        <f>IF(BITWISE_AND('Raw Data'!$L96, 2),"X","")</f>
        <v/>
      </c>
      <c r="W95" s="18" t="str">
        <f>IF(BITWISE_AND('Raw Data'!$L96, 1),"X","")</f>
        <v/>
      </c>
      <c r="X95" s="19" t="str">
        <f>IF(BITWISE_AND('Raw Data'!M96, 1),"Bat Voltage", IF(BITWISE_AND('Raw Data'!M96, 2), "Charge Current", IF(BITWISE_AND('Raw Data'!M96, 4),"Input Ilim", IF(BITWISE_AND('Raw Data'!M96, 8), "Input UV", "none"))))</f>
        <v>none</v>
      </c>
    </row>
    <row r="96" spans="1:24" x14ac:dyDescent="0.2">
      <c r="A96" s="15">
        <f>A95+TIME(0,0,'Raw Data'!B96)</f>
        <v>0</v>
      </c>
      <c r="B96" s="4">
        <f>'Raw Data'!C97*0.025</f>
        <v>0</v>
      </c>
      <c r="C96" s="4">
        <f t="shared" si="6"/>
        <v>0</v>
      </c>
      <c r="D96" s="4">
        <f>'Raw Data'!D97*0.025</f>
        <v>0</v>
      </c>
      <c r="E96" s="4">
        <f t="shared" si="7"/>
        <v>0</v>
      </c>
      <c r="F96" s="4">
        <f>'Raw Data'!E97*0.001648</f>
        <v>0</v>
      </c>
      <c r="G96" s="4">
        <f>'Raw Data'!F97*0.001648</f>
        <v>0</v>
      </c>
      <c r="H96" s="4">
        <f>'Raw Data'!G97*6*0.000128176</f>
        <v>0</v>
      </c>
      <c r="I96" s="4">
        <f>'Raw Data'!H97*0.000732435</f>
        <v>0</v>
      </c>
      <c r="J96" s="4">
        <f t="shared" si="5"/>
        <v>0</v>
      </c>
      <c r="K96" s="36">
        <f>IF(('Raw Data'!I97-16384)/32768&lt;0,0,('Raw Data'!I97-16384)/32768)</f>
        <v>0</v>
      </c>
      <c r="L96" s="4">
        <f>IF(('Raw Data'!J97-12010)/45.6=-263.377192982456,0,('Raw Data'!J97-12010)/45.6)</f>
        <v>0</v>
      </c>
      <c r="M96" s="16">
        <f>'Raw Data'!N97*2^-8</f>
        <v>0</v>
      </c>
      <c r="N96" s="16">
        <f>'Raw Data'!O97*2^-8</f>
        <v>0</v>
      </c>
      <c r="O96" s="17" t="str">
        <f>IF(BITWISE_AND('Raw Data'!$K97, 8192),"X","")</f>
        <v/>
      </c>
      <c r="P96" s="17" t="str">
        <f>IF(BITWISE_AND('Raw Data'!$K97, 2048),"X","")</f>
        <v/>
      </c>
      <c r="Q96" s="17" t="str">
        <f>IF(BITWISE_AND('Raw Data'!$K97, 64),"X","")</f>
        <v/>
      </c>
      <c r="R96" s="18" t="str">
        <f>IF(BITWISE_AND('Raw Data'!$L97, 1024),"X","")</f>
        <v/>
      </c>
      <c r="S96" s="18" t="str">
        <f>IF(BITWISE_AND('Raw Data'!$L97, 512),"X","")</f>
        <v/>
      </c>
      <c r="T96" s="18" t="str">
        <f>IF(BITWISE_AND('Raw Data'!$L97, 256),"X","")</f>
        <v/>
      </c>
      <c r="U96" s="18" t="str">
        <f>IF(BITWISE_AND('Raw Data'!$L97, 64),"X","")</f>
        <v/>
      </c>
      <c r="V96" s="18" t="str">
        <f>IF(BITWISE_AND('Raw Data'!$L97, 2),"X","")</f>
        <v/>
      </c>
      <c r="W96" s="18" t="str">
        <f>IF(BITWISE_AND('Raw Data'!$L97, 1),"X","")</f>
        <v/>
      </c>
      <c r="X96" s="19" t="str">
        <f>IF(BITWISE_AND('Raw Data'!M97, 1),"Bat Voltage", IF(BITWISE_AND('Raw Data'!M97, 2), "Charge Current", IF(BITWISE_AND('Raw Data'!M97, 4),"Input Ilim", IF(BITWISE_AND('Raw Data'!M97, 8), "Input UV", "none"))))</f>
        <v>none</v>
      </c>
    </row>
    <row r="97" spans="1:24" x14ac:dyDescent="0.2">
      <c r="A97" s="15">
        <f>A96+TIME(0,0,'Raw Data'!B97)</f>
        <v>0</v>
      </c>
      <c r="B97" s="4">
        <f>'Raw Data'!C98*0.025</f>
        <v>0</v>
      </c>
      <c r="C97" s="4">
        <f t="shared" si="6"/>
        <v>0</v>
      </c>
      <c r="D97" s="4">
        <f>'Raw Data'!D98*0.025</f>
        <v>0</v>
      </c>
      <c r="E97" s="4">
        <f t="shared" si="7"/>
        <v>0</v>
      </c>
      <c r="F97" s="4">
        <f>'Raw Data'!E98*0.001648</f>
        <v>0</v>
      </c>
      <c r="G97" s="4">
        <f>'Raw Data'!F98*0.001648</f>
        <v>0</v>
      </c>
      <c r="H97" s="4">
        <f>'Raw Data'!G98*6*0.000128176</f>
        <v>0</v>
      </c>
      <c r="I97" s="4">
        <f>'Raw Data'!H98*0.000732435</f>
        <v>0</v>
      </c>
      <c r="J97" s="4">
        <f t="shared" si="5"/>
        <v>0</v>
      </c>
      <c r="K97" s="36">
        <f>IF(('Raw Data'!I98-16384)/32768&lt;0,0,('Raw Data'!I98-16384)/32768)</f>
        <v>0</v>
      </c>
      <c r="L97" s="4">
        <f>IF(('Raw Data'!J98-12010)/45.6=-263.377192982456,0,('Raw Data'!J98-12010)/45.6)</f>
        <v>0</v>
      </c>
      <c r="M97" s="16">
        <f>'Raw Data'!N98*2^-8</f>
        <v>0</v>
      </c>
      <c r="N97" s="16">
        <f>'Raw Data'!O98*2^-8</f>
        <v>0</v>
      </c>
      <c r="O97" s="17" t="str">
        <f>IF(BITWISE_AND('Raw Data'!$K98, 8192),"X","")</f>
        <v/>
      </c>
      <c r="P97" s="17" t="str">
        <f>IF(BITWISE_AND('Raw Data'!$K98, 2048),"X","")</f>
        <v/>
      </c>
      <c r="Q97" s="17" t="str">
        <f>IF(BITWISE_AND('Raw Data'!$K98, 64),"X","")</f>
        <v/>
      </c>
      <c r="R97" s="18" t="str">
        <f>IF(BITWISE_AND('Raw Data'!$L98, 1024),"X","")</f>
        <v/>
      </c>
      <c r="S97" s="18" t="str">
        <f>IF(BITWISE_AND('Raw Data'!$L98, 512),"X","")</f>
        <v/>
      </c>
      <c r="T97" s="18" t="str">
        <f>IF(BITWISE_AND('Raw Data'!$L98, 256),"X","")</f>
        <v/>
      </c>
      <c r="U97" s="18" t="str">
        <f>IF(BITWISE_AND('Raw Data'!$L98, 64),"X","")</f>
        <v/>
      </c>
      <c r="V97" s="18" t="str">
        <f>IF(BITWISE_AND('Raw Data'!$L98, 2),"X","")</f>
        <v/>
      </c>
      <c r="W97" s="18" t="str">
        <f>IF(BITWISE_AND('Raw Data'!$L98, 1),"X","")</f>
        <v/>
      </c>
      <c r="X97" s="19" t="str">
        <f>IF(BITWISE_AND('Raw Data'!M98, 1),"Bat Voltage", IF(BITWISE_AND('Raw Data'!M98, 2), "Charge Current", IF(BITWISE_AND('Raw Data'!M98, 4),"Input Ilim", IF(BITWISE_AND('Raw Data'!M98, 8), "Input UV", "none"))))</f>
        <v>none</v>
      </c>
    </row>
    <row r="98" spans="1:24" x14ac:dyDescent="0.2">
      <c r="A98" s="15">
        <f>A97+TIME(0,0,'Raw Data'!B98)</f>
        <v>0</v>
      </c>
      <c r="B98" s="4">
        <f>'Raw Data'!C99*0.025</f>
        <v>0</v>
      </c>
      <c r="C98" s="4">
        <f t="shared" si="6"/>
        <v>0</v>
      </c>
      <c r="D98" s="4">
        <f>'Raw Data'!D99*0.025</f>
        <v>0</v>
      </c>
      <c r="E98" s="4">
        <f t="shared" si="7"/>
        <v>0</v>
      </c>
      <c r="F98" s="4">
        <f>'Raw Data'!E99*0.001648</f>
        <v>0</v>
      </c>
      <c r="G98" s="4">
        <f>'Raw Data'!F99*0.001648</f>
        <v>0</v>
      </c>
      <c r="H98" s="4">
        <f>'Raw Data'!G99*6*0.000128176</f>
        <v>0</v>
      </c>
      <c r="I98" s="4">
        <f>'Raw Data'!H99*0.000732435</f>
        <v>0</v>
      </c>
      <c r="J98" s="4">
        <f t="shared" si="5"/>
        <v>0</v>
      </c>
      <c r="K98" s="36">
        <f>IF(('Raw Data'!I99-16384)/32768&lt;0,0,('Raw Data'!I99-16384)/32768)</f>
        <v>0</v>
      </c>
      <c r="L98" s="4">
        <f>IF(('Raw Data'!J99-12010)/45.6=-263.377192982456,0,('Raw Data'!J99-12010)/45.6)</f>
        <v>0</v>
      </c>
      <c r="M98" s="16">
        <f>'Raw Data'!N99*2^-8</f>
        <v>0</v>
      </c>
      <c r="N98" s="16">
        <f>'Raw Data'!O99*2^-8</f>
        <v>0</v>
      </c>
      <c r="O98" s="17" t="str">
        <f>IF(BITWISE_AND('Raw Data'!$K99, 8192),"X","")</f>
        <v/>
      </c>
      <c r="P98" s="17" t="str">
        <f>IF(BITWISE_AND('Raw Data'!$K99, 2048),"X","")</f>
        <v/>
      </c>
      <c r="Q98" s="17" t="str">
        <f>IF(BITWISE_AND('Raw Data'!$K99, 64),"X","")</f>
        <v/>
      </c>
      <c r="R98" s="18" t="str">
        <f>IF(BITWISE_AND('Raw Data'!$L99, 1024),"X","")</f>
        <v/>
      </c>
      <c r="S98" s="18" t="str">
        <f>IF(BITWISE_AND('Raw Data'!$L99, 512),"X","")</f>
        <v/>
      </c>
      <c r="T98" s="18" t="str">
        <f>IF(BITWISE_AND('Raw Data'!$L99, 256),"X","")</f>
        <v/>
      </c>
      <c r="U98" s="18" t="str">
        <f>IF(BITWISE_AND('Raw Data'!$L99, 64),"X","")</f>
        <v/>
      </c>
      <c r="V98" s="18" t="str">
        <f>IF(BITWISE_AND('Raw Data'!$L99, 2),"X","")</f>
        <v/>
      </c>
      <c r="W98" s="18" t="str">
        <f>IF(BITWISE_AND('Raw Data'!$L99, 1),"X","")</f>
        <v/>
      </c>
      <c r="X98" s="19" t="str">
        <f>IF(BITWISE_AND('Raw Data'!M99, 1),"Bat Voltage", IF(BITWISE_AND('Raw Data'!M99, 2), "Charge Current", IF(BITWISE_AND('Raw Data'!M99, 4),"Input Ilim", IF(BITWISE_AND('Raw Data'!M99, 8), "Input UV", "none"))))</f>
        <v>none</v>
      </c>
    </row>
    <row r="99" spans="1:24" x14ac:dyDescent="0.2">
      <c r="A99" s="15">
        <f>A98+TIME(0,0,'Raw Data'!B99)</f>
        <v>0</v>
      </c>
      <c r="B99" s="4">
        <f>'Raw Data'!C100*0.025</f>
        <v>0</v>
      </c>
      <c r="C99" s="4">
        <f t="shared" si="6"/>
        <v>0</v>
      </c>
      <c r="D99" s="4">
        <f>'Raw Data'!D100*0.025</f>
        <v>0</v>
      </c>
      <c r="E99" s="4">
        <f t="shared" si="7"/>
        <v>0</v>
      </c>
      <c r="F99" s="4">
        <f>'Raw Data'!E100*0.001648</f>
        <v>0</v>
      </c>
      <c r="G99" s="4">
        <f>'Raw Data'!F100*0.001648</f>
        <v>0</v>
      </c>
      <c r="H99" s="4">
        <f>'Raw Data'!G100*6*0.000128176</f>
        <v>0</v>
      </c>
      <c r="I99" s="4">
        <f>'Raw Data'!H100*0.000732435</f>
        <v>0</v>
      </c>
      <c r="J99" s="4">
        <f t="shared" si="5"/>
        <v>0</v>
      </c>
      <c r="K99" s="36">
        <f>IF(('Raw Data'!I100-16384)/32768&lt;0,0,('Raw Data'!I100-16384)/32768)</f>
        <v>0</v>
      </c>
      <c r="L99" s="4">
        <f>IF(('Raw Data'!J100-12010)/45.6=-263.377192982456,0,('Raw Data'!J100-12010)/45.6)</f>
        <v>0</v>
      </c>
      <c r="M99" s="16">
        <f>'Raw Data'!N100*2^-8</f>
        <v>0</v>
      </c>
      <c r="N99" s="16">
        <f>'Raw Data'!O100*2^-8</f>
        <v>0</v>
      </c>
      <c r="O99" s="17" t="str">
        <f>IF(BITWISE_AND('Raw Data'!$K100, 8192),"X","")</f>
        <v/>
      </c>
      <c r="P99" s="17" t="str">
        <f>IF(BITWISE_AND('Raw Data'!$K100, 2048),"X","")</f>
        <v/>
      </c>
      <c r="Q99" s="17" t="str">
        <f>IF(BITWISE_AND('Raw Data'!$K100, 64),"X","")</f>
        <v/>
      </c>
      <c r="R99" s="18" t="str">
        <f>IF(BITWISE_AND('Raw Data'!$L100, 1024),"X","")</f>
        <v/>
      </c>
      <c r="S99" s="18" t="str">
        <f>IF(BITWISE_AND('Raw Data'!$L100, 512),"X","")</f>
        <v/>
      </c>
      <c r="T99" s="18" t="str">
        <f>IF(BITWISE_AND('Raw Data'!$L100, 256),"X","")</f>
        <v/>
      </c>
      <c r="U99" s="18" t="str">
        <f>IF(BITWISE_AND('Raw Data'!$L100, 64),"X","")</f>
        <v/>
      </c>
      <c r="V99" s="18" t="str">
        <f>IF(BITWISE_AND('Raw Data'!$L100, 2),"X","")</f>
        <v/>
      </c>
      <c r="W99" s="18" t="str">
        <f>IF(BITWISE_AND('Raw Data'!$L100, 1),"X","")</f>
        <v/>
      </c>
      <c r="X99" s="19" t="str">
        <f>IF(BITWISE_AND('Raw Data'!M100, 1),"Bat Voltage", IF(BITWISE_AND('Raw Data'!M100, 2), "Charge Current", IF(BITWISE_AND('Raw Data'!M100, 4),"Input Ilim", IF(BITWISE_AND('Raw Data'!M100, 8), "Input UV", "none"))))</f>
        <v>none</v>
      </c>
    </row>
    <row r="100" spans="1:24" x14ac:dyDescent="0.2">
      <c r="A100" s="15">
        <f>A99+TIME(0,0,'Raw Data'!B100)</f>
        <v>0</v>
      </c>
      <c r="B100" s="4">
        <f>'Raw Data'!C101*0.025</f>
        <v>0</v>
      </c>
      <c r="C100" s="4">
        <f t="shared" si="6"/>
        <v>0</v>
      </c>
      <c r="D100" s="4">
        <f>'Raw Data'!D101*0.025</f>
        <v>0</v>
      </c>
      <c r="E100" s="4">
        <f t="shared" si="7"/>
        <v>0</v>
      </c>
      <c r="F100" s="4">
        <f>'Raw Data'!E101*0.001648</f>
        <v>0</v>
      </c>
      <c r="G100" s="4">
        <f>'Raw Data'!F101*0.001648</f>
        <v>0</v>
      </c>
      <c r="H100" s="4">
        <f>'Raw Data'!G101*6*0.000128176</f>
        <v>0</v>
      </c>
      <c r="I100" s="4">
        <f>'Raw Data'!H101*0.000732435</f>
        <v>0</v>
      </c>
      <c r="J100" s="4">
        <f t="shared" si="5"/>
        <v>0</v>
      </c>
      <c r="K100" s="36">
        <f>IF(('Raw Data'!I101-16384)/32768&lt;0,0,('Raw Data'!I101-16384)/32768)</f>
        <v>0</v>
      </c>
      <c r="L100" s="4">
        <f>IF(('Raw Data'!J101-12010)/45.6=-263.377192982456,0,('Raw Data'!J101-12010)/45.6)</f>
        <v>0</v>
      </c>
      <c r="M100" s="16">
        <f>'Raw Data'!N101*2^-8</f>
        <v>0</v>
      </c>
      <c r="N100" s="16">
        <f>'Raw Data'!O101*2^-8</f>
        <v>0</v>
      </c>
      <c r="O100" s="17" t="str">
        <f>IF(BITWISE_AND('Raw Data'!$K101, 8192),"X","")</f>
        <v/>
      </c>
      <c r="P100" s="17" t="str">
        <f>IF(BITWISE_AND('Raw Data'!$K101, 2048),"X","")</f>
        <v/>
      </c>
      <c r="Q100" s="17" t="str">
        <f>IF(BITWISE_AND('Raw Data'!$K101, 64),"X","")</f>
        <v/>
      </c>
      <c r="R100" s="18" t="str">
        <f>IF(BITWISE_AND('Raw Data'!$L101, 1024),"X","")</f>
        <v/>
      </c>
      <c r="S100" s="18" t="str">
        <f>IF(BITWISE_AND('Raw Data'!$L101, 512),"X","")</f>
        <v/>
      </c>
      <c r="T100" s="18" t="str">
        <f>IF(BITWISE_AND('Raw Data'!$L101, 256),"X","")</f>
        <v/>
      </c>
      <c r="U100" s="18" t="str">
        <f>IF(BITWISE_AND('Raw Data'!$L101, 64),"X","")</f>
        <v/>
      </c>
      <c r="V100" s="18" t="str">
        <f>IF(BITWISE_AND('Raw Data'!$L101, 2),"X","")</f>
        <v/>
      </c>
      <c r="W100" s="18" t="str">
        <f>IF(BITWISE_AND('Raw Data'!$L101, 1),"X","")</f>
        <v/>
      </c>
      <c r="X100" s="19" t="str">
        <f>IF(BITWISE_AND('Raw Data'!M101, 1),"Bat Voltage", IF(BITWISE_AND('Raw Data'!M101, 2), "Charge Current", IF(BITWISE_AND('Raw Data'!M101, 4),"Input Ilim", IF(BITWISE_AND('Raw Data'!M101, 8), "Input UV", "none"))))</f>
        <v>none</v>
      </c>
    </row>
    <row r="101" spans="1:24" x14ac:dyDescent="0.2">
      <c r="A101" s="15">
        <f>A100+TIME(0,0,'Raw Data'!B101)</f>
        <v>0</v>
      </c>
      <c r="B101" s="4">
        <f>'Raw Data'!C102*0.025</f>
        <v>0</v>
      </c>
      <c r="C101" s="4">
        <f t="shared" si="6"/>
        <v>0</v>
      </c>
      <c r="D101" s="4">
        <f>'Raw Data'!D102*0.025</f>
        <v>0</v>
      </c>
      <c r="E101" s="4">
        <f t="shared" si="7"/>
        <v>0</v>
      </c>
      <c r="F101" s="4">
        <f>'Raw Data'!E102*0.001648</f>
        <v>0</v>
      </c>
      <c r="G101" s="4">
        <f>'Raw Data'!F102*0.001648</f>
        <v>0</v>
      </c>
      <c r="H101" s="4">
        <f>'Raw Data'!G102*6*0.000128176</f>
        <v>0</v>
      </c>
      <c r="I101" s="4">
        <f>'Raw Data'!H102*0.000732435</f>
        <v>0</v>
      </c>
      <c r="J101" s="4">
        <f t="shared" si="5"/>
        <v>0</v>
      </c>
      <c r="K101" s="36">
        <f>IF(('Raw Data'!I102-16384)/32768&lt;0,0,('Raw Data'!I102-16384)/32768)</f>
        <v>0</v>
      </c>
      <c r="L101" s="4">
        <f>IF(('Raw Data'!J102-12010)/45.6=-263.377192982456,0,('Raw Data'!J102-12010)/45.6)</f>
        <v>0</v>
      </c>
      <c r="M101" s="16">
        <f>'Raw Data'!N102*2^-8</f>
        <v>0</v>
      </c>
      <c r="N101" s="16">
        <f>'Raw Data'!O102*2^-8</f>
        <v>0</v>
      </c>
      <c r="O101" s="17" t="str">
        <f>IF(BITWISE_AND('Raw Data'!$K102, 8192),"X","")</f>
        <v/>
      </c>
      <c r="P101" s="17" t="str">
        <f>IF(BITWISE_AND('Raw Data'!$K102, 2048),"X","")</f>
        <v/>
      </c>
      <c r="Q101" s="17" t="str">
        <f>IF(BITWISE_AND('Raw Data'!$K102, 64),"X","")</f>
        <v/>
      </c>
      <c r="R101" s="18" t="str">
        <f>IF(BITWISE_AND('Raw Data'!$L102, 1024),"X","")</f>
        <v/>
      </c>
      <c r="S101" s="18" t="str">
        <f>IF(BITWISE_AND('Raw Data'!$L102, 512),"X","")</f>
        <v/>
      </c>
      <c r="T101" s="18" t="str">
        <f>IF(BITWISE_AND('Raw Data'!$L102, 256),"X","")</f>
        <v/>
      </c>
      <c r="U101" s="18" t="str">
        <f>IF(BITWISE_AND('Raw Data'!$L102, 64),"X","")</f>
        <v/>
      </c>
      <c r="V101" s="18" t="str">
        <f>IF(BITWISE_AND('Raw Data'!$L102, 2),"X","")</f>
        <v/>
      </c>
      <c r="W101" s="18" t="str">
        <f>IF(BITWISE_AND('Raw Data'!$L102, 1),"X","")</f>
        <v/>
      </c>
      <c r="X101" s="19" t="str">
        <f>IF(BITWISE_AND('Raw Data'!M102, 1),"Bat Voltage", IF(BITWISE_AND('Raw Data'!M102, 2), "Charge Current", IF(BITWISE_AND('Raw Data'!M102, 4),"Input Ilim", IF(BITWISE_AND('Raw Data'!M102, 8), "Input UV", "none"))))</f>
        <v>none</v>
      </c>
    </row>
    <row r="102" spans="1:24" x14ac:dyDescent="0.2">
      <c r="A102" s="15">
        <f>A101+TIME(0,0,'Raw Data'!B102)</f>
        <v>0</v>
      </c>
      <c r="B102" s="4">
        <f>'Raw Data'!C103*0.025</f>
        <v>0</v>
      </c>
      <c r="C102" s="4">
        <f t="shared" si="6"/>
        <v>0</v>
      </c>
      <c r="D102" s="4">
        <f>'Raw Data'!D103*0.025</f>
        <v>0</v>
      </c>
      <c r="E102" s="4">
        <f t="shared" si="7"/>
        <v>0</v>
      </c>
      <c r="F102" s="4">
        <f>'Raw Data'!E103*0.001648</f>
        <v>0</v>
      </c>
      <c r="G102" s="4">
        <f>'Raw Data'!F103*0.001648</f>
        <v>0</v>
      </c>
      <c r="H102" s="4">
        <f>'Raw Data'!G103*6*0.000128176</f>
        <v>0</v>
      </c>
      <c r="I102" s="4">
        <f>'Raw Data'!H103*0.000732435</f>
        <v>0</v>
      </c>
      <c r="J102" s="4">
        <f t="shared" si="5"/>
        <v>0</v>
      </c>
      <c r="K102" s="36">
        <f>IF(('Raw Data'!I103-16384)/32768&lt;0,0,('Raw Data'!I103-16384)/32768)</f>
        <v>0</v>
      </c>
      <c r="L102" s="4">
        <f>IF(('Raw Data'!J103-12010)/45.6=-263.377192982456,0,('Raw Data'!J103-12010)/45.6)</f>
        <v>0</v>
      </c>
      <c r="M102" s="16">
        <f>'Raw Data'!N103*2^-8</f>
        <v>0</v>
      </c>
      <c r="N102" s="16">
        <f>'Raw Data'!O103*2^-8</f>
        <v>0</v>
      </c>
      <c r="O102" s="17" t="str">
        <f>IF(BITWISE_AND('Raw Data'!$K103, 8192),"X","")</f>
        <v/>
      </c>
      <c r="P102" s="17" t="str">
        <f>IF(BITWISE_AND('Raw Data'!$K103, 2048),"X","")</f>
        <v/>
      </c>
      <c r="Q102" s="17" t="str">
        <f>IF(BITWISE_AND('Raw Data'!$K103, 64),"X","")</f>
        <v/>
      </c>
      <c r="R102" s="18" t="str">
        <f>IF(BITWISE_AND('Raw Data'!$L103, 1024),"X","")</f>
        <v/>
      </c>
      <c r="S102" s="18" t="str">
        <f>IF(BITWISE_AND('Raw Data'!$L103, 512),"X","")</f>
        <v/>
      </c>
      <c r="T102" s="18" t="str">
        <f>IF(BITWISE_AND('Raw Data'!$L103, 256),"X","")</f>
        <v/>
      </c>
      <c r="U102" s="18" t="str">
        <f>IF(BITWISE_AND('Raw Data'!$L103, 64),"X","")</f>
        <v/>
      </c>
      <c r="V102" s="18" t="str">
        <f>IF(BITWISE_AND('Raw Data'!$L103, 2),"X","")</f>
        <v/>
      </c>
      <c r="W102" s="18" t="str">
        <f>IF(BITWISE_AND('Raw Data'!$L103, 1),"X","")</f>
        <v/>
      </c>
      <c r="X102" s="19" t="str">
        <f>IF(BITWISE_AND('Raw Data'!M103, 1),"Bat Voltage", IF(BITWISE_AND('Raw Data'!M103, 2), "Charge Current", IF(BITWISE_AND('Raw Data'!M103, 4),"Input Ilim", IF(BITWISE_AND('Raw Data'!M103, 8), "Input UV", "none"))))</f>
        <v>none</v>
      </c>
    </row>
    <row r="103" spans="1:24" x14ac:dyDescent="0.2">
      <c r="A103" s="15">
        <f>A102+TIME(0,0,'Raw Data'!B103)</f>
        <v>0</v>
      </c>
      <c r="B103" s="4">
        <f>'Raw Data'!C104*0.025</f>
        <v>0</v>
      </c>
      <c r="C103" s="4">
        <f t="shared" si="6"/>
        <v>0</v>
      </c>
      <c r="D103" s="4">
        <f>'Raw Data'!D104*0.025</f>
        <v>0</v>
      </c>
      <c r="E103" s="4">
        <f t="shared" si="7"/>
        <v>0</v>
      </c>
      <c r="F103" s="4">
        <f>'Raw Data'!E104*0.001648</f>
        <v>0</v>
      </c>
      <c r="G103" s="4">
        <f>'Raw Data'!F104*0.001648</f>
        <v>0</v>
      </c>
      <c r="H103" s="4">
        <f>'Raw Data'!G104*6*0.000128176</f>
        <v>0</v>
      </c>
      <c r="I103" s="4">
        <f>'Raw Data'!H104*0.000732435</f>
        <v>0</v>
      </c>
      <c r="J103" s="4">
        <f t="shared" si="5"/>
        <v>0</v>
      </c>
      <c r="K103" s="36">
        <f>IF(('Raw Data'!I104-16384)/32768&lt;0,0,('Raw Data'!I104-16384)/32768)</f>
        <v>0</v>
      </c>
      <c r="L103" s="4">
        <f>IF(('Raw Data'!J104-12010)/45.6=-263.377192982456,0,('Raw Data'!J104-12010)/45.6)</f>
        <v>0</v>
      </c>
      <c r="M103" s="16">
        <f>'Raw Data'!N104*2^-8</f>
        <v>0</v>
      </c>
      <c r="N103" s="16">
        <f>'Raw Data'!O104*2^-8</f>
        <v>0</v>
      </c>
      <c r="O103" s="17" t="str">
        <f>IF(BITWISE_AND('Raw Data'!$K104, 8192),"X","")</f>
        <v/>
      </c>
      <c r="P103" s="17" t="str">
        <f>IF(BITWISE_AND('Raw Data'!$K104, 2048),"X","")</f>
        <v/>
      </c>
      <c r="Q103" s="17" t="str">
        <f>IF(BITWISE_AND('Raw Data'!$K104, 64),"X","")</f>
        <v/>
      </c>
      <c r="R103" s="18" t="str">
        <f>IF(BITWISE_AND('Raw Data'!$L104, 1024),"X","")</f>
        <v/>
      </c>
      <c r="S103" s="18" t="str">
        <f>IF(BITWISE_AND('Raw Data'!$L104, 512),"X","")</f>
        <v/>
      </c>
      <c r="T103" s="18" t="str">
        <f>IF(BITWISE_AND('Raw Data'!$L104, 256),"X","")</f>
        <v/>
      </c>
      <c r="U103" s="18" t="str">
        <f>IF(BITWISE_AND('Raw Data'!$L104, 64),"X","")</f>
        <v/>
      </c>
      <c r="V103" s="18" t="str">
        <f>IF(BITWISE_AND('Raw Data'!$L104, 2),"X","")</f>
        <v/>
      </c>
      <c r="W103" s="18" t="str">
        <f>IF(BITWISE_AND('Raw Data'!$L104, 1),"X","")</f>
        <v/>
      </c>
      <c r="X103" s="19" t="str">
        <f>IF(BITWISE_AND('Raw Data'!M104, 1),"Bat Voltage", IF(BITWISE_AND('Raw Data'!M104, 2), "Charge Current", IF(BITWISE_AND('Raw Data'!M104, 4),"Input Ilim", IF(BITWISE_AND('Raw Data'!M104, 8), "Input UV", "none"))))</f>
        <v>none</v>
      </c>
    </row>
    <row r="104" spans="1:24" x14ac:dyDescent="0.2">
      <c r="A104" s="15">
        <f>A103+TIME(0,0,'Raw Data'!B104)</f>
        <v>0</v>
      </c>
      <c r="B104" s="4">
        <f>'Raw Data'!C105*0.025</f>
        <v>0</v>
      </c>
      <c r="C104" s="4">
        <f t="shared" si="6"/>
        <v>0</v>
      </c>
      <c r="D104" s="4">
        <f>'Raw Data'!D105*0.025</f>
        <v>0</v>
      </c>
      <c r="E104" s="4">
        <f t="shared" si="7"/>
        <v>0</v>
      </c>
      <c r="F104" s="4">
        <f>'Raw Data'!E105*0.001648</f>
        <v>0</v>
      </c>
      <c r="G104" s="4">
        <f>'Raw Data'!F105*0.001648</f>
        <v>0</v>
      </c>
      <c r="H104" s="4">
        <f>'Raw Data'!G105*6*0.000128176</f>
        <v>0</v>
      </c>
      <c r="I104" s="4">
        <f>'Raw Data'!H105*0.000732435</f>
        <v>0</v>
      </c>
      <c r="J104" s="4">
        <f t="shared" si="5"/>
        <v>0</v>
      </c>
      <c r="K104" s="36">
        <f>IF(('Raw Data'!I105-16384)/32768&lt;0,0,('Raw Data'!I105-16384)/32768)</f>
        <v>0</v>
      </c>
      <c r="L104" s="4">
        <f>IF(('Raw Data'!J105-12010)/45.6=-263.377192982456,0,('Raw Data'!J105-12010)/45.6)</f>
        <v>0</v>
      </c>
      <c r="M104" s="16">
        <f>'Raw Data'!N105*2^-8</f>
        <v>0</v>
      </c>
      <c r="N104" s="16">
        <f>'Raw Data'!O105*2^-8</f>
        <v>0</v>
      </c>
      <c r="O104" s="17" t="str">
        <f>IF(BITWISE_AND('Raw Data'!$K105, 8192),"X","")</f>
        <v/>
      </c>
      <c r="P104" s="17" t="str">
        <f>IF(BITWISE_AND('Raw Data'!$K105, 2048),"X","")</f>
        <v/>
      </c>
      <c r="Q104" s="17" t="str">
        <f>IF(BITWISE_AND('Raw Data'!$K105, 64),"X","")</f>
        <v/>
      </c>
      <c r="R104" s="18" t="str">
        <f>IF(BITWISE_AND('Raw Data'!$L105, 1024),"X","")</f>
        <v/>
      </c>
      <c r="S104" s="18" t="str">
        <f>IF(BITWISE_AND('Raw Data'!$L105, 512),"X","")</f>
        <v/>
      </c>
      <c r="T104" s="18" t="str">
        <f>IF(BITWISE_AND('Raw Data'!$L105, 256),"X","")</f>
        <v/>
      </c>
      <c r="U104" s="18" t="str">
        <f>IF(BITWISE_AND('Raw Data'!$L105, 64),"X","")</f>
        <v/>
      </c>
      <c r="V104" s="18" t="str">
        <f>IF(BITWISE_AND('Raw Data'!$L105, 2),"X","")</f>
        <v/>
      </c>
      <c r="W104" s="18" t="str">
        <f>IF(BITWISE_AND('Raw Data'!$L105, 1),"X","")</f>
        <v/>
      </c>
      <c r="X104" s="19" t="str">
        <f>IF(BITWISE_AND('Raw Data'!M105, 1),"Bat Voltage", IF(BITWISE_AND('Raw Data'!M105, 2), "Charge Current", IF(BITWISE_AND('Raw Data'!M105, 4),"Input Ilim", IF(BITWISE_AND('Raw Data'!M105, 8), "Input UV", "none"))))</f>
        <v>none</v>
      </c>
    </row>
    <row r="105" spans="1:24" x14ac:dyDescent="0.2">
      <c r="A105" s="15">
        <f>A104+TIME(0,0,'Raw Data'!B105)</f>
        <v>0</v>
      </c>
      <c r="B105" s="4">
        <f>'Raw Data'!C106*0.025</f>
        <v>0</v>
      </c>
      <c r="C105" s="4">
        <f t="shared" si="6"/>
        <v>0</v>
      </c>
      <c r="D105" s="4">
        <f>'Raw Data'!D106*0.025</f>
        <v>0</v>
      </c>
      <c r="E105" s="4">
        <f t="shared" si="7"/>
        <v>0</v>
      </c>
      <c r="F105" s="4">
        <f>'Raw Data'!E106*0.001648</f>
        <v>0</v>
      </c>
      <c r="G105" s="4">
        <f>'Raw Data'!F106*0.001648</f>
        <v>0</v>
      </c>
      <c r="H105" s="4">
        <f>'Raw Data'!G106*6*0.000128176</f>
        <v>0</v>
      </c>
      <c r="I105" s="4">
        <f>'Raw Data'!H106*0.000732435</f>
        <v>0</v>
      </c>
      <c r="J105" s="4">
        <f t="shared" si="5"/>
        <v>0</v>
      </c>
      <c r="K105" s="36">
        <f>IF(('Raw Data'!I106-16384)/32768&lt;0,0,('Raw Data'!I106-16384)/32768)</f>
        <v>0</v>
      </c>
      <c r="L105" s="4">
        <f>IF(('Raw Data'!J106-12010)/45.6=-263.377192982456,0,('Raw Data'!J106-12010)/45.6)</f>
        <v>0</v>
      </c>
      <c r="M105" s="16">
        <f>'Raw Data'!N106*2^-8</f>
        <v>0</v>
      </c>
      <c r="N105" s="16">
        <f>'Raw Data'!O106*2^-8</f>
        <v>0</v>
      </c>
      <c r="O105" s="17" t="str">
        <f>IF(BITWISE_AND('Raw Data'!$K106, 8192),"X","")</f>
        <v/>
      </c>
      <c r="P105" s="17" t="str">
        <f>IF(BITWISE_AND('Raw Data'!$K106, 2048),"X","")</f>
        <v/>
      </c>
      <c r="Q105" s="17" t="str">
        <f>IF(BITWISE_AND('Raw Data'!$K106, 64),"X","")</f>
        <v/>
      </c>
      <c r="R105" s="18" t="str">
        <f>IF(BITWISE_AND('Raw Data'!$L106, 1024),"X","")</f>
        <v/>
      </c>
      <c r="S105" s="18" t="str">
        <f>IF(BITWISE_AND('Raw Data'!$L106, 512),"X","")</f>
        <v/>
      </c>
      <c r="T105" s="18" t="str">
        <f>IF(BITWISE_AND('Raw Data'!$L106, 256),"X","")</f>
        <v/>
      </c>
      <c r="U105" s="18" t="str">
        <f>IF(BITWISE_AND('Raw Data'!$L106, 64),"X","")</f>
        <v/>
      </c>
      <c r="V105" s="18" t="str">
        <f>IF(BITWISE_AND('Raw Data'!$L106, 2),"X","")</f>
        <v/>
      </c>
      <c r="W105" s="18" t="str">
        <f>IF(BITWISE_AND('Raw Data'!$L106, 1),"X","")</f>
        <v/>
      </c>
      <c r="X105" s="19" t="str">
        <f>IF(BITWISE_AND('Raw Data'!M106, 1),"Bat Voltage", IF(BITWISE_AND('Raw Data'!M106, 2), "Charge Current", IF(BITWISE_AND('Raw Data'!M106, 4),"Input Ilim", IF(BITWISE_AND('Raw Data'!M106, 8), "Input UV", "none"))))</f>
        <v>none</v>
      </c>
    </row>
    <row r="106" spans="1:24" x14ac:dyDescent="0.2">
      <c r="A106" s="15">
        <f>A105+TIME(0,0,'Raw Data'!B106)</f>
        <v>0</v>
      </c>
      <c r="B106" s="4">
        <f>'Raw Data'!C107*0.025</f>
        <v>0</v>
      </c>
      <c r="C106" s="4">
        <f t="shared" si="6"/>
        <v>0</v>
      </c>
      <c r="D106" s="4">
        <f>'Raw Data'!D107*0.025</f>
        <v>0</v>
      </c>
      <c r="E106" s="4">
        <f t="shared" si="7"/>
        <v>0</v>
      </c>
      <c r="F106" s="4">
        <f>'Raw Data'!E107*0.001648</f>
        <v>0</v>
      </c>
      <c r="G106" s="4">
        <f>'Raw Data'!F107*0.001648</f>
        <v>0</v>
      </c>
      <c r="H106" s="4">
        <f>'Raw Data'!G107*6*0.000128176</f>
        <v>0</v>
      </c>
      <c r="I106" s="4">
        <f>'Raw Data'!H107*0.000732435</f>
        <v>0</v>
      </c>
      <c r="J106" s="4">
        <f t="shared" si="5"/>
        <v>0</v>
      </c>
      <c r="K106" s="36">
        <f>IF(('Raw Data'!I107-16384)/32768&lt;0,0,('Raw Data'!I107-16384)/32768)</f>
        <v>0</v>
      </c>
      <c r="L106" s="4">
        <f>IF(('Raw Data'!J107-12010)/45.6=-263.377192982456,0,('Raw Data'!J107-12010)/45.6)</f>
        <v>0</v>
      </c>
      <c r="M106" s="16">
        <f>'Raw Data'!N107*2^-8</f>
        <v>0</v>
      </c>
      <c r="N106" s="16">
        <f>'Raw Data'!O107*2^-8</f>
        <v>0</v>
      </c>
      <c r="O106" s="17" t="str">
        <f>IF(BITWISE_AND('Raw Data'!$K107, 8192),"X","")</f>
        <v/>
      </c>
      <c r="P106" s="17" t="str">
        <f>IF(BITWISE_AND('Raw Data'!$K107, 2048),"X","")</f>
        <v/>
      </c>
      <c r="Q106" s="17" t="str">
        <f>IF(BITWISE_AND('Raw Data'!$K107, 64),"X","")</f>
        <v/>
      </c>
      <c r="R106" s="18" t="str">
        <f>IF(BITWISE_AND('Raw Data'!$L107, 1024),"X","")</f>
        <v/>
      </c>
      <c r="S106" s="18" t="str">
        <f>IF(BITWISE_AND('Raw Data'!$L107, 512),"X","")</f>
        <v/>
      </c>
      <c r="T106" s="18" t="str">
        <f>IF(BITWISE_AND('Raw Data'!$L107, 256),"X","")</f>
        <v/>
      </c>
      <c r="U106" s="18" t="str">
        <f>IF(BITWISE_AND('Raw Data'!$L107, 64),"X","")</f>
        <v/>
      </c>
      <c r="V106" s="18" t="str">
        <f>IF(BITWISE_AND('Raw Data'!$L107, 2),"X","")</f>
        <v/>
      </c>
      <c r="W106" s="18" t="str">
        <f>IF(BITWISE_AND('Raw Data'!$L107, 1),"X","")</f>
        <v/>
      </c>
      <c r="X106" s="19" t="str">
        <f>IF(BITWISE_AND('Raw Data'!M107, 1),"Bat Voltage", IF(BITWISE_AND('Raw Data'!M107, 2), "Charge Current", IF(BITWISE_AND('Raw Data'!M107, 4),"Input Ilim", IF(BITWISE_AND('Raw Data'!M107, 8), "Input UV", "none"))))</f>
        <v>none</v>
      </c>
    </row>
    <row r="107" spans="1:24" x14ac:dyDescent="0.2">
      <c r="A107" s="15">
        <f>A106+TIME(0,0,'Raw Data'!B107)</f>
        <v>0</v>
      </c>
      <c r="B107" s="4">
        <f>'Raw Data'!C108*0.025</f>
        <v>0</v>
      </c>
      <c r="C107" s="4">
        <f t="shared" si="6"/>
        <v>0</v>
      </c>
      <c r="D107" s="4">
        <f>'Raw Data'!D108*0.025</f>
        <v>0</v>
      </c>
      <c r="E107" s="4">
        <f t="shared" si="7"/>
        <v>0</v>
      </c>
      <c r="F107" s="4">
        <f>'Raw Data'!E108*0.001648</f>
        <v>0</v>
      </c>
      <c r="G107" s="4">
        <f>'Raw Data'!F108*0.001648</f>
        <v>0</v>
      </c>
      <c r="H107" s="4">
        <f>'Raw Data'!G108*6*0.000128176</f>
        <v>0</v>
      </c>
      <c r="I107" s="4">
        <f>'Raw Data'!H108*0.000732435</f>
        <v>0</v>
      </c>
      <c r="J107" s="4">
        <f t="shared" si="5"/>
        <v>0</v>
      </c>
      <c r="K107" s="36">
        <f>IF(('Raw Data'!I108-16384)/32768&lt;0,0,('Raw Data'!I108-16384)/32768)</f>
        <v>0</v>
      </c>
      <c r="L107" s="4">
        <f>IF(('Raw Data'!J108-12010)/45.6=-263.377192982456,0,('Raw Data'!J108-12010)/45.6)</f>
        <v>0</v>
      </c>
      <c r="M107" s="16">
        <f>'Raw Data'!N108*2^-8</f>
        <v>0</v>
      </c>
      <c r="N107" s="16">
        <f>'Raw Data'!O108*2^-8</f>
        <v>0</v>
      </c>
      <c r="O107" s="17" t="str">
        <f>IF(BITWISE_AND('Raw Data'!$K108, 8192),"X","")</f>
        <v/>
      </c>
      <c r="P107" s="17" t="str">
        <f>IF(BITWISE_AND('Raw Data'!$K108, 2048),"X","")</f>
        <v/>
      </c>
      <c r="Q107" s="17" t="str">
        <f>IF(BITWISE_AND('Raw Data'!$K108, 64),"X","")</f>
        <v/>
      </c>
      <c r="R107" s="18" t="str">
        <f>IF(BITWISE_AND('Raw Data'!$L108, 1024),"X","")</f>
        <v/>
      </c>
      <c r="S107" s="18" t="str">
        <f>IF(BITWISE_AND('Raw Data'!$L108, 512),"X","")</f>
        <v/>
      </c>
      <c r="T107" s="18" t="str">
        <f>IF(BITWISE_AND('Raw Data'!$L108, 256),"X","")</f>
        <v/>
      </c>
      <c r="U107" s="18" t="str">
        <f>IF(BITWISE_AND('Raw Data'!$L108, 64),"X","")</f>
        <v/>
      </c>
      <c r="V107" s="18" t="str">
        <f>IF(BITWISE_AND('Raw Data'!$L108, 2),"X","")</f>
        <v/>
      </c>
      <c r="W107" s="18" t="str">
        <f>IF(BITWISE_AND('Raw Data'!$L108, 1),"X","")</f>
        <v/>
      </c>
      <c r="X107" s="19" t="str">
        <f>IF(BITWISE_AND('Raw Data'!M108, 1),"Bat Voltage", IF(BITWISE_AND('Raw Data'!M108, 2), "Charge Current", IF(BITWISE_AND('Raw Data'!M108, 4),"Input Ilim", IF(BITWISE_AND('Raw Data'!M108, 8), "Input UV", "none"))))</f>
        <v>none</v>
      </c>
    </row>
    <row r="108" spans="1:24" x14ac:dyDescent="0.2">
      <c r="A108" s="15">
        <f>A107+TIME(0,0,'Raw Data'!B108)</f>
        <v>0</v>
      </c>
      <c r="B108" s="4">
        <f>'Raw Data'!C109*0.025</f>
        <v>0</v>
      </c>
      <c r="C108" s="4">
        <f t="shared" si="6"/>
        <v>0</v>
      </c>
      <c r="D108" s="4">
        <f>'Raw Data'!D109*0.025</f>
        <v>0</v>
      </c>
      <c r="E108" s="4">
        <f t="shared" si="7"/>
        <v>0</v>
      </c>
      <c r="F108" s="4">
        <f>'Raw Data'!E109*0.001648</f>
        <v>0</v>
      </c>
      <c r="G108" s="4">
        <f>'Raw Data'!F109*0.001648</f>
        <v>0</v>
      </c>
      <c r="H108" s="4">
        <f>'Raw Data'!G109*6*0.000128176</f>
        <v>0</v>
      </c>
      <c r="I108" s="4">
        <f>'Raw Data'!H109*0.000732435</f>
        <v>0</v>
      </c>
      <c r="J108" s="4">
        <f t="shared" si="5"/>
        <v>0</v>
      </c>
      <c r="K108" s="36">
        <f>IF(('Raw Data'!I109-16384)/32768&lt;0,0,('Raw Data'!I109-16384)/32768)</f>
        <v>0</v>
      </c>
      <c r="L108" s="4">
        <f>IF(('Raw Data'!J109-12010)/45.6=-263.377192982456,0,('Raw Data'!J109-12010)/45.6)</f>
        <v>0</v>
      </c>
      <c r="M108" s="16">
        <f>'Raw Data'!N109*2^-8</f>
        <v>0</v>
      </c>
      <c r="N108" s="16">
        <f>'Raw Data'!O109*2^-8</f>
        <v>0</v>
      </c>
      <c r="O108" s="17" t="str">
        <f>IF(BITWISE_AND('Raw Data'!$K109, 8192),"X","")</f>
        <v/>
      </c>
      <c r="P108" s="17" t="str">
        <f>IF(BITWISE_AND('Raw Data'!$K109, 2048),"X","")</f>
        <v/>
      </c>
      <c r="Q108" s="17" t="str">
        <f>IF(BITWISE_AND('Raw Data'!$K109, 64),"X","")</f>
        <v/>
      </c>
      <c r="R108" s="18" t="str">
        <f>IF(BITWISE_AND('Raw Data'!$L109, 1024),"X","")</f>
        <v/>
      </c>
      <c r="S108" s="18" t="str">
        <f>IF(BITWISE_AND('Raw Data'!$L109, 512),"X","")</f>
        <v/>
      </c>
      <c r="T108" s="18" t="str">
        <f>IF(BITWISE_AND('Raw Data'!$L109, 256),"X","")</f>
        <v/>
      </c>
      <c r="U108" s="18" t="str">
        <f>IF(BITWISE_AND('Raw Data'!$L109, 64),"X","")</f>
        <v/>
      </c>
      <c r="V108" s="18" t="str">
        <f>IF(BITWISE_AND('Raw Data'!$L109, 2),"X","")</f>
        <v/>
      </c>
      <c r="W108" s="18" t="str">
        <f>IF(BITWISE_AND('Raw Data'!$L109, 1),"X","")</f>
        <v/>
      </c>
      <c r="X108" s="19" t="str">
        <f>IF(BITWISE_AND('Raw Data'!M109, 1),"Bat Voltage", IF(BITWISE_AND('Raw Data'!M109, 2), "Charge Current", IF(BITWISE_AND('Raw Data'!M109, 4),"Input Ilim", IF(BITWISE_AND('Raw Data'!M109, 8), "Input UV", "none"))))</f>
        <v>none</v>
      </c>
    </row>
    <row r="109" spans="1:24" x14ac:dyDescent="0.2">
      <c r="A109" s="15">
        <f>A108+TIME(0,0,'Raw Data'!B109)</f>
        <v>0</v>
      </c>
      <c r="B109" s="4">
        <f>'Raw Data'!C110*0.025</f>
        <v>0</v>
      </c>
      <c r="C109" s="4">
        <f t="shared" si="6"/>
        <v>0</v>
      </c>
      <c r="D109" s="4">
        <f>'Raw Data'!D110*0.025</f>
        <v>0</v>
      </c>
      <c r="E109" s="4">
        <f t="shared" si="7"/>
        <v>0</v>
      </c>
      <c r="F109" s="4">
        <f>'Raw Data'!E110*0.001648</f>
        <v>0</v>
      </c>
      <c r="G109" s="4">
        <f>'Raw Data'!F110*0.001648</f>
        <v>0</v>
      </c>
      <c r="H109" s="4">
        <f>'Raw Data'!G110*6*0.000128176</f>
        <v>0</v>
      </c>
      <c r="I109" s="4">
        <f>'Raw Data'!H110*0.000732435</f>
        <v>0</v>
      </c>
      <c r="J109" s="4">
        <f t="shared" si="5"/>
        <v>0</v>
      </c>
      <c r="K109" s="36">
        <f>IF(('Raw Data'!I110-16384)/32768&lt;0,0,('Raw Data'!I110-16384)/32768)</f>
        <v>0</v>
      </c>
      <c r="L109" s="4">
        <f>IF(('Raw Data'!J110-12010)/45.6=-263.377192982456,0,('Raw Data'!J110-12010)/45.6)</f>
        <v>0</v>
      </c>
      <c r="M109" s="16">
        <f>'Raw Data'!N110*2^-8</f>
        <v>0</v>
      </c>
      <c r="N109" s="16">
        <f>'Raw Data'!O110*2^-8</f>
        <v>0</v>
      </c>
      <c r="O109" s="17" t="str">
        <f>IF(BITWISE_AND('Raw Data'!$K110, 8192),"X","")</f>
        <v/>
      </c>
      <c r="P109" s="17" t="str">
        <f>IF(BITWISE_AND('Raw Data'!$K110, 2048),"X","")</f>
        <v/>
      </c>
      <c r="Q109" s="17" t="str">
        <f>IF(BITWISE_AND('Raw Data'!$K110, 64),"X","")</f>
        <v/>
      </c>
      <c r="R109" s="18" t="str">
        <f>IF(BITWISE_AND('Raw Data'!$L110, 1024),"X","")</f>
        <v/>
      </c>
      <c r="S109" s="18" t="str">
        <f>IF(BITWISE_AND('Raw Data'!$L110, 512),"X","")</f>
        <v/>
      </c>
      <c r="T109" s="18" t="str">
        <f>IF(BITWISE_AND('Raw Data'!$L110, 256),"X","")</f>
        <v/>
      </c>
      <c r="U109" s="18" t="str">
        <f>IF(BITWISE_AND('Raw Data'!$L110, 64),"X","")</f>
        <v/>
      </c>
      <c r="V109" s="18" t="str">
        <f>IF(BITWISE_AND('Raw Data'!$L110, 2),"X","")</f>
        <v/>
      </c>
      <c r="W109" s="18" t="str">
        <f>IF(BITWISE_AND('Raw Data'!$L110, 1),"X","")</f>
        <v/>
      </c>
      <c r="X109" s="19" t="str">
        <f>IF(BITWISE_AND('Raw Data'!M110, 1),"Bat Voltage", IF(BITWISE_AND('Raw Data'!M110, 2), "Charge Current", IF(BITWISE_AND('Raw Data'!M110, 4),"Input Ilim", IF(BITWISE_AND('Raw Data'!M110, 8), "Input UV", "none"))))</f>
        <v>none</v>
      </c>
    </row>
    <row r="110" spans="1:24" x14ac:dyDescent="0.2">
      <c r="A110" s="15">
        <f>A109+TIME(0,0,'Raw Data'!B110)</f>
        <v>0</v>
      </c>
      <c r="B110" s="4">
        <f>'Raw Data'!C111*0.025</f>
        <v>0</v>
      </c>
      <c r="C110" s="4">
        <f t="shared" si="6"/>
        <v>0</v>
      </c>
      <c r="D110" s="4">
        <f>'Raw Data'!D111*0.025</f>
        <v>0</v>
      </c>
      <c r="E110" s="4">
        <f t="shared" si="7"/>
        <v>0</v>
      </c>
      <c r="F110" s="4">
        <f>'Raw Data'!E111*0.001648</f>
        <v>0</v>
      </c>
      <c r="G110" s="4">
        <f>'Raw Data'!F111*0.001648</f>
        <v>0</v>
      </c>
      <c r="H110" s="4">
        <f>'Raw Data'!G111*6*0.000128176</f>
        <v>0</v>
      </c>
      <c r="I110" s="4">
        <f>'Raw Data'!H111*0.000732435</f>
        <v>0</v>
      </c>
      <c r="J110" s="4">
        <f t="shared" si="5"/>
        <v>0</v>
      </c>
      <c r="K110" s="36">
        <f>IF(('Raw Data'!I111-16384)/32768&lt;0,0,('Raw Data'!I111-16384)/32768)</f>
        <v>0</v>
      </c>
      <c r="L110" s="4">
        <f>IF(('Raw Data'!J111-12010)/45.6=-263.377192982456,0,('Raw Data'!J111-12010)/45.6)</f>
        <v>0</v>
      </c>
      <c r="M110" s="16">
        <f>'Raw Data'!N111*2^-8</f>
        <v>0</v>
      </c>
      <c r="N110" s="16">
        <f>'Raw Data'!O111*2^-8</f>
        <v>0</v>
      </c>
      <c r="O110" s="17" t="str">
        <f>IF(BITWISE_AND('Raw Data'!$K111, 8192),"X","")</f>
        <v/>
      </c>
      <c r="P110" s="17" t="str">
        <f>IF(BITWISE_AND('Raw Data'!$K111, 2048),"X","")</f>
        <v/>
      </c>
      <c r="Q110" s="17" t="str">
        <f>IF(BITWISE_AND('Raw Data'!$K111, 64),"X","")</f>
        <v/>
      </c>
      <c r="R110" s="18" t="str">
        <f>IF(BITWISE_AND('Raw Data'!$L111, 1024),"X","")</f>
        <v/>
      </c>
      <c r="S110" s="18" t="str">
        <f>IF(BITWISE_AND('Raw Data'!$L111, 512),"X","")</f>
        <v/>
      </c>
      <c r="T110" s="18" t="str">
        <f>IF(BITWISE_AND('Raw Data'!$L111, 256),"X","")</f>
        <v/>
      </c>
      <c r="U110" s="18" t="str">
        <f>IF(BITWISE_AND('Raw Data'!$L111, 64),"X","")</f>
        <v/>
      </c>
      <c r="V110" s="18" t="str">
        <f>IF(BITWISE_AND('Raw Data'!$L111, 2),"X","")</f>
        <v/>
      </c>
      <c r="W110" s="18" t="str">
        <f>IF(BITWISE_AND('Raw Data'!$L111, 1),"X","")</f>
        <v/>
      </c>
      <c r="X110" s="19" t="str">
        <f>IF(BITWISE_AND('Raw Data'!M111, 1),"Bat Voltage", IF(BITWISE_AND('Raw Data'!M111, 2), "Charge Current", IF(BITWISE_AND('Raw Data'!M111, 4),"Input Ilim", IF(BITWISE_AND('Raw Data'!M111, 8), "Input UV", "none"))))</f>
        <v>none</v>
      </c>
    </row>
    <row r="111" spans="1:24" x14ac:dyDescent="0.2">
      <c r="A111" s="15">
        <f>A110+TIME(0,0,'Raw Data'!B111)</f>
        <v>0</v>
      </c>
      <c r="B111" s="4">
        <f>'Raw Data'!C112*0.025</f>
        <v>0</v>
      </c>
      <c r="C111" s="4">
        <f t="shared" si="6"/>
        <v>0</v>
      </c>
      <c r="D111" s="4">
        <f>'Raw Data'!D112*0.025</f>
        <v>0</v>
      </c>
      <c r="E111" s="4">
        <f t="shared" si="7"/>
        <v>0</v>
      </c>
      <c r="F111" s="4">
        <f>'Raw Data'!E112*0.001648</f>
        <v>0</v>
      </c>
      <c r="G111" s="4">
        <f>'Raw Data'!F112*0.001648</f>
        <v>0</v>
      </c>
      <c r="H111" s="4">
        <f>'Raw Data'!G112*6*0.000128176</f>
        <v>0</v>
      </c>
      <c r="I111" s="4">
        <f>'Raw Data'!H112*0.000732435</f>
        <v>0</v>
      </c>
      <c r="J111" s="4">
        <f t="shared" si="5"/>
        <v>0</v>
      </c>
      <c r="K111" s="36">
        <f>IF(('Raw Data'!I112-16384)/32768&lt;0,0,('Raw Data'!I112-16384)/32768)</f>
        <v>0</v>
      </c>
      <c r="L111" s="4">
        <f>IF(('Raw Data'!J112-12010)/45.6=-263.377192982456,0,('Raw Data'!J112-12010)/45.6)</f>
        <v>0</v>
      </c>
      <c r="M111" s="16">
        <f>'Raw Data'!N112*2^-8</f>
        <v>0</v>
      </c>
      <c r="N111" s="16">
        <f>'Raw Data'!O112*2^-8</f>
        <v>0</v>
      </c>
      <c r="O111" s="17" t="str">
        <f>IF(BITWISE_AND('Raw Data'!$K112, 8192),"X","")</f>
        <v/>
      </c>
      <c r="P111" s="17" t="str">
        <f>IF(BITWISE_AND('Raw Data'!$K112, 2048),"X","")</f>
        <v/>
      </c>
      <c r="Q111" s="17" t="str">
        <f>IF(BITWISE_AND('Raw Data'!$K112, 64),"X","")</f>
        <v/>
      </c>
      <c r="R111" s="18" t="str">
        <f>IF(BITWISE_AND('Raw Data'!$L112, 1024),"X","")</f>
        <v/>
      </c>
      <c r="S111" s="18" t="str">
        <f>IF(BITWISE_AND('Raw Data'!$L112, 512),"X","")</f>
        <v/>
      </c>
      <c r="T111" s="18" t="str">
        <f>IF(BITWISE_AND('Raw Data'!$L112, 256),"X","")</f>
        <v/>
      </c>
      <c r="U111" s="18" t="str">
        <f>IF(BITWISE_AND('Raw Data'!$L112, 64),"X","")</f>
        <v/>
      </c>
      <c r="V111" s="18" t="str">
        <f>IF(BITWISE_AND('Raw Data'!$L112, 2),"X","")</f>
        <v/>
      </c>
      <c r="W111" s="18" t="str">
        <f>IF(BITWISE_AND('Raw Data'!$L112, 1),"X","")</f>
        <v/>
      </c>
      <c r="X111" s="19" t="str">
        <f>IF(BITWISE_AND('Raw Data'!M112, 1),"Bat Voltage", IF(BITWISE_AND('Raw Data'!M112, 2), "Charge Current", IF(BITWISE_AND('Raw Data'!M112, 4),"Input Ilim", IF(BITWISE_AND('Raw Data'!M112, 8), "Input UV", "none"))))</f>
        <v>none</v>
      </c>
    </row>
    <row r="112" spans="1:24" x14ac:dyDescent="0.2">
      <c r="A112" s="15">
        <f>A111+TIME(0,0,'Raw Data'!B112)</f>
        <v>0</v>
      </c>
      <c r="B112" s="4">
        <f>'Raw Data'!C113*0.025</f>
        <v>0</v>
      </c>
      <c r="C112" s="4">
        <f t="shared" si="6"/>
        <v>0</v>
      </c>
      <c r="D112" s="4">
        <f>'Raw Data'!D113*0.025</f>
        <v>0</v>
      </c>
      <c r="E112" s="4">
        <f t="shared" si="7"/>
        <v>0</v>
      </c>
      <c r="F112" s="4">
        <f>'Raw Data'!E113*0.001648</f>
        <v>0</v>
      </c>
      <c r="G112" s="4">
        <f>'Raw Data'!F113*0.001648</f>
        <v>0</v>
      </c>
      <c r="H112" s="4">
        <f>'Raw Data'!G113*6*0.000128176</f>
        <v>0</v>
      </c>
      <c r="I112" s="4">
        <f>'Raw Data'!H113*0.000732435</f>
        <v>0</v>
      </c>
      <c r="J112" s="4">
        <f t="shared" si="5"/>
        <v>0</v>
      </c>
      <c r="K112" s="36">
        <f>IF(('Raw Data'!I113-16384)/32768&lt;0,0,('Raw Data'!I113-16384)/32768)</f>
        <v>0</v>
      </c>
      <c r="L112" s="4">
        <f>IF(('Raw Data'!J113-12010)/45.6=-263.377192982456,0,('Raw Data'!J113-12010)/45.6)</f>
        <v>0</v>
      </c>
      <c r="M112" s="16">
        <f>'Raw Data'!N113*2^-8</f>
        <v>0</v>
      </c>
      <c r="N112" s="16">
        <f>'Raw Data'!O113*2^-8</f>
        <v>0</v>
      </c>
      <c r="O112" s="17" t="str">
        <f>IF(BITWISE_AND('Raw Data'!$K113, 8192),"X","")</f>
        <v/>
      </c>
      <c r="P112" s="17" t="str">
        <f>IF(BITWISE_AND('Raw Data'!$K113, 2048),"X","")</f>
        <v/>
      </c>
      <c r="Q112" s="17" t="str">
        <f>IF(BITWISE_AND('Raw Data'!$K113, 64),"X","")</f>
        <v/>
      </c>
      <c r="R112" s="18" t="str">
        <f>IF(BITWISE_AND('Raw Data'!$L113, 1024),"X","")</f>
        <v/>
      </c>
      <c r="S112" s="18" t="str">
        <f>IF(BITWISE_AND('Raw Data'!$L113, 512),"X","")</f>
        <v/>
      </c>
      <c r="T112" s="18" t="str">
        <f>IF(BITWISE_AND('Raw Data'!$L113, 256),"X","")</f>
        <v/>
      </c>
      <c r="U112" s="18" t="str">
        <f>IF(BITWISE_AND('Raw Data'!$L113, 64),"X","")</f>
        <v/>
      </c>
      <c r="V112" s="18" t="str">
        <f>IF(BITWISE_AND('Raw Data'!$L113, 2),"X","")</f>
        <v/>
      </c>
      <c r="W112" s="18" t="str">
        <f>IF(BITWISE_AND('Raw Data'!$L113, 1),"X","")</f>
        <v/>
      </c>
      <c r="X112" s="19" t="str">
        <f>IF(BITWISE_AND('Raw Data'!M113, 1),"Bat Voltage", IF(BITWISE_AND('Raw Data'!M113, 2), "Charge Current", IF(BITWISE_AND('Raw Data'!M113, 4),"Input Ilim", IF(BITWISE_AND('Raw Data'!M113, 8), "Input UV", "none"))))</f>
        <v>none</v>
      </c>
    </row>
    <row r="113" spans="1:24" x14ac:dyDescent="0.2">
      <c r="A113" s="15">
        <f>A112+TIME(0,0,'Raw Data'!B113)</f>
        <v>0</v>
      </c>
      <c r="B113" s="4">
        <f>'Raw Data'!C114*0.025</f>
        <v>0</v>
      </c>
      <c r="C113" s="4">
        <f t="shared" si="6"/>
        <v>0</v>
      </c>
      <c r="D113" s="4">
        <f>'Raw Data'!D114*0.025</f>
        <v>0</v>
      </c>
      <c r="E113" s="4">
        <f t="shared" si="7"/>
        <v>0</v>
      </c>
      <c r="F113" s="4">
        <f>'Raw Data'!E114*0.001648</f>
        <v>0</v>
      </c>
      <c r="G113" s="4">
        <f>'Raw Data'!F114*0.001648</f>
        <v>0</v>
      </c>
      <c r="H113" s="4">
        <f>'Raw Data'!G114*6*0.000128176</f>
        <v>0</v>
      </c>
      <c r="I113" s="4">
        <f>'Raw Data'!H114*0.000732435</f>
        <v>0</v>
      </c>
      <c r="J113" s="4">
        <f t="shared" si="5"/>
        <v>0</v>
      </c>
      <c r="K113" s="36">
        <f>IF(('Raw Data'!I114-16384)/32768&lt;0,0,('Raw Data'!I114-16384)/32768)</f>
        <v>0</v>
      </c>
      <c r="L113" s="4">
        <f>IF(('Raw Data'!J114-12010)/45.6=-263.377192982456,0,('Raw Data'!J114-12010)/45.6)</f>
        <v>0</v>
      </c>
      <c r="M113" s="16">
        <f>'Raw Data'!N114*2^-8</f>
        <v>0</v>
      </c>
      <c r="N113" s="16">
        <f>'Raw Data'!O114*2^-8</f>
        <v>0</v>
      </c>
      <c r="O113" s="17" t="str">
        <f>IF(BITWISE_AND('Raw Data'!$K114, 8192),"X","")</f>
        <v/>
      </c>
      <c r="P113" s="17" t="str">
        <f>IF(BITWISE_AND('Raw Data'!$K114, 2048),"X","")</f>
        <v/>
      </c>
      <c r="Q113" s="17" t="str">
        <f>IF(BITWISE_AND('Raw Data'!$K114, 64),"X","")</f>
        <v/>
      </c>
      <c r="R113" s="18" t="str">
        <f>IF(BITWISE_AND('Raw Data'!$L114, 1024),"X","")</f>
        <v/>
      </c>
      <c r="S113" s="18" t="str">
        <f>IF(BITWISE_AND('Raw Data'!$L114, 512),"X","")</f>
        <v/>
      </c>
      <c r="T113" s="18" t="str">
        <f>IF(BITWISE_AND('Raw Data'!$L114, 256),"X","")</f>
        <v/>
      </c>
      <c r="U113" s="18" t="str">
        <f>IF(BITWISE_AND('Raw Data'!$L114, 64),"X","")</f>
        <v/>
      </c>
      <c r="V113" s="18" t="str">
        <f>IF(BITWISE_AND('Raw Data'!$L114, 2),"X","")</f>
        <v/>
      </c>
      <c r="W113" s="18" t="str">
        <f>IF(BITWISE_AND('Raw Data'!$L114, 1),"X","")</f>
        <v/>
      </c>
      <c r="X113" s="19" t="str">
        <f>IF(BITWISE_AND('Raw Data'!M114, 1),"Bat Voltage", IF(BITWISE_AND('Raw Data'!M114, 2), "Charge Current", IF(BITWISE_AND('Raw Data'!M114, 4),"Input Ilim", IF(BITWISE_AND('Raw Data'!M114, 8), "Input UV", "none"))))</f>
        <v>none</v>
      </c>
    </row>
    <row r="114" spans="1:24" x14ac:dyDescent="0.2">
      <c r="A114" s="15">
        <f>A113+TIME(0,0,'Raw Data'!B114)</f>
        <v>0</v>
      </c>
      <c r="B114" s="4">
        <f>'Raw Data'!C115*0.025</f>
        <v>0</v>
      </c>
      <c r="C114" s="4">
        <f t="shared" si="6"/>
        <v>0</v>
      </c>
      <c r="D114" s="4">
        <f>'Raw Data'!D115*0.025</f>
        <v>0</v>
      </c>
      <c r="E114" s="4">
        <f t="shared" si="7"/>
        <v>0</v>
      </c>
      <c r="F114" s="4">
        <f>'Raw Data'!E115*0.001648</f>
        <v>0</v>
      </c>
      <c r="G114" s="4">
        <f>'Raw Data'!F115*0.001648</f>
        <v>0</v>
      </c>
      <c r="H114" s="4">
        <f>'Raw Data'!G115*6*0.000128176</f>
        <v>0</v>
      </c>
      <c r="I114" s="4">
        <f>'Raw Data'!H115*0.000732435</f>
        <v>0</v>
      </c>
      <c r="J114" s="4">
        <f t="shared" si="5"/>
        <v>0</v>
      </c>
      <c r="K114" s="36">
        <f>IF(('Raw Data'!I115-16384)/32768&lt;0,0,('Raw Data'!I115-16384)/32768)</f>
        <v>0</v>
      </c>
      <c r="L114" s="4">
        <f>IF(('Raw Data'!J115-12010)/45.6=-263.377192982456,0,('Raw Data'!J115-12010)/45.6)</f>
        <v>0</v>
      </c>
      <c r="M114" s="16">
        <f>'Raw Data'!N115*2^-8</f>
        <v>0</v>
      </c>
      <c r="N114" s="16">
        <f>'Raw Data'!O115*2^-8</f>
        <v>0</v>
      </c>
      <c r="O114" s="17" t="str">
        <f>IF(BITWISE_AND('Raw Data'!$K115, 8192),"X","")</f>
        <v/>
      </c>
      <c r="P114" s="17" t="str">
        <f>IF(BITWISE_AND('Raw Data'!$K115, 2048),"X","")</f>
        <v/>
      </c>
      <c r="Q114" s="17" t="str">
        <f>IF(BITWISE_AND('Raw Data'!$K115, 64),"X","")</f>
        <v/>
      </c>
      <c r="R114" s="18" t="str">
        <f>IF(BITWISE_AND('Raw Data'!$L115, 1024),"X","")</f>
        <v/>
      </c>
      <c r="S114" s="18" t="str">
        <f>IF(BITWISE_AND('Raw Data'!$L115, 512),"X","")</f>
        <v/>
      </c>
      <c r="T114" s="18" t="str">
        <f>IF(BITWISE_AND('Raw Data'!$L115, 256),"X","")</f>
        <v/>
      </c>
      <c r="U114" s="18" t="str">
        <f>IF(BITWISE_AND('Raw Data'!$L115, 64),"X","")</f>
        <v/>
      </c>
      <c r="V114" s="18" t="str">
        <f>IF(BITWISE_AND('Raw Data'!$L115, 2),"X","")</f>
        <v/>
      </c>
      <c r="W114" s="18" t="str">
        <f>IF(BITWISE_AND('Raw Data'!$L115, 1),"X","")</f>
        <v/>
      </c>
      <c r="X114" s="19" t="str">
        <f>IF(BITWISE_AND('Raw Data'!M115, 1),"Bat Voltage", IF(BITWISE_AND('Raw Data'!M115, 2), "Charge Current", IF(BITWISE_AND('Raw Data'!M115, 4),"Input Ilim", IF(BITWISE_AND('Raw Data'!M115, 8), "Input UV", "none"))))</f>
        <v>none</v>
      </c>
    </row>
    <row r="115" spans="1:24" x14ac:dyDescent="0.2">
      <c r="A115" s="15">
        <f>A114+TIME(0,0,'Raw Data'!B115)</f>
        <v>0</v>
      </c>
      <c r="B115" s="4">
        <f>'Raw Data'!C116*0.025</f>
        <v>0</v>
      </c>
      <c r="C115" s="4">
        <f t="shared" si="6"/>
        <v>0</v>
      </c>
      <c r="D115" s="4">
        <f>'Raw Data'!D116*0.025</f>
        <v>0</v>
      </c>
      <c r="E115" s="4">
        <f t="shared" si="7"/>
        <v>0</v>
      </c>
      <c r="F115" s="4">
        <f>'Raw Data'!E116*0.001648</f>
        <v>0</v>
      </c>
      <c r="G115" s="4">
        <f>'Raw Data'!F116*0.001648</f>
        <v>0</v>
      </c>
      <c r="H115" s="4">
        <f>'Raw Data'!G116*6*0.000128176</f>
        <v>0</v>
      </c>
      <c r="I115" s="4">
        <f>'Raw Data'!H116*0.000732435</f>
        <v>0</v>
      </c>
      <c r="J115" s="4">
        <f t="shared" si="5"/>
        <v>0</v>
      </c>
      <c r="K115" s="36">
        <f>IF(('Raw Data'!I116-16384)/32768&lt;0,0,('Raw Data'!I116-16384)/32768)</f>
        <v>0</v>
      </c>
      <c r="L115" s="4">
        <f>IF(('Raw Data'!J116-12010)/45.6=-263.377192982456,0,('Raw Data'!J116-12010)/45.6)</f>
        <v>0</v>
      </c>
      <c r="M115" s="16">
        <f>'Raw Data'!N116*2^-8</f>
        <v>0</v>
      </c>
      <c r="N115" s="16">
        <f>'Raw Data'!O116*2^-8</f>
        <v>0</v>
      </c>
      <c r="O115" s="17" t="str">
        <f>IF(BITWISE_AND('Raw Data'!$K116, 8192),"X","")</f>
        <v/>
      </c>
      <c r="P115" s="17" t="str">
        <f>IF(BITWISE_AND('Raw Data'!$K116, 2048),"X","")</f>
        <v/>
      </c>
      <c r="Q115" s="17" t="str">
        <f>IF(BITWISE_AND('Raw Data'!$K116, 64),"X","")</f>
        <v/>
      </c>
      <c r="R115" s="18" t="str">
        <f>IF(BITWISE_AND('Raw Data'!$L116, 1024),"X","")</f>
        <v/>
      </c>
      <c r="S115" s="18" t="str">
        <f>IF(BITWISE_AND('Raw Data'!$L116, 512),"X","")</f>
        <v/>
      </c>
      <c r="T115" s="18" t="str">
        <f>IF(BITWISE_AND('Raw Data'!$L116, 256),"X","")</f>
        <v/>
      </c>
      <c r="U115" s="18" t="str">
        <f>IF(BITWISE_AND('Raw Data'!$L116, 64),"X","")</f>
        <v/>
      </c>
      <c r="V115" s="18" t="str">
        <f>IF(BITWISE_AND('Raw Data'!$L116, 2),"X","")</f>
        <v/>
      </c>
      <c r="W115" s="18" t="str">
        <f>IF(BITWISE_AND('Raw Data'!$L116, 1),"X","")</f>
        <v/>
      </c>
      <c r="X115" s="19" t="str">
        <f>IF(BITWISE_AND('Raw Data'!M116, 1),"Bat Voltage", IF(BITWISE_AND('Raw Data'!M116, 2), "Charge Current", IF(BITWISE_AND('Raw Data'!M116, 4),"Input Ilim", IF(BITWISE_AND('Raw Data'!M116, 8), "Input UV", "none"))))</f>
        <v>none</v>
      </c>
    </row>
    <row r="116" spans="1:24" x14ac:dyDescent="0.2">
      <c r="A116" s="15">
        <f>A115+TIME(0,0,'Raw Data'!B116)</f>
        <v>0</v>
      </c>
      <c r="B116" s="4">
        <f>'Raw Data'!C117*0.025</f>
        <v>0</v>
      </c>
      <c r="C116" s="4">
        <f t="shared" si="6"/>
        <v>0</v>
      </c>
      <c r="D116" s="4">
        <f>'Raw Data'!D117*0.025</f>
        <v>0</v>
      </c>
      <c r="E116" s="4">
        <f t="shared" si="7"/>
        <v>0</v>
      </c>
      <c r="F116" s="4">
        <f>'Raw Data'!E117*0.001648</f>
        <v>0</v>
      </c>
      <c r="G116" s="4">
        <f>'Raw Data'!F117*0.001648</f>
        <v>0</v>
      </c>
      <c r="H116" s="4">
        <f>'Raw Data'!G117*6*0.000128176</f>
        <v>0</v>
      </c>
      <c r="I116" s="4">
        <f>'Raw Data'!H117*0.000732435</f>
        <v>0</v>
      </c>
      <c r="J116" s="4">
        <f t="shared" si="5"/>
        <v>0</v>
      </c>
      <c r="K116" s="36">
        <f>IF(('Raw Data'!I117-16384)/32768&lt;0,0,('Raw Data'!I117-16384)/32768)</f>
        <v>0</v>
      </c>
      <c r="L116" s="4">
        <f>IF(('Raw Data'!J117-12010)/45.6=-263.377192982456,0,('Raw Data'!J117-12010)/45.6)</f>
        <v>0</v>
      </c>
      <c r="M116" s="16">
        <f>'Raw Data'!N117*2^-8</f>
        <v>0</v>
      </c>
      <c r="N116" s="16">
        <f>'Raw Data'!O117*2^-8</f>
        <v>0</v>
      </c>
      <c r="O116" s="17" t="str">
        <f>IF(BITWISE_AND('Raw Data'!$K117, 8192),"X","")</f>
        <v/>
      </c>
      <c r="P116" s="17" t="str">
        <f>IF(BITWISE_AND('Raw Data'!$K117, 2048),"X","")</f>
        <v/>
      </c>
      <c r="Q116" s="17" t="str">
        <f>IF(BITWISE_AND('Raw Data'!$K117, 64),"X","")</f>
        <v/>
      </c>
      <c r="R116" s="18" t="str">
        <f>IF(BITWISE_AND('Raw Data'!$L117, 1024),"X","")</f>
        <v/>
      </c>
      <c r="S116" s="18" t="str">
        <f>IF(BITWISE_AND('Raw Data'!$L117, 512),"X","")</f>
        <v/>
      </c>
      <c r="T116" s="18" t="str">
        <f>IF(BITWISE_AND('Raw Data'!$L117, 256),"X","")</f>
        <v/>
      </c>
      <c r="U116" s="18" t="str">
        <f>IF(BITWISE_AND('Raw Data'!$L117, 64),"X","")</f>
        <v/>
      </c>
      <c r="V116" s="18" t="str">
        <f>IF(BITWISE_AND('Raw Data'!$L117, 2),"X","")</f>
        <v/>
      </c>
      <c r="W116" s="18" t="str">
        <f>IF(BITWISE_AND('Raw Data'!$L117, 1),"X","")</f>
        <v/>
      </c>
      <c r="X116" s="19" t="str">
        <f>IF(BITWISE_AND('Raw Data'!M117, 1),"Bat Voltage", IF(BITWISE_AND('Raw Data'!M117, 2), "Charge Current", IF(BITWISE_AND('Raw Data'!M117, 4),"Input Ilim", IF(BITWISE_AND('Raw Data'!M117, 8), "Input UV", "none"))))</f>
        <v>none</v>
      </c>
    </row>
    <row r="117" spans="1:24" x14ac:dyDescent="0.2">
      <c r="A117" s="15">
        <f>A116+TIME(0,0,'Raw Data'!B117)</f>
        <v>0</v>
      </c>
      <c r="B117" s="4">
        <f>'Raw Data'!C118*0.025</f>
        <v>0</v>
      </c>
      <c r="C117" s="4">
        <f t="shared" si="6"/>
        <v>0</v>
      </c>
      <c r="D117" s="4">
        <f>'Raw Data'!D118*0.025</f>
        <v>0</v>
      </c>
      <c r="E117" s="4">
        <f t="shared" si="7"/>
        <v>0</v>
      </c>
      <c r="F117" s="4">
        <f>'Raw Data'!E118*0.001648</f>
        <v>0</v>
      </c>
      <c r="G117" s="4">
        <f>'Raw Data'!F118*0.001648</f>
        <v>0</v>
      </c>
      <c r="H117" s="4">
        <f>'Raw Data'!G118*6*0.000128176</f>
        <v>0</v>
      </c>
      <c r="I117" s="4">
        <f>'Raw Data'!H118*0.000732435</f>
        <v>0</v>
      </c>
      <c r="J117" s="4">
        <f t="shared" si="5"/>
        <v>0</v>
      </c>
      <c r="K117" s="36">
        <f>IF(('Raw Data'!I118-16384)/32768&lt;0,0,('Raw Data'!I118-16384)/32768)</f>
        <v>0</v>
      </c>
      <c r="L117" s="4">
        <f>IF(('Raw Data'!J118-12010)/45.6=-263.377192982456,0,('Raw Data'!J118-12010)/45.6)</f>
        <v>0</v>
      </c>
      <c r="M117" s="16">
        <f>'Raw Data'!N118*2^-8</f>
        <v>0</v>
      </c>
      <c r="N117" s="16">
        <f>'Raw Data'!O118*2^-8</f>
        <v>0</v>
      </c>
      <c r="O117" s="17" t="str">
        <f>IF(BITWISE_AND('Raw Data'!$K118, 8192),"X","")</f>
        <v/>
      </c>
      <c r="P117" s="17" t="str">
        <f>IF(BITWISE_AND('Raw Data'!$K118, 2048),"X","")</f>
        <v/>
      </c>
      <c r="Q117" s="17" t="str">
        <f>IF(BITWISE_AND('Raw Data'!$K118, 64),"X","")</f>
        <v/>
      </c>
      <c r="R117" s="18" t="str">
        <f>IF(BITWISE_AND('Raw Data'!$L118, 1024),"X","")</f>
        <v/>
      </c>
      <c r="S117" s="18" t="str">
        <f>IF(BITWISE_AND('Raw Data'!$L118, 512),"X","")</f>
        <v/>
      </c>
      <c r="T117" s="18" t="str">
        <f>IF(BITWISE_AND('Raw Data'!$L118, 256),"X","")</f>
        <v/>
      </c>
      <c r="U117" s="18" t="str">
        <f>IF(BITWISE_AND('Raw Data'!$L118, 64),"X","")</f>
        <v/>
      </c>
      <c r="V117" s="18" t="str">
        <f>IF(BITWISE_AND('Raw Data'!$L118, 2),"X","")</f>
        <v/>
      </c>
      <c r="W117" s="18" t="str">
        <f>IF(BITWISE_AND('Raw Data'!$L118, 1),"X","")</f>
        <v/>
      </c>
      <c r="X117" s="19" t="str">
        <f>IF(BITWISE_AND('Raw Data'!M118, 1),"Bat Voltage", IF(BITWISE_AND('Raw Data'!M118, 2), "Charge Current", IF(BITWISE_AND('Raw Data'!M118, 4),"Input Ilim", IF(BITWISE_AND('Raw Data'!M118, 8), "Input UV", "none"))))</f>
        <v>none</v>
      </c>
    </row>
    <row r="118" spans="1:24" x14ac:dyDescent="0.2">
      <c r="A118" s="15">
        <f>A117+TIME(0,0,'Raw Data'!B118)</f>
        <v>0</v>
      </c>
      <c r="B118" s="4">
        <f>'Raw Data'!C119*0.025</f>
        <v>0</v>
      </c>
      <c r="C118" s="4">
        <f t="shared" si="6"/>
        <v>0</v>
      </c>
      <c r="D118" s="4">
        <f>'Raw Data'!D119*0.025</f>
        <v>0</v>
      </c>
      <c r="E118" s="4">
        <f t="shared" si="7"/>
        <v>0</v>
      </c>
      <c r="F118" s="4">
        <f>'Raw Data'!E119*0.001648</f>
        <v>0</v>
      </c>
      <c r="G118" s="4">
        <f>'Raw Data'!F119*0.001648</f>
        <v>0</v>
      </c>
      <c r="H118" s="4">
        <f>'Raw Data'!G119*6*0.000128176</f>
        <v>0</v>
      </c>
      <c r="I118" s="4">
        <f>'Raw Data'!H119*0.000732435</f>
        <v>0</v>
      </c>
      <c r="J118" s="4">
        <f t="shared" si="5"/>
        <v>0</v>
      </c>
      <c r="K118" s="36">
        <f>IF(('Raw Data'!I119-16384)/32768&lt;0,0,('Raw Data'!I119-16384)/32768)</f>
        <v>0</v>
      </c>
      <c r="L118" s="4">
        <f>IF(('Raw Data'!J119-12010)/45.6=-263.377192982456,0,('Raw Data'!J119-12010)/45.6)</f>
        <v>0</v>
      </c>
      <c r="M118" s="16">
        <f>'Raw Data'!N119*2^-8</f>
        <v>0</v>
      </c>
      <c r="N118" s="16">
        <f>'Raw Data'!O119*2^-8</f>
        <v>0</v>
      </c>
      <c r="O118" s="17" t="str">
        <f>IF(BITWISE_AND('Raw Data'!$K119, 8192),"X","")</f>
        <v/>
      </c>
      <c r="P118" s="17" t="str">
        <f>IF(BITWISE_AND('Raw Data'!$K119, 2048),"X","")</f>
        <v/>
      </c>
      <c r="Q118" s="17" t="str">
        <f>IF(BITWISE_AND('Raw Data'!$K119, 64),"X","")</f>
        <v/>
      </c>
      <c r="R118" s="18" t="str">
        <f>IF(BITWISE_AND('Raw Data'!$L119, 1024),"X","")</f>
        <v/>
      </c>
      <c r="S118" s="18" t="str">
        <f>IF(BITWISE_AND('Raw Data'!$L119, 512),"X","")</f>
        <v/>
      </c>
      <c r="T118" s="18" t="str">
        <f>IF(BITWISE_AND('Raw Data'!$L119, 256),"X","")</f>
        <v/>
      </c>
      <c r="U118" s="18" t="str">
        <f>IF(BITWISE_AND('Raw Data'!$L119, 64),"X","")</f>
        <v/>
      </c>
      <c r="V118" s="18" t="str">
        <f>IF(BITWISE_AND('Raw Data'!$L119, 2),"X","")</f>
        <v/>
      </c>
      <c r="W118" s="18" t="str">
        <f>IF(BITWISE_AND('Raw Data'!$L119, 1),"X","")</f>
        <v/>
      </c>
      <c r="X118" s="19" t="str">
        <f>IF(BITWISE_AND('Raw Data'!M119, 1),"Bat Voltage", IF(BITWISE_AND('Raw Data'!M119, 2), "Charge Current", IF(BITWISE_AND('Raw Data'!M119, 4),"Input Ilim", IF(BITWISE_AND('Raw Data'!M119, 8), "Input UV", "none"))))</f>
        <v>none</v>
      </c>
    </row>
    <row r="119" spans="1:24" x14ac:dyDescent="0.2">
      <c r="A119" s="15">
        <f>A118+TIME(0,0,'Raw Data'!B119)</f>
        <v>0</v>
      </c>
      <c r="B119" s="4">
        <f>'Raw Data'!C120*0.025</f>
        <v>0</v>
      </c>
      <c r="C119" s="4">
        <f t="shared" si="6"/>
        <v>0</v>
      </c>
      <c r="D119" s="4">
        <f>'Raw Data'!D120*0.025</f>
        <v>0</v>
      </c>
      <c r="E119" s="4">
        <f t="shared" si="7"/>
        <v>0</v>
      </c>
      <c r="F119" s="4">
        <f>'Raw Data'!E120*0.001648</f>
        <v>0</v>
      </c>
      <c r="G119" s="4">
        <f>'Raw Data'!F120*0.001648</f>
        <v>0</v>
      </c>
      <c r="H119" s="4">
        <f>'Raw Data'!G120*6*0.000128176</f>
        <v>0</v>
      </c>
      <c r="I119" s="4">
        <f>'Raw Data'!H120*0.000732435</f>
        <v>0</v>
      </c>
      <c r="J119" s="4">
        <f t="shared" si="5"/>
        <v>0</v>
      </c>
      <c r="K119" s="36">
        <f>IF(('Raw Data'!I120-16384)/32768&lt;0,0,('Raw Data'!I120-16384)/32768)</f>
        <v>0</v>
      </c>
      <c r="L119" s="4">
        <f>IF(('Raw Data'!J120-12010)/45.6=-263.377192982456,0,('Raw Data'!J120-12010)/45.6)</f>
        <v>0</v>
      </c>
      <c r="M119" s="16">
        <f>'Raw Data'!N120*2^-8</f>
        <v>0</v>
      </c>
      <c r="N119" s="16">
        <f>'Raw Data'!O120*2^-8</f>
        <v>0</v>
      </c>
      <c r="O119" s="17" t="str">
        <f>IF(BITWISE_AND('Raw Data'!$K120, 8192),"X","")</f>
        <v/>
      </c>
      <c r="P119" s="17" t="str">
        <f>IF(BITWISE_AND('Raw Data'!$K120, 2048),"X","")</f>
        <v/>
      </c>
      <c r="Q119" s="17" t="str">
        <f>IF(BITWISE_AND('Raw Data'!$K120, 64),"X","")</f>
        <v/>
      </c>
      <c r="R119" s="18" t="str">
        <f>IF(BITWISE_AND('Raw Data'!$L120, 1024),"X","")</f>
        <v/>
      </c>
      <c r="S119" s="18" t="str">
        <f>IF(BITWISE_AND('Raw Data'!$L120, 512),"X","")</f>
        <v/>
      </c>
      <c r="T119" s="18" t="str">
        <f>IF(BITWISE_AND('Raw Data'!$L120, 256),"X","")</f>
        <v/>
      </c>
      <c r="U119" s="18" t="str">
        <f>IF(BITWISE_AND('Raw Data'!$L120, 64),"X","")</f>
        <v/>
      </c>
      <c r="V119" s="18" t="str">
        <f>IF(BITWISE_AND('Raw Data'!$L120, 2),"X","")</f>
        <v/>
      </c>
      <c r="W119" s="18" t="str">
        <f>IF(BITWISE_AND('Raw Data'!$L120, 1),"X","")</f>
        <v/>
      </c>
      <c r="X119" s="19" t="str">
        <f>IF(BITWISE_AND('Raw Data'!M120, 1),"Bat Voltage", IF(BITWISE_AND('Raw Data'!M120, 2), "Charge Current", IF(BITWISE_AND('Raw Data'!M120, 4),"Input Ilim", IF(BITWISE_AND('Raw Data'!M120, 8), "Input UV", "none"))))</f>
        <v>none</v>
      </c>
    </row>
    <row r="120" spans="1:24" x14ac:dyDescent="0.2">
      <c r="A120" s="15">
        <f>A119+TIME(0,0,'Raw Data'!B120)</f>
        <v>0</v>
      </c>
      <c r="B120" s="4">
        <f>'Raw Data'!C121*0.025</f>
        <v>0</v>
      </c>
      <c r="C120" s="4">
        <f t="shared" si="6"/>
        <v>0</v>
      </c>
      <c r="D120" s="4">
        <f>'Raw Data'!D121*0.025</f>
        <v>0</v>
      </c>
      <c r="E120" s="4">
        <f t="shared" si="7"/>
        <v>0</v>
      </c>
      <c r="F120" s="4">
        <f>'Raw Data'!E121*0.001648</f>
        <v>0</v>
      </c>
      <c r="G120" s="4">
        <f>'Raw Data'!F121*0.001648</f>
        <v>0</v>
      </c>
      <c r="H120" s="4">
        <f>'Raw Data'!G121*6*0.000128176</f>
        <v>0</v>
      </c>
      <c r="I120" s="4">
        <f>'Raw Data'!H121*0.000732435</f>
        <v>0</v>
      </c>
      <c r="J120" s="4">
        <f t="shared" si="5"/>
        <v>0</v>
      </c>
      <c r="K120" s="36">
        <f>IF(('Raw Data'!I121-16384)/32768&lt;0,0,('Raw Data'!I121-16384)/32768)</f>
        <v>0</v>
      </c>
      <c r="L120" s="4">
        <f>IF(('Raw Data'!J121-12010)/45.6=-263.377192982456,0,('Raw Data'!J121-12010)/45.6)</f>
        <v>0</v>
      </c>
      <c r="M120" s="16">
        <f>'Raw Data'!N121*2^-8</f>
        <v>0</v>
      </c>
      <c r="N120" s="16">
        <f>'Raw Data'!O121*2^-8</f>
        <v>0</v>
      </c>
      <c r="O120" s="17" t="str">
        <f>IF(BITWISE_AND('Raw Data'!$K121, 8192),"X","")</f>
        <v/>
      </c>
      <c r="P120" s="17" t="str">
        <f>IF(BITWISE_AND('Raw Data'!$K121, 2048),"X","")</f>
        <v/>
      </c>
      <c r="Q120" s="17" t="str">
        <f>IF(BITWISE_AND('Raw Data'!$K121, 64),"X","")</f>
        <v/>
      </c>
      <c r="R120" s="18" t="str">
        <f>IF(BITWISE_AND('Raw Data'!$L121, 1024),"X","")</f>
        <v/>
      </c>
      <c r="S120" s="18" t="str">
        <f>IF(BITWISE_AND('Raw Data'!$L121, 512),"X","")</f>
        <v/>
      </c>
      <c r="T120" s="18" t="str">
        <f>IF(BITWISE_AND('Raw Data'!$L121, 256),"X","")</f>
        <v/>
      </c>
      <c r="U120" s="18" t="str">
        <f>IF(BITWISE_AND('Raw Data'!$L121, 64),"X","")</f>
        <v/>
      </c>
      <c r="V120" s="18" t="str">
        <f>IF(BITWISE_AND('Raw Data'!$L121, 2),"X","")</f>
        <v/>
      </c>
      <c r="W120" s="18" t="str">
        <f>IF(BITWISE_AND('Raw Data'!$L121, 1),"X","")</f>
        <v/>
      </c>
      <c r="X120" s="19" t="str">
        <f>IF(BITWISE_AND('Raw Data'!M121, 1),"Bat Voltage", IF(BITWISE_AND('Raw Data'!M121, 2), "Charge Current", IF(BITWISE_AND('Raw Data'!M121, 4),"Input Ilim", IF(BITWISE_AND('Raw Data'!M121, 8), "Input UV", "none"))))</f>
        <v>none</v>
      </c>
    </row>
    <row r="121" spans="1:24" x14ac:dyDescent="0.2">
      <c r="A121" s="15">
        <f>A120+TIME(0,0,'Raw Data'!B121)</f>
        <v>0</v>
      </c>
      <c r="B121" s="4">
        <f>'Raw Data'!C122*0.025</f>
        <v>0</v>
      </c>
      <c r="C121" s="4">
        <f t="shared" si="6"/>
        <v>0</v>
      </c>
      <c r="D121" s="4">
        <f>'Raw Data'!D122*0.025</f>
        <v>0</v>
      </c>
      <c r="E121" s="4">
        <f t="shared" si="7"/>
        <v>0</v>
      </c>
      <c r="F121" s="4">
        <f>'Raw Data'!E122*0.001648</f>
        <v>0</v>
      </c>
      <c r="G121" s="4">
        <f>'Raw Data'!F122*0.001648</f>
        <v>0</v>
      </c>
      <c r="H121" s="4">
        <f>'Raw Data'!G122*6*0.000128176</f>
        <v>0</v>
      </c>
      <c r="I121" s="4">
        <f>'Raw Data'!H122*0.000732435</f>
        <v>0</v>
      </c>
      <c r="J121" s="4">
        <f t="shared" si="5"/>
        <v>0</v>
      </c>
      <c r="K121" s="36">
        <f>IF(('Raw Data'!I122-16384)/32768&lt;0,0,('Raw Data'!I122-16384)/32768)</f>
        <v>0</v>
      </c>
      <c r="L121" s="4">
        <f>IF(('Raw Data'!J122-12010)/45.6=-263.377192982456,0,('Raw Data'!J122-12010)/45.6)</f>
        <v>0</v>
      </c>
      <c r="M121" s="16">
        <f>'Raw Data'!N122*2^-8</f>
        <v>0</v>
      </c>
      <c r="N121" s="16">
        <f>'Raw Data'!O122*2^-8</f>
        <v>0</v>
      </c>
      <c r="O121" s="17" t="str">
        <f>IF(BITWISE_AND('Raw Data'!$K122, 8192),"X","")</f>
        <v/>
      </c>
      <c r="P121" s="17" t="str">
        <f>IF(BITWISE_AND('Raw Data'!$K122, 2048),"X","")</f>
        <v/>
      </c>
      <c r="Q121" s="17" t="str">
        <f>IF(BITWISE_AND('Raw Data'!$K122, 64),"X","")</f>
        <v/>
      </c>
      <c r="R121" s="18" t="str">
        <f>IF(BITWISE_AND('Raw Data'!$L122, 1024),"X","")</f>
        <v/>
      </c>
      <c r="S121" s="18" t="str">
        <f>IF(BITWISE_AND('Raw Data'!$L122, 512),"X","")</f>
        <v/>
      </c>
      <c r="T121" s="18" t="str">
        <f>IF(BITWISE_AND('Raw Data'!$L122, 256),"X","")</f>
        <v/>
      </c>
      <c r="U121" s="18" t="str">
        <f>IF(BITWISE_AND('Raw Data'!$L122, 64),"X","")</f>
        <v/>
      </c>
      <c r="V121" s="18" t="str">
        <f>IF(BITWISE_AND('Raw Data'!$L122, 2),"X","")</f>
        <v/>
      </c>
      <c r="W121" s="18" t="str">
        <f>IF(BITWISE_AND('Raw Data'!$L122, 1),"X","")</f>
        <v/>
      </c>
      <c r="X121" s="19" t="str">
        <f>IF(BITWISE_AND('Raw Data'!M122, 1),"Bat Voltage", IF(BITWISE_AND('Raw Data'!M122, 2), "Charge Current", IF(BITWISE_AND('Raw Data'!M122, 4),"Input Ilim", IF(BITWISE_AND('Raw Data'!M122, 8), "Input UV", "none"))))</f>
        <v>none</v>
      </c>
    </row>
    <row r="122" spans="1:24" x14ac:dyDescent="0.2">
      <c r="A122" s="15">
        <f>A121+TIME(0,0,'Raw Data'!B122)</f>
        <v>0</v>
      </c>
      <c r="B122" s="4">
        <f>'Raw Data'!C123*0.025</f>
        <v>0</v>
      </c>
      <c r="C122" s="4">
        <f t="shared" si="6"/>
        <v>0</v>
      </c>
      <c r="D122" s="4">
        <f>'Raw Data'!D123*0.025</f>
        <v>0</v>
      </c>
      <c r="E122" s="4">
        <f t="shared" si="7"/>
        <v>0</v>
      </c>
      <c r="F122" s="4">
        <f>'Raw Data'!E123*0.001648</f>
        <v>0</v>
      </c>
      <c r="G122" s="4">
        <f>'Raw Data'!F123*0.001648</f>
        <v>0</v>
      </c>
      <c r="H122" s="4">
        <f>'Raw Data'!G123*6*0.000128176</f>
        <v>0</v>
      </c>
      <c r="I122" s="4">
        <f>'Raw Data'!H123*0.000732435</f>
        <v>0</v>
      </c>
      <c r="J122" s="4">
        <f t="shared" si="5"/>
        <v>0</v>
      </c>
      <c r="K122" s="36">
        <f>IF(('Raw Data'!I123-16384)/32768&lt;0,0,('Raw Data'!I123-16384)/32768)</f>
        <v>0</v>
      </c>
      <c r="L122" s="4">
        <f>IF(('Raw Data'!J123-12010)/45.6=-263.377192982456,0,('Raw Data'!J123-12010)/45.6)</f>
        <v>0</v>
      </c>
      <c r="M122" s="16">
        <f>'Raw Data'!N123*2^-8</f>
        <v>0</v>
      </c>
      <c r="N122" s="16">
        <f>'Raw Data'!O123*2^-8</f>
        <v>0</v>
      </c>
      <c r="O122" s="17" t="str">
        <f>IF(BITWISE_AND('Raw Data'!$K123, 8192),"X","")</f>
        <v/>
      </c>
      <c r="P122" s="17" t="str">
        <f>IF(BITWISE_AND('Raw Data'!$K123, 2048),"X","")</f>
        <v/>
      </c>
      <c r="Q122" s="17" t="str">
        <f>IF(BITWISE_AND('Raw Data'!$K123, 64),"X","")</f>
        <v/>
      </c>
      <c r="R122" s="18" t="str">
        <f>IF(BITWISE_AND('Raw Data'!$L123, 1024),"X","")</f>
        <v/>
      </c>
      <c r="S122" s="18" t="str">
        <f>IF(BITWISE_AND('Raw Data'!$L123, 512),"X","")</f>
        <v/>
      </c>
      <c r="T122" s="18" t="str">
        <f>IF(BITWISE_AND('Raw Data'!$L123, 256),"X","")</f>
        <v/>
      </c>
      <c r="U122" s="18" t="str">
        <f>IF(BITWISE_AND('Raw Data'!$L123, 64),"X","")</f>
        <v/>
      </c>
      <c r="V122" s="18" t="str">
        <f>IF(BITWISE_AND('Raw Data'!$L123, 2),"X","")</f>
        <v/>
      </c>
      <c r="W122" s="18" t="str">
        <f>IF(BITWISE_AND('Raw Data'!$L123, 1),"X","")</f>
        <v/>
      </c>
      <c r="X122" s="19" t="str">
        <f>IF(BITWISE_AND('Raw Data'!M123, 1),"Bat Voltage", IF(BITWISE_AND('Raw Data'!M123, 2), "Charge Current", IF(BITWISE_AND('Raw Data'!M123, 4),"Input Ilim", IF(BITWISE_AND('Raw Data'!M123, 8), "Input UV", "none"))))</f>
        <v>none</v>
      </c>
    </row>
    <row r="123" spans="1:24" x14ac:dyDescent="0.2">
      <c r="A123" s="15">
        <f>A122+TIME(0,0,'Raw Data'!B123)</f>
        <v>0</v>
      </c>
      <c r="B123" s="4">
        <f>'Raw Data'!C124*0.025</f>
        <v>0</v>
      </c>
      <c r="C123" s="4">
        <f t="shared" si="6"/>
        <v>0</v>
      </c>
      <c r="D123" s="4">
        <f>'Raw Data'!D124*0.025</f>
        <v>0</v>
      </c>
      <c r="E123" s="4">
        <f t="shared" si="7"/>
        <v>0</v>
      </c>
      <c r="F123" s="4">
        <f>'Raw Data'!E124*0.001648</f>
        <v>0</v>
      </c>
      <c r="G123" s="4">
        <f>'Raw Data'!F124*0.001648</f>
        <v>0</v>
      </c>
      <c r="H123" s="4">
        <f>'Raw Data'!G124*6*0.000128176</f>
        <v>0</v>
      </c>
      <c r="I123" s="4">
        <f>'Raw Data'!H124*0.000732435</f>
        <v>0</v>
      </c>
      <c r="J123" s="4">
        <f t="shared" si="5"/>
        <v>0</v>
      </c>
      <c r="K123" s="36">
        <f>IF(('Raw Data'!I124-16384)/32768&lt;0,0,('Raw Data'!I124-16384)/32768)</f>
        <v>0</v>
      </c>
      <c r="L123" s="4">
        <f>IF(('Raw Data'!J124-12010)/45.6=-263.377192982456,0,('Raw Data'!J124-12010)/45.6)</f>
        <v>0</v>
      </c>
      <c r="M123" s="16">
        <f>'Raw Data'!N124*2^-8</f>
        <v>0</v>
      </c>
      <c r="N123" s="16">
        <f>'Raw Data'!O124*2^-8</f>
        <v>0</v>
      </c>
      <c r="O123" s="17" t="str">
        <f>IF(BITWISE_AND('Raw Data'!$K124, 8192),"X","")</f>
        <v/>
      </c>
      <c r="P123" s="17" t="str">
        <f>IF(BITWISE_AND('Raw Data'!$K124, 2048),"X","")</f>
        <v/>
      </c>
      <c r="Q123" s="17" t="str">
        <f>IF(BITWISE_AND('Raw Data'!$K124, 64),"X","")</f>
        <v/>
      </c>
      <c r="R123" s="18" t="str">
        <f>IF(BITWISE_AND('Raw Data'!$L124, 1024),"X","")</f>
        <v/>
      </c>
      <c r="S123" s="18" t="str">
        <f>IF(BITWISE_AND('Raw Data'!$L124, 512),"X","")</f>
        <v/>
      </c>
      <c r="T123" s="18" t="str">
        <f>IF(BITWISE_AND('Raw Data'!$L124, 256),"X","")</f>
        <v/>
      </c>
      <c r="U123" s="18" t="str">
        <f>IF(BITWISE_AND('Raw Data'!$L124, 64),"X","")</f>
        <v/>
      </c>
      <c r="V123" s="18" t="str">
        <f>IF(BITWISE_AND('Raw Data'!$L124, 2),"X","")</f>
        <v/>
      </c>
      <c r="W123" s="18" t="str">
        <f>IF(BITWISE_AND('Raw Data'!$L124, 1),"X","")</f>
        <v/>
      </c>
      <c r="X123" s="19" t="str">
        <f>IF(BITWISE_AND('Raw Data'!M124, 1),"Bat Voltage", IF(BITWISE_AND('Raw Data'!M124, 2), "Charge Current", IF(BITWISE_AND('Raw Data'!M124, 4),"Input Ilim", IF(BITWISE_AND('Raw Data'!M124, 8), "Input UV", "none"))))</f>
        <v>none</v>
      </c>
    </row>
    <row r="124" spans="1:24" x14ac:dyDescent="0.2">
      <c r="A124" s="15">
        <f>A123+TIME(0,0,'Raw Data'!B124)</f>
        <v>0</v>
      </c>
      <c r="B124" s="4">
        <f>'Raw Data'!C125*0.025</f>
        <v>0</v>
      </c>
      <c r="C124" s="4">
        <f t="shared" si="6"/>
        <v>0</v>
      </c>
      <c r="D124" s="4">
        <f>'Raw Data'!D125*0.025</f>
        <v>0</v>
      </c>
      <c r="E124" s="4">
        <f t="shared" si="7"/>
        <v>0</v>
      </c>
      <c r="F124" s="4">
        <f>'Raw Data'!E125*0.001648</f>
        <v>0</v>
      </c>
      <c r="G124" s="4">
        <f>'Raw Data'!F125*0.001648</f>
        <v>0</v>
      </c>
      <c r="H124" s="4">
        <f>'Raw Data'!G125*6*0.000128176</f>
        <v>0</v>
      </c>
      <c r="I124" s="4">
        <f>'Raw Data'!H125*0.000732435</f>
        <v>0</v>
      </c>
      <c r="J124" s="4">
        <f t="shared" si="5"/>
        <v>0</v>
      </c>
      <c r="K124" s="36">
        <f>IF(('Raw Data'!I125-16384)/32768&lt;0,0,('Raw Data'!I125-16384)/32768)</f>
        <v>0</v>
      </c>
      <c r="L124" s="4">
        <f>IF(('Raw Data'!J125-12010)/45.6=-263.377192982456,0,('Raw Data'!J125-12010)/45.6)</f>
        <v>0</v>
      </c>
      <c r="M124" s="16">
        <f>'Raw Data'!N125*2^-8</f>
        <v>0</v>
      </c>
      <c r="N124" s="16">
        <f>'Raw Data'!O125*2^-8</f>
        <v>0</v>
      </c>
      <c r="O124" s="17" t="str">
        <f>IF(BITWISE_AND('Raw Data'!$K125, 8192),"X","")</f>
        <v/>
      </c>
      <c r="P124" s="17" t="str">
        <f>IF(BITWISE_AND('Raw Data'!$K125, 2048),"X","")</f>
        <v/>
      </c>
      <c r="Q124" s="17" t="str">
        <f>IF(BITWISE_AND('Raw Data'!$K125, 64),"X","")</f>
        <v/>
      </c>
      <c r="R124" s="18" t="str">
        <f>IF(BITWISE_AND('Raw Data'!$L125, 1024),"X","")</f>
        <v/>
      </c>
      <c r="S124" s="18" t="str">
        <f>IF(BITWISE_AND('Raw Data'!$L125, 512),"X","")</f>
        <v/>
      </c>
      <c r="T124" s="18" t="str">
        <f>IF(BITWISE_AND('Raw Data'!$L125, 256),"X","")</f>
        <v/>
      </c>
      <c r="U124" s="18" t="str">
        <f>IF(BITWISE_AND('Raw Data'!$L125, 64),"X","")</f>
        <v/>
      </c>
      <c r="V124" s="18" t="str">
        <f>IF(BITWISE_AND('Raw Data'!$L125, 2),"X","")</f>
        <v/>
      </c>
      <c r="W124" s="18" t="str">
        <f>IF(BITWISE_AND('Raw Data'!$L125, 1),"X","")</f>
        <v/>
      </c>
      <c r="X124" s="19" t="str">
        <f>IF(BITWISE_AND('Raw Data'!M125, 1),"Bat Voltage", IF(BITWISE_AND('Raw Data'!M125, 2), "Charge Current", IF(BITWISE_AND('Raw Data'!M125, 4),"Input Ilim", IF(BITWISE_AND('Raw Data'!M125, 8), "Input UV", "none"))))</f>
        <v>none</v>
      </c>
    </row>
    <row r="125" spans="1:24" x14ac:dyDescent="0.2">
      <c r="A125" s="15">
        <f>A124+TIME(0,0,'Raw Data'!B125)</f>
        <v>0</v>
      </c>
      <c r="B125" s="4">
        <f>'Raw Data'!C126*0.025</f>
        <v>0</v>
      </c>
      <c r="C125" s="4">
        <f t="shared" si="6"/>
        <v>0</v>
      </c>
      <c r="D125" s="4">
        <f>'Raw Data'!D126*0.025</f>
        <v>0</v>
      </c>
      <c r="E125" s="4">
        <f t="shared" si="7"/>
        <v>0</v>
      </c>
      <c r="F125" s="4">
        <f>'Raw Data'!E126*0.001648</f>
        <v>0</v>
      </c>
      <c r="G125" s="4">
        <f>'Raw Data'!F126*0.001648</f>
        <v>0</v>
      </c>
      <c r="H125" s="4">
        <f>'Raw Data'!G126*6*0.000128176</f>
        <v>0</v>
      </c>
      <c r="I125" s="4">
        <f>'Raw Data'!H126*0.000732435</f>
        <v>0</v>
      </c>
      <c r="J125" s="4">
        <f t="shared" si="5"/>
        <v>0</v>
      </c>
      <c r="K125" s="36">
        <f>IF(('Raw Data'!I126-16384)/32768&lt;0,0,('Raw Data'!I126-16384)/32768)</f>
        <v>0</v>
      </c>
      <c r="L125" s="4">
        <f>IF(('Raw Data'!J126-12010)/45.6=-263.377192982456,0,('Raw Data'!J126-12010)/45.6)</f>
        <v>0</v>
      </c>
      <c r="M125" s="16">
        <f>'Raw Data'!N126*2^-8</f>
        <v>0</v>
      </c>
      <c r="N125" s="16">
        <f>'Raw Data'!O126*2^-8</f>
        <v>0</v>
      </c>
      <c r="O125" s="17" t="str">
        <f>IF(BITWISE_AND('Raw Data'!$K126, 8192),"X","")</f>
        <v/>
      </c>
      <c r="P125" s="17" t="str">
        <f>IF(BITWISE_AND('Raw Data'!$K126, 2048),"X","")</f>
        <v/>
      </c>
      <c r="Q125" s="17" t="str">
        <f>IF(BITWISE_AND('Raw Data'!$K126, 64),"X","")</f>
        <v/>
      </c>
      <c r="R125" s="18" t="str">
        <f>IF(BITWISE_AND('Raw Data'!$L126, 1024),"X","")</f>
        <v/>
      </c>
      <c r="S125" s="18" t="str">
        <f>IF(BITWISE_AND('Raw Data'!$L126, 512),"X","")</f>
        <v/>
      </c>
      <c r="T125" s="18" t="str">
        <f>IF(BITWISE_AND('Raw Data'!$L126, 256),"X","")</f>
        <v/>
      </c>
      <c r="U125" s="18" t="str">
        <f>IF(BITWISE_AND('Raw Data'!$L126, 64),"X","")</f>
        <v/>
      </c>
      <c r="V125" s="18" t="str">
        <f>IF(BITWISE_AND('Raw Data'!$L126, 2),"X","")</f>
        <v/>
      </c>
      <c r="W125" s="18" t="str">
        <f>IF(BITWISE_AND('Raw Data'!$L126, 1),"X","")</f>
        <v/>
      </c>
      <c r="X125" s="19" t="str">
        <f>IF(BITWISE_AND('Raw Data'!M126, 1),"Bat Voltage", IF(BITWISE_AND('Raw Data'!M126, 2), "Charge Current", IF(BITWISE_AND('Raw Data'!M126, 4),"Input Ilim", IF(BITWISE_AND('Raw Data'!M126, 8), "Input UV", "none"))))</f>
        <v>none</v>
      </c>
    </row>
    <row r="126" spans="1:24" x14ac:dyDescent="0.2">
      <c r="A126" s="15">
        <f>A125+TIME(0,0,'Raw Data'!B126)</f>
        <v>0</v>
      </c>
      <c r="B126" s="4">
        <f>'Raw Data'!C127*0.025</f>
        <v>0</v>
      </c>
      <c r="C126" s="4">
        <f t="shared" si="6"/>
        <v>0</v>
      </c>
      <c r="D126" s="4">
        <f>'Raw Data'!D127*0.025</f>
        <v>0</v>
      </c>
      <c r="E126" s="4">
        <f t="shared" si="7"/>
        <v>0</v>
      </c>
      <c r="F126" s="4">
        <f>'Raw Data'!E127*0.001648</f>
        <v>0</v>
      </c>
      <c r="G126" s="4">
        <f>'Raw Data'!F127*0.001648</f>
        <v>0</v>
      </c>
      <c r="H126" s="4">
        <f>'Raw Data'!G127*6*0.000128176</f>
        <v>0</v>
      </c>
      <c r="I126" s="4">
        <f>'Raw Data'!H127*0.000732435</f>
        <v>0</v>
      </c>
      <c r="J126" s="4">
        <f t="shared" si="5"/>
        <v>0</v>
      </c>
      <c r="K126" s="36">
        <f>IF(('Raw Data'!I127-16384)/32768&lt;0,0,('Raw Data'!I127-16384)/32768)</f>
        <v>0</v>
      </c>
      <c r="L126" s="4">
        <f>IF(('Raw Data'!J127-12010)/45.6=-263.377192982456,0,('Raw Data'!J127-12010)/45.6)</f>
        <v>0</v>
      </c>
      <c r="M126" s="16">
        <f>'Raw Data'!N127*2^-8</f>
        <v>0</v>
      </c>
      <c r="N126" s="16">
        <f>'Raw Data'!O127*2^-8</f>
        <v>0</v>
      </c>
      <c r="O126" s="17" t="str">
        <f>IF(BITWISE_AND('Raw Data'!$K127, 8192),"X","")</f>
        <v/>
      </c>
      <c r="P126" s="17" t="str">
        <f>IF(BITWISE_AND('Raw Data'!$K127, 2048),"X","")</f>
        <v/>
      </c>
      <c r="Q126" s="17" t="str">
        <f>IF(BITWISE_AND('Raw Data'!$K127, 64),"X","")</f>
        <v/>
      </c>
      <c r="R126" s="18" t="str">
        <f>IF(BITWISE_AND('Raw Data'!$L127, 1024),"X","")</f>
        <v/>
      </c>
      <c r="S126" s="18" t="str">
        <f>IF(BITWISE_AND('Raw Data'!$L127, 512),"X","")</f>
        <v/>
      </c>
      <c r="T126" s="18" t="str">
        <f>IF(BITWISE_AND('Raw Data'!$L127, 256),"X","")</f>
        <v/>
      </c>
      <c r="U126" s="18" t="str">
        <f>IF(BITWISE_AND('Raw Data'!$L127, 64),"X","")</f>
        <v/>
      </c>
      <c r="V126" s="18" t="str">
        <f>IF(BITWISE_AND('Raw Data'!$L127, 2),"X","")</f>
        <v/>
      </c>
      <c r="W126" s="18" t="str">
        <f>IF(BITWISE_AND('Raw Data'!$L127, 1),"X","")</f>
        <v/>
      </c>
      <c r="X126" s="19" t="str">
        <f>IF(BITWISE_AND('Raw Data'!M127, 1),"Bat Voltage", IF(BITWISE_AND('Raw Data'!M127, 2), "Charge Current", IF(BITWISE_AND('Raw Data'!M127, 4),"Input Ilim", IF(BITWISE_AND('Raw Data'!M127, 8), "Input UV", "none"))))</f>
        <v>none</v>
      </c>
    </row>
    <row r="127" spans="1:24" x14ac:dyDescent="0.2">
      <c r="A127" s="15">
        <f>A126+TIME(0,0,'Raw Data'!B127)</f>
        <v>0</v>
      </c>
      <c r="B127" s="4">
        <f>'Raw Data'!C128*0.025</f>
        <v>0</v>
      </c>
      <c r="C127" s="4">
        <f t="shared" si="6"/>
        <v>0</v>
      </c>
      <c r="D127" s="4">
        <f>'Raw Data'!D128*0.025</f>
        <v>0</v>
      </c>
      <c r="E127" s="4">
        <f t="shared" si="7"/>
        <v>0</v>
      </c>
      <c r="F127" s="4">
        <f>'Raw Data'!E128*0.001648</f>
        <v>0</v>
      </c>
      <c r="G127" s="4">
        <f>'Raw Data'!F128*0.001648</f>
        <v>0</v>
      </c>
      <c r="H127" s="4">
        <f>'Raw Data'!G128*6*0.000128176</f>
        <v>0</v>
      </c>
      <c r="I127" s="4">
        <f>'Raw Data'!H128*0.000732435</f>
        <v>0</v>
      </c>
      <c r="J127" s="4">
        <f t="shared" si="5"/>
        <v>0</v>
      </c>
      <c r="K127" s="36">
        <f>IF(('Raw Data'!I128-16384)/32768&lt;0,0,('Raw Data'!I128-16384)/32768)</f>
        <v>0</v>
      </c>
      <c r="L127" s="4">
        <f>IF(('Raw Data'!J128-12010)/45.6=-263.377192982456,0,('Raw Data'!J128-12010)/45.6)</f>
        <v>0</v>
      </c>
      <c r="M127" s="16">
        <f>'Raw Data'!N128*2^-8</f>
        <v>0</v>
      </c>
      <c r="N127" s="16">
        <f>'Raw Data'!O128*2^-8</f>
        <v>0</v>
      </c>
      <c r="O127" s="17" t="str">
        <f>IF(BITWISE_AND('Raw Data'!$K128, 8192),"X","")</f>
        <v/>
      </c>
      <c r="P127" s="17" t="str">
        <f>IF(BITWISE_AND('Raw Data'!$K128, 2048),"X","")</f>
        <v/>
      </c>
      <c r="Q127" s="17" t="str">
        <f>IF(BITWISE_AND('Raw Data'!$K128, 64),"X","")</f>
        <v/>
      </c>
      <c r="R127" s="18" t="str">
        <f>IF(BITWISE_AND('Raw Data'!$L128, 1024),"X","")</f>
        <v/>
      </c>
      <c r="S127" s="18" t="str">
        <f>IF(BITWISE_AND('Raw Data'!$L128, 512),"X","")</f>
        <v/>
      </c>
      <c r="T127" s="18" t="str">
        <f>IF(BITWISE_AND('Raw Data'!$L128, 256),"X","")</f>
        <v/>
      </c>
      <c r="U127" s="18" t="str">
        <f>IF(BITWISE_AND('Raw Data'!$L128, 64),"X","")</f>
        <v/>
      </c>
      <c r="V127" s="18" t="str">
        <f>IF(BITWISE_AND('Raw Data'!$L128, 2),"X","")</f>
        <v/>
      </c>
      <c r="W127" s="18" t="str">
        <f>IF(BITWISE_AND('Raw Data'!$L128, 1),"X","")</f>
        <v/>
      </c>
      <c r="X127" s="19" t="str">
        <f>IF(BITWISE_AND('Raw Data'!M128, 1),"Bat Voltage", IF(BITWISE_AND('Raw Data'!M128, 2), "Charge Current", IF(BITWISE_AND('Raw Data'!M128, 4),"Input Ilim", IF(BITWISE_AND('Raw Data'!M128, 8), "Input UV", "none"))))</f>
        <v>none</v>
      </c>
    </row>
    <row r="128" spans="1:24" x14ac:dyDescent="0.2">
      <c r="A128" s="15">
        <f>A127+TIME(0,0,'Raw Data'!B128)</f>
        <v>0</v>
      </c>
      <c r="B128" s="4">
        <f>'Raw Data'!C129*0.025</f>
        <v>0</v>
      </c>
      <c r="C128" s="4">
        <f t="shared" si="6"/>
        <v>0</v>
      </c>
      <c r="D128" s="4">
        <f>'Raw Data'!D129*0.025</f>
        <v>0</v>
      </c>
      <c r="E128" s="4">
        <f t="shared" si="7"/>
        <v>0</v>
      </c>
      <c r="F128" s="4">
        <f>'Raw Data'!E129*0.001648</f>
        <v>0</v>
      </c>
      <c r="G128" s="4">
        <f>'Raw Data'!F129*0.001648</f>
        <v>0</v>
      </c>
      <c r="H128" s="4">
        <f>'Raw Data'!G129*6*0.000128176</f>
        <v>0</v>
      </c>
      <c r="I128" s="4">
        <f>'Raw Data'!H129*0.000732435</f>
        <v>0</v>
      </c>
      <c r="J128" s="4">
        <f t="shared" si="5"/>
        <v>0</v>
      </c>
      <c r="K128" s="36">
        <f>IF(('Raw Data'!I129-16384)/32768&lt;0,0,('Raw Data'!I129-16384)/32768)</f>
        <v>0</v>
      </c>
      <c r="L128" s="4">
        <f>IF(('Raw Data'!J129-12010)/45.6=-263.377192982456,0,('Raw Data'!J129-12010)/45.6)</f>
        <v>0</v>
      </c>
      <c r="M128" s="16">
        <f>'Raw Data'!N129*2^-8</f>
        <v>0</v>
      </c>
      <c r="N128" s="16">
        <f>'Raw Data'!O129*2^-8</f>
        <v>0</v>
      </c>
      <c r="O128" s="17" t="str">
        <f>IF(BITWISE_AND('Raw Data'!$K129, 8192),"X","")</f>
        <v/>
      </c>
      <c r="P128" s="17" t="str">
        <f>IF(BITWISE_AND('Raw Data'!$K129, 2048),"X","")</f>
        <v/>
      </c>
      <c r="Q128" s="17" t="str">
        <f>IF(BITWISE_AND('Raw Data'!$K129, 64),"X","")</f>
        <v/>
      </c>
      <c r="R128" s="18" t="str">
        <f>IF(BITWISE_AND('Raw Data'!$L129, 1024),"X","")</f>
        <v/>
      </c>
      <c r="S128" s="18" t="str">
        <f>IF(BITWISE_AND('Raw Data'!$L129, 512),"X","")</f>
        <v/>
      </c>
      <c r="T128" s="18" t="str">
        <f>IF(BITWISE_AND('Raw Data'!$L129, 256),"X","")</f>
        <v/>
      </c>
      <c r="U128" s="18" t="str">
        <f>IF(BITWISE_AND('Raw Data'!$L129, 64),"X","")</f>
        <v/>
      </c>
      <c r="V128" s="18" t="str">
        <f>IF(BITWISE_AND('Raw Data'!$L129, 2),"X","")</f>
        <v/>
      </c>
      <c r="W128" s="18" t="str">
        <f>IF(BITWISE_AND('Raw Data'!$L129, 1),"X","")</f>
        <v/>
      </c>
      <c r="X128" s="19" t="str">
        <f>IF(BITWISE_AND('Raw Data'!M129, 1),"Bat Voltage", IF(BITWISE_AND('Raw Data'!M129, 2), "Charge Current", IF(BITWISE_AND('Raw Data'!M129, 4),"Input Ilim", IF(BITWISE_AND('Raw Data'!M129, 8), "Input UV", "none"))))</f>
        <v>none</v>
      </c>
    </row>
    <row r="129" spans="1:24" x14ac:dyDescent="0.2">
      <c r="A129" s="15">
        <f>A128+TIME(0,0,'Raw Data'!B129)</f>
        <v>0</v>
      </c>
      <c r="B129" s="4">
        <f>'Raw Data'!C130*0.025</f>
        <v>0</v>
      </c>
      <c r="C129" s="4">
        <f t="shared" si="6"/>
        <v>0</v>
      </c>
      <c r="D129" s="4">
        <f>'Raw Data'!D130*0.025</f>
        <v>0</v>
      </c>
      <c r="E129" s="4">
        <f t="shared" si="7"/>
        <v>0</v>
      </c>
      <c r="F129" s="4">
        <f>'Raw Data'!E130*0.001648</f>
        <v>0</v>
      </c>
      <c r="G129" s="4">
        <f>'Raw Data'!F130*0.001648</f>
        <v>0</v>
      </c>
      <c r="H129" s="4">
        <f>'Raw Data'!G130*6*0.000128176</f>
        <v>0</v>
      </c>
      <c r="I129" s="4">
        <f>'Raw Data'!H130*0.000732435</f>
        <v>0</v>
      </c>
      <c r="J129" s="4">
        <f t="shared" si="5"/>
        <v>0</v>
      </c>
      <c r="K129" s="36">
        <f>IF(('Raw Data'!I130-16384)/32768&lt;0,0,('Raw Data'!I130-16384)/32768)</f>
        <v>0</v>
      </c>
      <c r="L129" s="4">
        <f>IF(('Raw Data'!J130-12010)/45.6=-263.377192982456,0,('Raw Data'!J130-12010)/45.6)</f>
        <v>0</v>
      </c>
      <c r="M129" s="16">
        <f>'Raw Data'!N130*2^-8</f>
        <v>0</v>
      </c>
      <c r="N129" s="16">
        <f>'Raw Data'!O130*2^-8</f>
        <v>0</v>
      </c>
      <c r="O129" s="17" t="str">
        <f>IF(BITWISE_AND('Raw Data'!$K130, 8192),"X","")</f>
        <v/>
      </c>
      <c r="P129" s="17" t="str">
        <f>IF(BITWISE_AND('Raw Data'!$K130, 2048),"X","")</f>
        <v/>
      </c>
      <c r="Q129" s="17" t="str">
        <f>IF(BITWISE_AND('Raw Data'!$K130, 64),"X","")</f>
        <v/>
      </c>
      <c r="R129" s="18" t="str">
        <f>IF(BITWISE_AND('Raw Data'!$L130, 1024),"X","")</f>
        <v/>
      </c>
      <c r="S129" s="18" t="str">
        <f>IF(BITWISE_AND('Raw Data'!$L130, 512),"X","")</f>
        <v/>
      </c>
      <c r="T129" s="18" t="str">
        <f>IF(BITWISE_AND('Raw Data'!$L130, 256),"X","")</f>
        <v/>
      </c>
      <c r="U129" s="18" t="str">
        <f>IF(BITWISE_AND('Raw Data'!$L130, 64),"X","")</f>
        <v/>
      </c>
      <c r="V129" s="18" t="str">
        <f>IF(BITWISE_AND('Raw Data'!$L130, 2),"X","")</f>
        <v/>
      </c>
      <c r="W129" s="18" t="str">
        <f>IF(BITWISE_AND('Raw Data'!$L130, 1),"X","")</f>
        <v/>
      </c>
      <c r="X129" s="19" t="str">
        <f>IF(BITWISE_AND('Raw Data'!M130, 1),"Bat Voltage", IF(BITWISE_AND('Raw Data'!M130, 2), "Charge Current", IF(BITWISE_AND('Raw Data'!M130, 4),"Input Ilim", IF(BITWISE_AND('Raw Data'!M130, 8), "Input UV", "none"))))</f>
        <v>none</v>
      </c>
    </row>
    <row r="130" spans="1:24" x14ac:dyDescent="0.2">
      <c r="A130" s="15">
        <f>A129+TIME(0,0,'Raw Data'!B130)</f>
        <v>0</v>
      </c>
      <c r="B130" s="4">
        <f>'Raw Data'!C131*0.025</f>
        <v>0</v>
      </c>
      <c r="C130" s="4">
        <f t="shared" si="6"/>
        <v>0</v>
      </c>
      <c r="D130" s="4">
        <f>'Raw Data'!D131*0.025</f>
        <v>0</v>
      </c>
      <c r="E130" s="4">
        <f t="shared" si="7"/>
        <v>0</v>
      </c>
      <c r="F130" s="4">
        <f>'Raw Data'!E131*0.001648</f>
        <v>0</v>
      </c>
      <c r="G130" s="4">
        <f>'Raw Data'!F131*0.001648</f>
        <v>0</v>
      </c>
      <c r="H130" s="4">
        <f>'Raw Data'!G131*6*0.000128176</f>
        <v>0</v>
      </c>
      <c r="I130" s="4">
        <f>'Raw Data'!H131*0.000732435</f>
        <v>0</v>
      </c>
      <c r="J130" s="4">
        <f t="shared" si="5"/>
        <v>0</v>
      </c>
      <c r="K130" s="36">
        <f>IF(('Raw Data'!I131-16384)/32768&lt;0,0,('Raw Data'!I131-16384)/32768)</f>
        <v>0</v>
      </c>
      <c r="L130" s="4">
        <f>IF(('Raw Data'!J131-12010)/45.6=-263.377192982456,0,('Raw Data'!J131-12010)/45.6)</f>
        <v>0</v>
      </c>
      <c r="M130" s="16">
        <f>'Raw Data'!N131*2^-8</f>
        <v>0</v>
      </c>
      <c r="N130" s="16">
        <f>'Raw Data'!O131*2^-8</f>
        <v>0</v>
      </c>
      <c r="O130" s="17" t="str">
        <f>IF(BITWISE_AND('Raw Data'!$K131, 8192),"X","")</f>
        <v/>
      </c>
      <c r="P130" s="17" t="str">
        <f>IF(BITWISE_AND('Raw Data'!$K131, 2048),"X","")</f>
        <v/>
      </c>
      <c r="Q130" s="17" t="str">
        <f>IF(BITWISE_AND('Raw Data'!$K131, 64),"X","")</f>
        <v/>
      </c>
      <c r="R130" s="18" t="str">
        <f>IF(BITWISE_AND('Raw Data'!$L131, 1024),"X","")</f>
        <v/>
      </c>
      <c r="S130" s="18" t="str">
        <f>IF(BITWISE_AND('Raw Data'!$L131, 512),"X","")</f>
        <v/>
      </c>
      <c r="T130" s="18" t="str">
        <f>IF(BITWISE_AND('Raw Data'!$L131, 256),"X","")</f>
        <v/>
      </c>
      <c r="U130" s="18" t="str">
        <f>IF(BITWISE_AND('Raw Data'!$L131, 64),"X","")</f>
        <v/>
      </c>
      <c r="V130" s="18" t="str">
        <f>IF(BITWISE_AND('Raw Data'!$L131, 2),"X","")</f>
        <v/>
      </c>
      <c r="W130" s="18" t="str">
        <f>IF(BITWISE_AND('Raw Data'!$L131, 1),"X","")</f>
        <v/>
      </c>
      <c r="X130" s="19" t="str">
        <f>IF(BITWISE_AND('Raw Data'!M131, 1),"Bat Voltage", IF(BITWISE_AND('Raw Data'!M131, 2), "Charge Current", IF(BITWISE_AND('Raw Data'!M131, 4),"Input Ilim", IF(BITWISE_AND('Raw Data'!M131, 8), "Input UV", "none"))))</f>
        <v>none</v>
      </c>
    </row>
    <row r="131" spans="1:24" x14ac:dyDescent="0.2">
      <c r="A131" s="15">
        <f>A130+TIME(0,0,'Raw Data'!B131)</f>
        <v>0</v>
      </c>
      <c r="B131" s="4">
        <f>'Raw Data'!C132*0.025</f>
        <v>0</v>
      </c>
      <c r="C131" s="4">
        <f t="shared" si="6"/>
        <v>0</v>
      </c>
      <c r="D131" s="4">
        <f>'Raw Data'!D132*0.025</f>
        <v>0</v>
      </c>
      <c r="E131" s="4">
        <f t="shared" si="7"/>
        <v>0</v>
      </c>
      <c r="F131" s="4">
        <f>'Raw Data'!E132*0.001648</f>
        <v>0</v>
      </c>
      <c r="G131" s="4">
        <f>'Raw Data'!F132*0.001648</f>
        <v>0</v>
      </c>
      <c r="H131" s="4">
        <f>'Raw Data'!G132*6*0.000128176</f>
        <v>0</v>
      </c>
      <c r="I131" s="4">
        <f>'Raw Data'!H132*0.000732435</f>
        <v>0</v>
      </c>
      <c r="J131" s="4">
        <f t="shared" ref="J131:J194" si="8">H131*I131</f>
        <v>0</v>
      </c>
      <c r="K131" s="36">
        <f>IF(('Raw Data'!I132-16384)/32768&lt;0,0,('Raw Data'!I132-16384)/32768)</f>
        <v>0</v>
      </c>
      <c r="L131" s="4">
        <f>IF(('Raw Data'!J132-12010)/45.6=-263.377192982456,0,('Raw Data'!J132-12010)/45.6)</f>
        <v>0</v>
      </c>
      <c r="M131" s="16">
        <f>'Raw Data'!N132*2^-8</f>
        <v>0</v>
      </c>
      <c r="N131" s="16">
        <f>'Raw Data'!O132*2^-8</f>
        <v>0</v>
      </c>
      <c r="O131" s="17" t="str">
        <f>IF(BITWISE_AND('Raw Data'!$K132, 8192),"X","")</f>
        <v/>
      </c>
      <c r="P131" s="17" t="str">
        <f>IF(BITWISE_AND('Raw Data'!$K132, 2048),"X","")</f>
        <v/>
      </c>
      <c r="Q131" s="17" t="str">
        <f>IF(BITWISE_AND('Raw Data'!$K132, 64),"X","")</f>
        <v/>
      </c>
      <c r="R131" s="18" t="str">
        <f>IF(BITWISE_AND('Raw Data'!$L132, 1024),"X","")</f>
        <v/>
      </c>
      <c r="S131" s="18" t="str">
        <f>IF(BITWISE_AND('Raw Data'!$L132, 512),"X","")</f>
        <v/>
      </c>
      <c r="T131" s="18" t="str">
        <f>IF(BITWISE_AND('Raw Data'!$L132, 256),"X","")</f>
        <v/>
      </c>
      <c r="U131" s="18" t="str">
        <f>IF(BITWISE_AND('Raw Data'!$L132, 64),"X","")</f>
        <v/>
      </c>
      <c r="V131" s="18" t="str">
        <f>IF(BITWISE_AND('Raw Data'!$L132, 2),"X","")</f>
        <v/>
      </c>
      <c r="W131" s="18" t="str">
        <f>IF(BITWISE_AND('Raw Data'!$L132, 1),"X","")</f>
        <v/>
      </c>
      <c r="X131" s="19" t="str">
        <f>IF(BITWISE_AND('Raw Data'!M132, 1),"Bat Voltage", IF(BITWISE_AND('Raw Data'!M132, 2), "Charge Current", IF(BITWISE_AND('Raw Data'!M132, 4),"Input Ilim", IF(BITWISE_AND('Raw Data'!M132, 8), "Input UV", "none"))))</f>
        <v>none</v>
      </c>
    </row>
    <row r="132" spans="1:24" x14ac:dyDescent="0.2">
      <c r="A132" s="15">
        <f>A131+TIME(0,0,'Raw Data'!B132)</f>
        <v>0</v>
      </c>
      <c r="B132" s="4">
        <f>'Raw Data'!C133*0.025</f>
        <v>0</v>
      </c>
      <c r="C132" s="4">
        <f t="shared" si="6"/>
        <v>0</v>
      </c>
      <c r="D132" s="4">
        <f>'Raw Data'!D133*0.025</f>
        <v>0</v>
      </c>
      <c r="E132" s="4">
        <f t="shared" si="7"/>
        <v>0</v>
      </c>
      <c r="F132" s="4">
        <f>'Raw Data'!E133*0.001648</f>
        <v>0</v>
      </c>
      <c r="G132" s="4">
        <f>'Raw Data'!F133*0.001648</f>
        <v>0</v>
      </c>
      <c r="H132" s="4">
        <f>'Raw Data'!G133*6*0.000128176</f>
        <v>0</v>
      </c>
      <c r="I132" s="4">
        <f>'Raw Data'!H133*0.000732435</f>
        <v>0</v>
      </c>
      <c r="J132" s="4">
        <f t="shared" si="8"/>
        <v>0</v>
      </c>
      <c r="K132" s="36">
        <f>IF(('Raw Data'!I133-16384)/32768&lt;0,0,('Raw Data'!I133-16384)/32768)</f>
        <v>0</v>
      </c>
      <c r="L132" s="4">
        <f>IF(('Raw Data'!J133-12010)/45.6=-263.377192982456,0,('Raw Data'!J133-12010)/45.6)</f>
        <v>0</v>
      </c>
      <c r="M132" s="16">
        <f>'Raw Data'!N133*2^-8</f>
        <v>0</v>
      </c>
      <c r="N132" s="16">
        <f>'Raw Data'!O133*2^-8</f>
        <v>0</v>
      </c>
      <c r="O132" s="17" t="str">
        <f>IF(BITWISE_AND('Raw Data'!$K133, 8192),"X","")</f>
        <v/>
      </c>
      <c r="P132" s="17" t="str">
        <f>IF(BITWISE_AND('Raw Data'!$K133, 2048),"X","")</f>
        <v/>
      </c>
      <c r="Q132" s="17" t="str">
        <f>IF(BITWISE_AND('Raw Data'!$K133, 64),"X","")</f>
        <v/>
      </c>
      <c r="R132" s="18" t="str">
        <f>IF(BITWISE_AND('Raw Data'!$L133, 1024),"X","")</f>
        <v/>
      </c>
      <c r="S132" s="18" t="str">
        <f>IF(BITWISE_AND('Raw Data'!$L133, 512),"X","")</f>
        <v/>
      </c>
      <c r="T132" s="18" t="str">
        <f>IF(BITWISE_AND('Raw Data'!$L133, 256),"X","")</f>
        <v/>
      </c>
      <c r="U132" s="18" t="str">
        <f>IF(BITWISE_AND('Raw Data'!$L133, 64),"X","")</f>
        <v/>
      </c>
      <c r="V132" s="18" t="str">
        <f>IF(BITWISE_AND('Raw Data'!$L133, 2),"X","")</f>
        <v/>
      </c>
      <c r="W132" s="18" t="str">
        <f>IF(BITWISE_AND('Raw Data'!$L133, 1),"X","")</f>
        <v/>
      </c>
      <c r="X132" s="19" t="str">
        <f>IF(BITWISE_AND('Raw Data'!M133, 1),"Bat Voltage", IF(BITWISE_AND('Raw Data'!M133, 2), "Charge Current", IF(BITWISE_AND('Raw Data'!M133, 4),"Input Ilim", IF(BITWISE_AND('Raw Data'!M133, 8), "Input UV", "none"))))</f>
        <v>none</v>
      </c>
    </row>
    <row r="133" spans="1:24" x14ac:dyDescent="0.2">
      <c r="A133" s="15">
        <f>A132+TIME(0,0,'Raw Data'!B133)</f>
        <v>0</v>
      </c>
      <c r="B133" s="4">
        <f>'Raw Data'!C134*0.025</f>
        <v>0</v>
      </c>
      <c r="C133" s="4">
        <f t="shared" si="6"/>
        <v>0</v>
      </c>
      <c r="D133" s="4">
        <f>'Raw Data'!D134*0.025</f>
        <v>0</v>
      </c>
      <c r="E133" s="4">
        <f t="shared" si="7"/>
        <v>0</v>
      </c>
      <c r="F133" s="4">
        <f>'Raw Data'!E134*0.001648</f>
        <v>0</v>
      </c>
      <c r="G133" s="4">
        <f>'Raw Data'!F134*0.001648</f>
        <v>0</v>
      </c>
      <c r="H133" s="4">
        <f>'Raw Data'!G134*6*0.000128176</f>
        <v>0</v>
      </c>
      <c r="I133" s="4">
        <f>'Raw Data'!H134*0.000732435</f>
        <v>0</v>
      </c>
      <c r="J133" s="4">
        <f t="shared" si="8"/>
        <v>0</v>
      </c>
      <c r="K133" s="36">
        <f>IF(('Raw Data'!I134-16384)/32768&lt;0,0,('Raw Data'!I134-16384)/32768)</f>
        <v>0</v>
      </c>
      <c r="L133" s="4">
        <f>IF(('Raw Data'!J134-12010)/45.6=-263.377192982456,0,('Raw Data'!J134-12010)/45.6)</f>
        <v>0</v>
      </c>
      <c r="M133" s="16">
        <f>'Raw Data'!N134*2^-8</f>
        <v>0</v>
      </c>
      <c r="N133" s="16">
        <f>'Raw Data'!O134*2^-8</f>
        <v>0</v>
      </c>
      <c r="O133" s="17" t="str">
        <f>IF(BITWISE_AND('Raw Data'!$K134, 8192),"X","")</f>
        <v/>
      </c>
      <c r="P133" s="17" t="str">
        <f>IF(BITWISE_AND('Raw Data'!$K134, 2048),"X","")</f>
        <v/>
      </c>
      <c r="Q133" s="17" t="str">
        <f>IF(BITWISE_AND('Raw Data'!$K134, 64),"X","")</f>
        <v/>
      </c>
      <c r="R133" s="18" t="str">
        <f>IF(BITWISE_AND('Raw Data'!$L134, 1024),"X","")</f>
        <v/>
      </c>
      <c r="S133" s="18" t="str">
        <f>IF(BITWISE_AND('Raw Data'!$L134, 512),"X","")</f>
        <v/>
      </c>
      <c r="T133" s="18" t="str">
        <f>IF(BITWISE_AND('Raw Data'!$L134, 256),"X","")</f>
        <v/>
      </c>
      <c r="U133" s="18" t="str">
        <f>IF(BITWISE_AND('Raw Data'!$L134, 64),"X","")</f>
        <v/>
      </c>
      <c r="V133" s="18" t="str">
        <f>IF(BITWISE_AND('Raw Data'!$L134, 2),"X","")</f>
        <v/>
      </c>
      <c r="W133" s="18" t="str">
        <f>IF(BITWISE_AND('Raw Data'!$L134, 1),"X","")</f>
        <v/>
      </c>
      <c r="X133" s="19" t="str">
        <f>IF(BITWISE_AND('Raw Data'!M134, 1),"Bat Voltage", IF(BITWISE_AND('Raw Data'!M134, 2), "Charge Current", IF(BITWISE_AND('Raw Data'!M134, 4),"Input Ilim", IF(BITWISE_AND('Raw Data'!M134, 8), "Input UV", "none"))))</f>
        <v>none</v>
      </c>
    </row>
    <row r="134" spans="1:24" x14ac:dyDescent="0.2">
      <c r="A134" s="15">
        <f>A133+TIME(0,0,'Raw Data'!B134)</f>
        <v>0</v>
      </c>
      <c r="B134" s="4">
        <f>'Raw Data'!C135*0.025</f>
        <v>0</v>
      </c>
      <c r="C134" s="4">
        <f t="shared" si="6"/>
        <v>0</v>
      </c>
      <c r="D134" s="4">
        <f>'Raw Data'!D135*0.025</f>
        <v>0</v>
      </c>
      <c r="E134" s="4">
        <f t="shared" si="7"/>
        <v>0</v>
      </c>
      <c r="F134" s="4">
        <f>'Raw Data'!E135*0.001648</f>
        <v>0</v>
      </c>
      <c r="G134" s="4">
        <f>'Raw Data'!F135*0.001648</f>
        <v>0</v>
      </c>
      <c r="H134" s="4">
        <f>'Raw Data'!G135*6*0.000128176</f>
        <v>0</v>
      </c>
      <c r="I134" s="4">
        <f>'Raw Data'!H135*0.000732435</f>
        <v>0</v>
      </c>
      <c r="J134" s="4">
        <f t="shared" si="8"/>
        <v>0</v>
      </c>
      <c r="K134" s="36">
        <f>IF(('Raw Data'!I135-16384)/32768&lt;0,0,('Raw Data'!I135-16384)/32768)</f>
        <v>0</v>
      </c>
      <c r="L134" s="4">
        <f>IF(('Raw Data'!J135-12010)/45.6=-263.377192982456,0,('Raw Data'!J135-12010)/45.6)</f>
        <v>0</v>
      </c>
      <c r="M134" s="16">
        <f>'Raw Data'!N135*2^-8</f>
        <v>0</v>
      </c>
      <c r="N134" s="16">
        <f>'Raw Data'!O135*2^-8</f>
        <v>0</v>
      </c>
      <c r="O134" s="17" t="str">
        <f>IF(BITWISE_AND('Raw Data'!$K135, 8192),"X","")</f>
        <v/>
      </c>
      <c r="P134" s="17" t="str">
        <f>IF(BITWISE_AND('Raw Data'!$K135, 2048),"X","")</f>
        <v/>
      </c>
      <c r="Q134" s="17" t="str">
        <f>IF(BITWISE_AND('Raw Data'!$K135, 64),"X","")</f>
        <v/>
      </c>
      <c r="R134" s="18" t="str">
        <f>IF(BITWISE_AND('Raw Data'!$L135, 1024),"X","")</f>
        <v/>
      </c>
      <c r="S134" s="18" t="str">
        <f>IF(BITWISE_AND('Raw Data'!$L135, 512),"X","")</f>
        <v/>
      </c>
      <c r="T134" s="18" t="str">
        <f>IF(BITWISE_AND('Raw Data'!$L135, 256),"X","")</f>
        <v/>
      </c>
      <c r="U134" s="18" t="str">
        <f>IF(BITWISE_AND('Raw Data'!$L135, 64),"X","")</f>
        <v/>
      </c>
      <c r="V134" s="18" t="str">
        <f>IF(BITWISE_AND('Raw Data'!$L135, 2),"X","")</f>
        <v/>
      </c>
      <c r="W134" s="18" t="str">
        <f>IF(BITWISE_AND('Raw Data'!$L135, 1),"X","")</f>
        <v/>
      </c>
      <c r="X134" s="19" t="str">
        <f>IF(BITWISE_AND('Raw Data'!M135, 1),"Bat Voltage", IF(BITWISE_AND('Raw Data'!M135, 2), "Charge Current", IF(BITWISE_AND('Raw Data'!M135, 4),"Input Ilim", IF(BITWISE_AND('Raw Data'!M135, 8), "Input UV", "none"))))</f>
        <v>none</v>
      </c>
    </row>
    <row r="135" spans="1:24" x14ac:dyDescent="0.2">
      <c r="A135" s="15">
        <f>A134+TIME(0,0,'Raw Data'!B135)</f>
        <v>0</v>
      </c>
      <c r="B135" s="4">
        <f>'Raw Data'!C136*0.025</f>
        <v>0</v>
      </c>
      <c r="C135" s="4">
        <f t="shared" si="6"/>
        <v>0</v>
      </c>
      <c r="D135" s="4">
        <f>'Raw Data'!D136*0.025</f>
        <v>0</v>
      </c>
      <c r="E135" s="4">
        <f t="shared" si="7"/>
        <v>0</v>
      </c>
      <c r="F135" s="4">
        <f>'Raw Data'!E136*0.001648</f>
        <v>0</v>
      </c>
      <c r="G135" s="4">
        <f>'Raw Data'!F136*0.001648</f>
        <v>0</v>
      </c>
      <c r="H135" s="4">
        <f>'Raw Data'!G136*6*0.000128176</f>
        <v>0</v>
      </c>
      <c r="I135" s="4">
        <f>'Raw Data'!H136*0.000732435</f>
        <v>0</v>
      </c>
      <c r="J135" s="4">
        <f t="shared" si="8"/>
        <v>0</v>
      </c>
      <c r="K135" s="36">
        <f>IF(('Raw Data'!I136-16384)/32768&lt;0,0,('Raw Data'!I136-16384)/32768)</f>
        <v>0</v>
      </c>
      <c r="L135" s="4">
        <f>IF(('Raw Data'!J136-12010)/45.6=-263.377192982456,0,('Raw Data'!J136-12010)/45.6)</f>
        <v>0</v>
      </c>
      <c r="M135" s="16">
        <f>'Raw Data'!N136*2^-8</f>
        <v>0</v>
      </c>
      <c r="N135" s="16">
        <f>'Raw Data'!O136*2^-8</f>
        <v>0</v>
      </c>
      <c r="O135" s="17" t="str">
        <f>IF(BITWISE_AND('Raw Data'!$K136, 8192),"X","")</f>
        <v/>
      </c>
      <c r="P135" s="17" t="str">
        <f>IF(BITWISE_AND('Raw Data'!$K136, 2048),"X","")</f>
        <v/>
      </c>
      <c r="Q135" s="17" t="str">
        <f>IF(BITWISE_AND('Raw Data'!$K136, 64),"X","")</f>
        <v/>
      </c>
      <c r="R135" s="18" t="str">
        <f>IF(BITWISE_AND('Raw Data'!$L136, 1024),"X","")</f>
        <v/>
      </c>
      <c r="S135" s="18" t="str">
        <f>IF(BITWISE_AND('Raw Data'!$L136, 512),"X","")</f>
        <v/>
      </c>
      <c r="T135" s="18" t="str">
        <f>IF(BITWISE_AND('Raw Data'!$L136, 256),"X","")</f>
        <v/>
      </c>
      <c r="U135" s="18" t="str">
        <f>IF(BITWISE_AND('Raw Data'!$L136, 64),"X","")</f>
        <v/>
      </c>
      <c r="V135" s="18" t="str">
        <f>IF(BITWISE_AND('Raw Data'!$L136, 2),"X","")</f>
        <v/>
      </c>
      <c r="W135" s="18" t="str">
        <f>IF(BITWISE_AND('Raw Data'!$L136, 1),"X","")</f>
        <v/>
      </c>
      <c r="X135" s="19" t="str">
        <f>IF(BITWISE_AND('Raw Data'!M136, 1),"Bat Voltage", IF(BITWISE_AND('Raw Data'!M136, 2), "Charge Current", IF(BITWISE_AND('Raw Data'!M136, 4),"Input Ilim", IF(BITWISE_AND('Raw Data'!M136, 8), "Input UV", "none"))))</f>
        <v>none</v>
      </c>
    </row>
    <row r="136" spans="1:24" x14ac:dyDescent="0.2">
      <c r="A136" s="15">
        <f>A135+TIME(0,0,'Raw Data'!B136)</f>
        <v>0</v>
      </c>
      <c r="B136" s="4">
        <f>'Raw Data'!C137*0.025</f>
        <v>0</v>
      </c>
      <c r="C136" s="4">
        <f t="shared" si="6"/>
        <v>0</v>
      </c>
      <c r="D136" s="4">
        <f>'Raw Data'!D137*0.025</f>
        <v>0</v>
      </c>
      <c r="E136" s="4">
        <f t="shared" si="7"/>
        <v>0</v>
      </c>
      <c r="F136" s="4">
        <f>'Raw Data'!E137*0.001648</f>
        <v>0</v>
      </c>
      <c r="G136" s="4">
        <f>'Raw Data'!F137*0.001648</f>
        <v>0</v>
      </c>
      <c r="H136" s="4">
        <f>'Raw Data'!G137*6*0.000128176</f>
        <v>0</v>
      </c>
      <c r="I136" s="4">
        <f>'Raw Data'!H137*0.000732435</f>
        <v>0</v>
      </c>
      <c r="J136" s="4">
        <f t="shared" si="8"/>
        <v>0</v>
      </c>
      <c r="K136" s="36">
        <f>IF(('Raw Data'!I137-16384)/32768&lt;0,0,('Raw Data'!I137-16384)/32768)</f>
        <v>0</v>
      </c>
      <c r="L136" s="4">
        <f>IF(('Raw Data'!J137-12010)/45.6=-263.377192982456,0,('Raw Data'!J137-12010)/45.6)</f>
        <v>0</v>
      </c>
      <c r="M136" s="16">
        <f>'Raw Data'!N137*2^-8</f>
        <v>0</v>
      </c>
      <c r="N136" s="16">
        <f>'Raw Data'!O137*2^-8</f>
        <v>0</v>
      </c>
      <c r="O136" s="17" t="str">
        <f>IF(BITWISE_AND('Raw Data'!$K137, 8192),"X","")</f>
        <v/>
      </c>
      <c r="P136" s="17" t="str">
        <f>IF(BITWISE_AND('Raw Data'!$K137, 2048),"X","")</f>
        <v/>
      </c>
      <c r="Q136" s="17" t="str">
        <f>IF(BITWISE_AND('Raw Data'!$K137, 64),"X","")</f>
        <v/>
      </c>
      <c r="R136" s="18" t="str">
        <f>IF(BITWISE_AND('Raw Data'!$L137, 1024),"X","")</f>
        <v/>
      </c>
      <c r="S136" s="18" t="str">
        <f>IF(BITWISE_AND('Raw Data'!$L137, 512),"X","")</f>
        <v/>
      </c>
      <c r="T136" s="18" t="str">
        <f>IF(BITWISE_AND('Raw Data'!$L137, 256),"X","")</f>
        <v/>
      </c>
      <c r="U136" s="18" t="str">
        <f>IF(BITWISE_AND('Raw Data'!$L137, 64),"X","")</f>
        <v/>
      </c>
      <c r="V136" s="18" t="str">
        <f>IF(BITWISE_AND('Raw Data'!$L137, 2),"X","")</f>
        <v/>
      </c>
      <c r="W136" s="18" t="str">
        <f>IF(BITWISE_AND('Raw Data'!$L137, 1),"X","")</f>
        <v/>
      </c>
      <c r="X136" s="19" t="str">
        <f>IF(BITWISE_AND('Raw Data'!M137, 1),"Bat Voltage", IF(BITWISE_AND('Raw Data'!M137, 2), "Charge Current", IF(BITWISE_AND('Raw Data'!M137, 4),"Input Ilim", IF(BITWISE_AND('Raw Data'!M137, 8), "Input UV", "none"))))</f>
        <v>none</v>
      </c>
    </row>
    <row r="137" spans="1:24" x14ac:dyDescent="0.2">
      <c r="A137" s="15">
        <f>A136+TIME(0,0,'Raw Data'!B137)</f>
        <v>0</v>
      </c>
      <c r="B137" s="4">
        <f>'Raw Data'!C138*0.025</f>
        <v>0</v>
      </c>
      <c r="C137" s="4">
        <f t="shared" si="6"/>
        <v>0</v>
      </c>
      <c r="D137" s="4">
        <f>'Raw Data'!D138*0.025</f>
        <v>0</v>
      </c>
      <c r="E137" s="4">
        <f t="shared" si="7"/>
        <v>0</v>
      </c>
      <c r="F137" s="4">
        <f>'Raw Data'!E138*0.001648</f>
        <v>0</v>
      </c>
      <c r="G137" s="4">
        <f>'Raw Data'!F138*0.001648</f>
        <v>0</v>
      </c>
      <c r="H137" s="4">
        <f>'Raw Data'!G138*6*0.000128176</f>
        <v>0</v>
      </c>
      <c r="I137" s="4">
        <f>'Raw Data'!H138*0.000732435</f>
        <v>0</v>
      </c>
      <c r="J137" s="4">
        <f t="shared" si="8"/>
        <v>0</v>
      </c>
      <c r="K137" s="36">
        <f>IF(('Raw Data'!I138-16384)/32768&lt;0,0,('Raw Data'!I138-16384)/32768)</f>
        <v>0</v>
      </c>
      <c r="L137" s="4">
        <f>IF(('Raw Data'!J138-12010)/45.6=-263.377192982456,0,('Raw Data'!J138-12010)/45.6)</f>
        <v>0</v>
      </c>
      <c r="M137" s="16">
        <f>'Raw Data'!N138*2^-8</f>
        <v>0</v>
      </c>
      <c r="N137" s="16">
        <f>'Raw Data'!O138*2^-8</f>
        <v>0</v>
      </c>
      <c r="O137" s="17" t="str">
        <f>IF(BITWISE_AND('Raw Data'!$K138, 8192),"X","")</f>
        <v/>
      </c>
      <c r="P137" s="17" t="str">
        <f>IF(BITWISE_AND('Raw Data'!$K138, 2048),"X","")</f>
        <v/>
      </c>
      <c r="Q137" s="17" t="str">
        <f>IF(BITWISE_AND('Raw Data'!$K138, 64),"X","")</f>
        <v/>
      </c>
      <c r="R137" s="18" t="str">
        <f>IF(BITWISE_AND('Raw Data'!$L138, 1024),"X","")</f>
        <v/>
      </c>
      <c r="S137" s="18" t="str">
        <f>IF(BITWISE_AND('Raw Data'!$L138, 512),"X","")</f>
        <v/>
      </c>
      <c r="T137" s="18" t="str">
        <f>IF(BITWISE_AND('Raw Data'!$L138, 256),"X","")</f>
        <v/>
      </c>
      <c r="U137" s="18" t="str">
        <f>IF(BITWISE_AND('Raw Data'!$L138, 64),"X","")</f>
        <v/>
      </c>
      <c r="V137" s="18" t="str">
        <f>IF(BITWISE_AND('Raw Data'!$L138, 2),"X","")</f>
        <v/>
      </c>
      <c r="W137" s="18" t="str">
        <f>IF(BITWISE_AND('Raw Data'!$L138, 1),"X","")</f>
        <v/>
      </c>
      <c r="X137" s="19" t="str">
        <f>IF(BITWISE_AND('Raw Data'!M138, 1),"Bat Voltage", IF(BITWISE_AND('Raw Data'!M138, 2), "Charge Current", IF(BITWISE_AND('Raw Data'!M138, 4),"Input Ilim", IF(BITWISE_AND('Raw Data'!M138, 8), "Input UV", "none"))))</f>
        <v>none</v>
      </c>
    </row>
    <row r="138" spans="1:24" x14ac:dyDescent="0.2">
      <c r="A138" s="15">
        <f>A137+TIME(0,0,'Raw Data'!B138)</f>
        <v>0</v>
      </c>
      <c r="B138" s="4">
        <f>'Raw Data'!C139*0.025</f>
        <v>0</v>
      </c>
      <c r="C138" s="4">
        <f t="shared" si="6"/>
        <v>0</v>
      </c>
      <c r="D138" s="4">
        <f>'Raw Data'!D139*0.025</f>
        <v>0</v>
      </c>
      <c r="E138" s="4">
        <f t="shared" si="7"/>
        <v>0</v>
      </c>
      <c r="F138" s="4">
        <f>'Raw Data'!E139*0.001648</f>
        <v>0</v>
      </c>
      <c r="G138" s="4">
        <f>'Raw Data'!F139*0.001648</f>
        <v>0</v>
      </c>
      <c r="H138" s="4">
        <f>'Raw Data'!G139*6*0.000128176</f>
        <v>0</v>
      </c>
      <c r="I138" s="4">
        <f>'Raw Data'!H139*0.000732435</f>
        <v>0</v>
      </c>
      <c r="J138" s="4">
        <f t="shared" si="8"/>
        <v>0</v>
      </c>
      <c r="K138" s="36">
        <f>IF(('Raw Data'!I139-16384)/32768&lt;0,0,('Raw Data'!I139-16384)/32768)</f>
        <v>0</v>
      </c>
      <c r="L138" s="4">
        <f>IF(('Raw Data'!J139-12010)/45.6=-263.377192982456,0,('Raw Data'!J139-12010)/45.6)</f>
        <v>0</v>
      </c>
      <c r="M138" s="16">
        <f>'Raw Data'!N139*2^-8</f>
        <v>0</v>
      </c>
      <c r="N138" s="16">
        <f>'Raw Data'!O139*2^-8</f>
        <v>0</v>
      </c>
      <c r="O138" s="17" t="str">
        <f>IF(BITWISE_AND('Raw Data'!$K139, 8192),"X","")</f>
        <v/>
      </c>
      <c r="P138" s="17" t="str">
        <f>IF(BITWISE_AND('Raw Data'!$K139, 2048),"X","")</f>
        <v/>
      </c>
      <c r="Q138" s="17" t="str">
        <f>IF(BITWISE_AND('Raw Data'!$K139, 64),"X","")</f>
        <v/>
      </c>
      <c r="R138" s="18" t="str">
        <f>IF(BITWISE_AND('Raw Data'!$L139, 1024),"X","")</f>
        <v/>
      </c>
      <c r="S138" s="18" t="str">
        <f>IF(BITWISE_AND('Raw Data'!$L139, 512),"X","")</f>
        <v/>
      </c>
      <c r="T138" s="18" t="str">
        <f>IF(BITWISE_AND('Raw Data'!$L139, 256),"X","")</f>
        <v/>
      </c>
      <c r="U138" s="18" t="str">
        <f>IF(BITWISE_AND('Raw Data'!$L139, 64),"X","")</f>
        <v/>
      </c>
      <c r="V138" s="18" t="str">
        <f>IF(BITWISE_AND('Raw Data'!$L139, 2),"X","")</f>
        <v/>
      </c>
      <c r="W138" s="18" t="str">
        <f>IF(BITWISE_AND('Raw Data'!$L139, 1),"X","")</f>
        <v/>
      </c>
      <c r="X138" s="19" t="str">
        <f>IF(BITWISE_AND('Raw Data'!M139, 1),"Bat Voltage", IF(BITWISE_AND('Raw Data'!M139, 2), "Charge Current", IF(BITWISE_AND('Raw Data'!M139, 4),"Input Ilim", IF(BITWISE_AND('Raw Data'!M139, 8), "Input UV", "none"))))</f>
        <v>none</v>
      </c>
    </row>
    <row r="139" spans="1:24" x14ac:dyDescent="0.2">
      <c r="A139" s="15">
        <f>A138+TIME(0,0,'Raw Data'!B139)</f>
        <v>0</v>
      </c>
      <c r="B139" s="4">
        <f>'Raw Data'!C140*0.025</f>
        <v>0</v>
      </c>
      <c r="C139" s="4">
        <f t="shared" si="6"/>
        <v>0</v>
      </c>
      <c r="D139" s="4">
        <f>'Raw Data'!D140*0.025</f>
        <v>0</v>
      </c>
      <c r="E139" s="4">
        <f t="shared" si="7"/>
        <v>0</v>
      </c>
      <c r="F139" s="4">
        <f>'Raw Data'!E140*0.001648</f>
        <v>0</v>
      </c>
      <c r="G139" s="4">
        <f>'Raw Data'!F140*0.001648</f>
        <v>0</v>
      </c>
      <c r="H139" s="4">
        <f>'Raw Data'!G140*6*0.000128176</f>
        <v>0</v>
      </c>
      <c r="I139" s="4">
        <f>'Raw Data'!H140*0.000732435</f>
        <v>0</v>
      </c>
      <c r="J139" s="4">
        <f t="shared" si="8"/>
        <v>0</v>
      </c>
      <c r="K139" s="36">
        <f>IF(('Raw Data'!I140-16384)/32768&lt;0,0,('Raw Data'!I140-16384)/32768)</f>
        <v>0</v>
      </c>
      <c r="L139" s="4">
        <f>IF(('Raw Data'!J140-12010)/45.6=-263.377192982456,0,('Raw Data'!J140-12010)/45.6)</f>
        <v>0</v>
      </c>
      <c r="M139" s="16">
        <f>'Raw Data'!N140*2^-8</f>
        <v>0</v>
      </c>
      <c r="N139" s="16">
        <f>'Raw Data'!O140*2^-8</f>
        <v>0</v>
      </c>
      <c r="O139" s="17" t="str">
        <f>IF(BITWISE_AND('Raw Data'!$K140, 8192),"X","")</f>
        <v/>
      </c>
      <c r="P139" s="17" t="str">
        <f>IF(BITWISE_AND('Raw Data'!$K140, 2048),"X","")</f>
        <v/>
      </c>
      <c r="Q139" s="17" t="str">
        <f>IF(BITWISE_AND('Raw Data'!$K140, 64),"X","")</f>
        <v/>
      </c>
      <c r="R139" s="18" t="str">
        <f>IF(BITWISE_AND('Raw Data'!$L140, 1024),"X","")</f>
        <v/>
      </c>
      <c r="S139" s="18" t="str">
        <f>IF(BITWISE_AND('Raw Data'!$L140, 512),"X","")</f>
        <v/>
      </c>
      <c r="T139" s="18" t="str">
        <f>IF(BITWISE_AND('Raw Data'!$L140, 256),"X","")</f>
        <v/>
      </c>
      <c r="U139" s="18" t="str">
        <f>IF(BITWISE_AND('Raw Data'!$L140, 64),"X","")</f>
        <v/>
      </c>
      <c r="V139" s="18" t="str">
        <f>IF(BITWISE_AND('Raw Data'!$L140, 2),"X","")</f>
        <v/>
      </c>
      <c r="W139" s="18" t="str">
        <f>IF(BITWISE_AND('Raw Data'!$L140, 1),"X","")</f>
        <v/>
      </c>
      <c r="X139" s="19" t="str">
        <f>IF(BITWISE_AND('Raw Data'!M140, 1),"Bat Voltage", IF(BITWISE_AND('Raw Data'!M140, 2), "Charge Current", IF(BITWISE_AND('Raw Data'!M140, 4),"Input Ilim", IF(BITWISE_AND('Raw Data'!M140, 8), "Input UV", "none"))))</f>
        <v>none</v>
      </c>
    </row>
    <row r="140" spans="1:24" x14ac:dyDescent="0.2">
      <c r="A140" s="15">
        <f>A139+TIME(0,0,'Raw Data'!B140)</f>
        <v>0</v>
      </c>
      <c r="B140" s="4">
        <f>'Raw Data'!C141*0.025</f>
        <v>0</v>
      </c>
      <c r="C140" s="4">
        <f t="shared" si="6"/>
        <v>0</v>
      </c>
      <c r="D140" s="4">
        <f>'Raw Data'!D141*0.025</f>
        <v>0</v>
      </c>
      <c r="E140" s="4">
        <f t="shared" si="7"/>
        <v>0</v>
      </c>
      <c r="F140" s="4">
        <f>'Raw Data'!E141*0.001648</f>
        <v>0</v>
      </c>
      <c r="G140" s="4">
        <f>'Raw Data'!F141*0.001648</f>
        <v>0</v>
      </c>
      <c r="H140" s="4">
        <f>'Raw Data'!G141*6*0.000128176</f>
        <v>0</v>
      </c>
      <c r="I140" s="4">
        <f>'Raw Data'!H141*0.000732435</f>
        <v>0</v>
      </c>
      <c r="J140" s="4">
        <f t="shared" si="8"/>
        <v>0</v>
      </c>
      <c r="K140" s="36">
        <f>IF(('Raw Data'!I141-16384)/32768&lt;0,0,('Raw Data'!I141-16384)/32768)</f>
        <v>0</v>
      </c>
      <c r="L140" s="4">
        <f>IF(('Raw Data'!J141-12010)/45.6=-263.377192982456,0,('Raw Data'!J141-12010)/45.6)</f>
        <v>0</v>
      </c>
      <c r="M140" s="16">
        <f>'Raw Data'!N141*2^-8</f>
        <v>0</v>
      </c>
      <c r="N140" s="16">
        <f>'Raw Data'!O141*2^-8</f>
        <v>0</v>
      </c>
      <c r="O140" s="17" t="str">
        <f>IF(BITWISE_AND('Raw Data'!$K141, 8192),"X","")</f>
        <v/>
      </c>
      <c r="P140" s="17" t="str">
        <f>IF(BITWISE_AND('Raw Data'!$K141, 2048),"X","")</f>
        <v/>
      </c>
      <c r="Q140" s="17" t="str">
        <f>IF(BITWISE_AND('Raw Data'!$K141, 64),"X","")</f>
        <v/>
      </c>
      <c r="R140" s="18" t="str">
        <f>IF(BITWISE_AND('Raw Data'!$L141, 1024),"X","")</f>
        <v/>
      </c>
      <c r="S140" s="18" t="str">
        <f>IF(BITWISE_AND('Raw Data'!$L141, 512),"X","")</f>
        <v/>
      </c>
      <c r="T140" s="18" t="str">
        <f>IF(BITWISE_AND('Raw Data'!$L141, 256),"X","")</f>
        <v/>
      </c>
      <c r="U140" s="18" t="str">
        <f>IF(BITWISE_AND('Raw Data'!$L141, 64),"X","")</f>
        <v/>
      </c>
      <c r="V140" s="18" t="str">
        <f>IF(BITWISE_AND('Raw Data'!$L141, 2),"X","")</f>
        <v/>
      </c>
      <c r="W140" s="18" t="str">
        <f>IF(BITWISE_AND('Raw Data'!$L141, 1),"X","")</f>
        <v/>
      </c>
      <c r="X140" s="19" t="str">
        <f>IF(BITWISE_AND('Raw Data'!M141, 1),"Bat Voltage", IF(BITWISE_AND('Raw Data'!M141, 2), "Charge Current", IF(BITWISE_AND('Raw Data'!M141, 4),"Input Ilim", IF(BITWISE_AND('Raw Data'!M141, 8), "Input UV", "none"))))</f>
        <v>none</v>
      </c>
    </row>
    <row r="141" spans="1:24" x14ac:dyDescent="0.2">
      <c r="A141" s="15">
        <f>A140+TIME(0,0,'Raw Data'!B141)</f>
        <v>0</v>
      </c>
      <c r="B141" s="4">
        <f>'Raw Data'!C142*0.025</f>
        <v>0</v>
      </c>
      <c r="C141" s="4">
        <f t="shared" si="6"/>
        <v>0</v>
      </c>
      <c r="D141" s="4">
        <f>'Raw Data'!D142*0.025</f>
        <v>0</v>
      </c>
      <c r="E141" s="4">
        <f t="shared" si="7"/>
        <v>0</v>
      </c>
      <c r="F141" s="4">
        <f>'Raw Data'!E142*0.001648</f>
        <v>0</v>
      </c>
      <c r="G141" s="4">
        <f>'Raw Data'!F142*0.001648</f>
        <v>0</v>
      </c>
      <c r="H141" s="4">
        <f>'Raw Data'!G142*6*0.000128176</f>
        <v>0</v>
      </c>
      <c r="I141" s="4">
        <f>'Raw Data'!H142*0.000732435</f>
        <v>0</v>
      </c>
      <c r="J141" s="4">
        <f t="shared" si="8"/>
        <v>0</v>
      </c>
      <c r="K141" s="36">
        <f>IF(('Raw Data'!I142-16384)/32768&lt;0,0,('Raw Data'!I142-16384)/32768)</f>
        <v>0</v>
      </c>
      <c r="L141" s="4">
        <f>IF(('Raw Data'!J142-12010)/45.6=-263.377192982456,0,('Raw Data'!J142-12010)/45.6)</f>
        <v>0</v>
      </c>
      <c r="M141" s="16">
        <f>'Raw Data'!N142*2^-8</f>
        <v>0</v>
      </c>
      <c r="N141" s="16">
        <f>'Raw Data'!O142*2^-8</f>
        <v>0</v>
      </c>
      <c r="O141" s="17" t="str">
        <f>IF(BITWISE_AND('Raw Data'!$K142, 8192),"X","")</f>
        <v/>
      </c>
      <c r="P141" s="17" t="str">
        <f>IF(BITWISE_AND('Raw Data'!$K142, 2048),"X","")</f>
        <v/>
      </c>
      <c r="Q141" s="17" t="str">
        <f>IF(BITWISE_AND('Raw Data'!$K142, 64),"X","")</f>
        <v/>
      </c>
      <c r="R141" s="18" t="str">
        <f>IF(BITWISE_AND('Raw Data'!$L142, 1024),"X","")</f>
        <v/>
      </c>
      <c r="S141" s="18" t="str">
        <f>IF(BITWISE_AND('Raw Data'!$L142, 512),"X","")</f>
        <v/>
      </c>
      <c r="T141" s="18" t="str">
        <f>IF(BITWISE_AND('Raw Data'!$L142, 256),"X","")</f>
        <v/>
      </c>
      <c r="U141" s="18" t="str">
        <f>IF(BITWISE_AND('Raw Data'!$L142, 64),"X","")</f>
        <v/>
      </c>
      <c r="V141" s="18" t="str">
        <f>IF(BITWISE_AND('Raw Data'!$L142, 2),"X","")</f>
        <v/>
      </c>
      <c r="W141" s="18" t="str">
        <f>IF(BITWISE_AND('Raw Data'!$L142, 1),"X","")</f>
        <v/>
      </c>
      <c r="X141" s="19" t="str">
        <f>IF(BITWISE_AND('Raw Data'!M142, 1),"Bat Voltage", IF(BITWISE_AND('Raw Data'!M142, 2), "Charge Current", IF(BITWISE_AND('Raw Data'!M142, 4),"Input Ilim", IF(BITWISE_AND('Raw Data'!M142, 8), "Input UV", "none"))))</f>
        <v>none</v>
      </c>
    </row>
    <row r="142" spans="1:24" x14ac:dyDescent="0.2">
      <c r="A142" s="15">
        <f>A141+TIME(0,0,'Raw Data'!B142)</f>
        <v>0</v>
      </c>
      <c r="B142" s="4">
        <f>'Raw Data'!C143*0.025</f>
        <v>0</v>
      </c>
      <c r="C142" s="4">
        <f t="shared" si="6"/>
        <v>0</v>
      </c>
      <c r="D142" s="4">
        <f>'Raw Data'!D143*0.025</f>
        <v>0</v>
      </c>
      <c r="E142" s="4">
        <f t="shared" si="7"/>
        <v>0</v>
      </c>
      <c r="F142" s="4">
        <f>'Raw Data'!E143*0.001648</f>
        <v>0</v>
      </c>
      <c r="G142" s="4">
        <f>'Raw Data'!F143*0.001648</f>
        <v>0</v>
      </c>
      <c r="H142" s="4">
        <f>'Raw Data'!G143*6*0.000128176</f>
        <v>0</v>
      </c>
      <c r="I142" s="4">
        <f>'Raw Data'!H143*0.000732435</f>
        <v>0</v>
      </c>
      <c r="J142" s="4">
        <f t="shared" si="8"/>
        <v>0</v>
      </c>
      <c r="K142" s="36">
        <f>IF(('Raw Data'!I143-16384)/32768&lt;0,0,('Raw Data'!I143-16384)/32768)</f>
        <v>0</v>
      </c>
      <c r="L142" s="4">
        <f>IF(('Raw Data'!J143-12010)/45.6=-263.377192982456,0,('Raw Data'!J143-12010)/45.6)</f>
        <v>0</v>
      </c>
      <c r="M142" s="16">
        <f>'Raw Data'!N143*2^-8</f>
        <v>0</v>
      </c>
      <c r="N142" s="16">
        <f>'Raw Data'!O143*2^-8</f>
        <v>0</v>
      </c>
      <c r="O142" s="17" t="str">
        <f>IF(BITWISE_AND('Raw Data'!$K143, 8192),"X","")</f>
        <v/>
      </c>
      <c r="P142" s="17" t="str">
        <f>IF(BITWISE_AND('Raw Data'!$K143, 2048),"X","")</f>
        <v/>
      </c>
      <c r="Q142" s="17" t="str">
        <f>IF(BITWISE_AND('Raw Data'!$K143, 64),"X","")</f>
        <v/>
      </c>
      <c r="R142" s="18" t="str">
        <f>IF(BITWISE_AND('Raw Data'!$L143, 1024),"X","")</f>
        <v/>
      </c>
      <c r="S142" s="18" t="str">
        <f>IF(BITWISE_AND('Raw Data'!$L143, 512),"X","")</f>
        <v/>
      </c>
      <c r="T142" s="18" t="str">
        <f>IF(BITWISE_AND('Raw Data'!$L143, 256),"X","")</f>
        <v/>
      </c>
      <c r="U142" s="18" t="str">
        <f>IF(BITWISE_AND('Raw Data'!$L143, 64),"X","")</f>
        <v/>
      </c>
      <c r="V142" s="18" t="str">
        <f>IF(BITWISE_AND('Raw Data'!$L143, 2),"X","")</f>
        <v/>
      </c>
      <c r="W142" s="18" t="str">
        <f>IF(BITWISE_AND('Raw Data'!$L143, 1),"X","")</f>
        <v/>
      </c>
      <c r="X142" s="19" t="str">
        <f>IF(BITWISE_AND('Raw Data'!M143, 1),"Bat Voltage", IF(BITWISE_AND('Raw Data'!M143, 2), "Charge Current", IF(BITWISE_AND('Raw Data'!M143, 4),"Input Ilim", IF(BITWISE_AND('Raw Data'!M143, 8), "Input UV", "none"))))</f>
        <v>none</v>
      </c>
    </row>
    <row r="143" spans="1:24" x14ac:dyDescent="0.2">
      <c r="A143" s="15">
        <f>A142+TIME(0,0,'Raw Data'!B143)</f>
        <v>0</v>
      </c>
      <c r="B143" s="4">
        <f>'Raw Data'!C144*0.025</f>
        <v>0</v>
      </c>
      <c r="C143" s="4">
        <f t="shared" si="6"/>
        <v>0</v>
      </c>
      <c r="D143" s="4">
        <f>'Raw Data'!D144*0.025</f>
        <v>0</v>
      </c>
      <c r="E143" s="4">
        <f t="shared" si="7"/>
        <v>0</v>
      </c>
      <c r="F143" s="4">
        <f>'Raw Data'!E144*0.001648</f>
        <v>0</v>
      </c>
      <c r="G143" s="4">
        <f>'Raw Data'!F144*0.001648</f>
        <v>0</v>
      </c>
      <c r="H143" s="4">
        <f>'Raw Data'!G144*6*0.000128176</f>
        <v>0</v>
      </c>
      <c r="I143" s="4">
        <f>'Raw Data'!H144*0.000732435</f>
        <v>0</v>
      </c>
      <c r="J143" s="4">
        <f t="shared" si="8"/>
        <v>0</v>
      </c>
      <c r="K143" s="36">
        <f>IF(('Raw Data'!I144-16384)/32768&lt;0,0,('Raw Data'!I144-16384)/32768)</f>
        <v>0</v>
      </c>
      <c r="L143" s="4">
        <f>IF(('Raw Data'!J144-12010)/45.6=-263.377192982456,0,('Raw Data'!J144-12010)/45.6)</f>
        <v>0</v>
      </c>
      <c r="M143" s="16">
        <f>'Raw Data'!N144*2^-8</f>
        <v>0</v>
      </c>
      <c r="N143" s="16">
        <f>'Raw Data'!O144*2^-8</f>
        <v>0</v>
      </c>
      <c r="O143" s="17" t="str">
        <f>IF(BITWISE_AND('Raw Data'!$K144, 8192),"X","")</f>
        <v/>
      </c>
      <c r="P143" s="17" t="str">
        <f>IF(BITWISE_AND('Raw Data'!$K144, 2048),"X","")</f>
        <v/>
      </c>
      <c r="Q143" s="17" t="str">
        <f>IF(BITWISE_AND('Raw Data'!$K144, 64),"X","")</f>
        <v/>
      </c>
      <c r="R143" s="18" t="str">
        <f>IF(BITWISE_AND('Raw Data'!$L144, 1024),"X","")</f>
        <v/>
      </c>
      <c r="S143" s="18" t="str">
        <f>IF(BITWISE_AND('Raw Data'!$L144, 512),"X","")</f>
        <v/>
      </c>
      <c r="T143" s="18" t="str">
        <f>IF(BITWISE_AND('Raw Data'!$L144, 256),"X","")</f>
        <v/>
      </c>
      <c r="U143" s="18" t="str">
        <f>IF(BITWISE_AND('Raw Data'!$L144, 64),"X","")</f>
        <v/>
      </c>
      <c r="V143" s="18" t="str">
        <f>IF(BITWISE_AND('Raw Data'!$L144, 2),"X","")</f>
        <v/>
      </c>
      <c r="W143" s="18" t="str">
        <f>IF(BITWISE_AND('Raw Data'!$L144, 1),"X","")</f>
        <v/>
      </c>
      <c r="X143" s="19" t="str">
        <f>IF(BITWISE_AND('Raw Data'!M144, 1),"Bat Voltage", IF(BITWISE_AND('Raw Data'!M144, 2), "Charge Current", IF(BITWISE_AND('Raw Data'!M144, 4),"Input Ilim", IF(BITWISE_AND('Raw Data'!M144, 8), "Input UV", "none"))))</f>
        <v>none</v>
      </c>
    </row>
    <row r="144" spans="1:24" x14ac:dyDescent="0.2">
      <c r="A144" s="15">
        <f>A143+TIME(0,0,'Raw Data'!B144)</f>
        <v>0</v>
      </c>
      <c r="B144" s="4">
        <f>'Raw Data'!C145*0.025</f>
        <v>0</v>
      </c>
      <c r="C144" s="4">
        <f t="shared" si="6"/>
        <v>0</v>
      </c>
      <c r="D144" s="4">
        <f>'Raw Data'!D145*0.025</f>
        <v>0</v>
      </c>
      <c r="E144" s="4">
        <f t="shared" si="7"/>
        <v>0</v>
      </c>
      <c r="F144" s="4">
        <f>'Raw Data'!E145*0.001648</f>
        <v>0</v>
      </c>
      <c r="G144" s="4">
        <f>'Raw Data'!F145*0.001648</f>
        <v>0</v>
      </c>
      <c r="H144" s="4">
        <f>'Raw Data'!G145*6*0.000128176</f>
        <v>0</v>
      </c>
      <c r="I144" s="4">
        <f>'Raw Data'!H145*0.000732435</f>
        <v>0</v>
      </c>
      <c r="J144" s="4">
        <f t="shared" si="8"/>
        <v>0</v>
      </c>
      <c r="K144" s="36">
        <f>IF(('Raw Data'!I145-16384)/32768&lt;0,0,('Raw Data'!I145-16384)/32768)</f>
        <v>0</v>
      </c>
      <c r="L144" s="4">
        <f>IF(('Raw Data'!J145-12010)/45.6=-263.377192982456,0,('Raw Data'!J145-12010)/45.6)</f>
        <v>0</v>
      </c>
      <c r="M144" s="16">
        <f>'Raw Data'!N145*2^-8</f>
        <v>0</v>
      </c>
      <c r="N144" s="16">
        <f>'Raw Data'!O145*2^-8</f>
        <v>0</v>
      </c>
      <c r="O144" s="17" t="str">
        <f>IF(BITWISE_AND('Raw Data'!$K145, 8192),"X","")</f>
        <v/>
      </c>
      <c r="P144" s="17" t="str">
        <f>IF(BITWISE_AND('Raw Data'!$K145, 2048),"X","")</f>
        <v/>
      </c>
      <c r="Q144" s="17" t="str">
        <f>IF(BITWISE_AND('Raw Data'!$K145, 64),"X","")</f>
        <v/>
      </c>
      <c r="R144" s="18" t="str">
        <f>IF(BITWISE_AND('Raw Data'!$L145, 1024),"X","")</f>
        <v/>
      </c>
      <c r="S144" s="18" t="str">
        <f>IF(BITWISE_AND('Raw Data'!$L145, 512),"X","")</f>
        <v/>
      </c>
      <c r="T144" s="18" t="str">
        <f>IF(BITWISE_AND('Raw Data'!$L145, 256),"X","")</f>
        <v/>
      </c>
      <c r="U144" s="18" t="str">
        <f>IF(BITWISE_AND('Raw Data'!$L145, 64),"X","")</f>
        <v/>
      </c>
      <c r="V144" s="18" t="str">
        <f>IF(BITWISE_AND('Raw Data'!$L145, 2),"X","")</f>
        <v/>
      </c>
      <c r="W144" s="18" t="str">
        <f>IF(BITWISE_AND('Raw Data'!$L145, 1),"X","")</f>
        <v/>
      </c>
      <c r="X144" s="19" t="str">
        <f>IF(BITWISE_AND('Raw Data'!M145, 1),"Bat Voltage", IF(BITWISE_AND('Raw Data'!M145, 2), "Charge Current", IF(BITWISE_AND('Raw Data'!M145, 4),"Input Ilim", IF(BITWISE_AND('Raw Data'!M145, 8), "Input UV", "none"))))</f>
        <v>none</v>
      </c>
    </row>
    <row r="145" spans="1:24" x14ac:dyDescent="0.2">
      <c r="A145" s="15">
        <f>A144+TIME(0,0,'Raw Data'!B145)</f>
        <v>0</v>
      </c>
      <c r="B145" s="4">
        <f>'Raw Data'!C146*0.025</f>
        <v>0</v>
      </c>
      <c r="C145" s="4">
        <f t="shared" si="6"/>
        <v>0</v>
      </c>
      <c r="D145" s="4">
        <f>'Raw Data'!D146*0.025</f>
        <v>0</v>
      </c>
      <c r="E145" s="4">
        <f t="shared" si="7"/>
        <v>0</v>
      </c>
      <c r="F145" s="4">
        <f>'Raw Data'!E146*0.001648</f>
        <v>0</v>
      </c>
      <c r="G145" s="4">
        <f>'Raw Data'!F146*0.001648</f>
        <v>0</v>
      </c>
      <c r="H145" s="4">
        <f>'Raw Data'!G146*6*0.000128176</f>
        <v>0</v>
      </c>
      <c r="I145" s="4">
        <f>'Raw Data'!H146*0.000732435</f>
        <v>0</v>
      </c>
      <c r="J145" s="4">
        <f t="shared" si="8"/>
        <v>0</v>
      </c>
      <c r="K145" s="36">
        <f>IF(('Raw Data'!I146-16384)/32768&lt;0,0,('Raw Data'!I146-16384)/32768)</f>
        <v>0</v>
      </c>
      <c r="L145" s="4">
        <f>IF(('Raw Data'!J146-12010)/45.6=-263.377192982456,0,('Raw Data'!J146-12010)/45.6)</f>
        <v>0</v>
      </c>
      <c r="M145" s="16">
        <f>'Raw Data'!N146*2^-8</f>
        <v>0</v>
      </c>
      <c r="N145" s="16">
        <f>'Raw Data'!O146*2^-8</f>
        <v>0</v>
      </c>
      <c r="O145" s="17" t="str">
        <f>IF(BITWISE_AND('Raw Data'!$K146, 8192),"X","")</f>
        <v/>
      </c>
      <c r="P145" s="17" t="str">
        <f>IF(BITWISE_AND('Raw Data'!$K146, 2048),"X","")</f>
        <v/>
      </c>
      <c r="Q145" s="17" t="str">
        <f>IF(BITWISE_AND('Raw Data'!$K146, 64),"X","")</f>
        <v/>
      </c>
      <c r="R145" s="18" t="str">
        <f>IF(BITWISE_AND('Raw Data'!$L146, 1024),"X","")</f>
        <v/>
      </c>
      <c r="S145" s="18" t="str">
        <f>IF(BITWISE_AND('Raw Data'!$L146, 512),"X","")</f>
        <v/>
      </c>
      <c r="T145" s="18" t="str">
        <f>IF(BITWISE_AND('Raw Data'!$L146, 256),"X","")</f>
        <v/>
      </c>
      <c r="U145" s="18" t="str">
        <f>IF(BITWISE_AND('Raw Data'!$L146, 64),"X","")</f>
        <v/>
      </c>
      <c r="V145" s="18" t="str">
        <f>IF(BITWISE_AND('Raw Data'!$L146, 2),"X","")</f>
        <v/>
      </c>
      <c r="W145" s="18" t="str">
        <f>IF(BITWISE_AND('Raw Data'!$L146, 1),"X","")</f>
        <v/>
      </c>
      <c r="X145" s="19" t="str">
        <f>IF(BITWISE_AND('Raw Data'!M146, 1),"Bat Voltage", IF(BITWISE_AND('Raw Data'!M146, 2), "Charge Current", IF(BITWISE_AND('Raw Data'!M146, 4),"Input Ilim", IF(BITWISE_AND('Raw Data'!M146, 8), "Input UV", "none"))))</f>
        <v>none</v>
      </c>
    </row>
    <row r="146" spans="1:24" x14ac:dyDescent="0.2">
      <c r="A146" s="15">
        <f>A145+TIME(0,0,'Raw Data'!B146)</f>
        <v>0</v>
      </c>
      <c r="B146" s="4">
        <f>'Raw Data'!C147*0.025</f>
        <v>0</v>
      </c>
      <c r="C146" s="4">
        <f t="shared" si="6"/>
        <v>0</v>
      </c>
      <c r="D146" s="4">
        <f>'Raw Data'!D147*0.025</f>
        <v>0</v>
      </c>
      <c r="E146" s="4">
        <f t="shared" si="7"/>
        <v>0</v>
      </c>
      <c r="F146" s="4">
        <f>'Raw Data'!E147*0.001648</f>
        <v>0</v>
      </c>
      <c r="G146" s="4">
        <f>'Raw Data'!F147*0.001648</f>
        <v>0</v>
      </c>
      <c r="H146" s="4">
        <f>'Raw Data'!G147*6*0.000128176</f>
        <v>0</v>
      </c>
      <c r="I146" s="4">
        <f>'Raw Data'!H147*0.000732435</f>
        <v>0</v>
      </c>
      <c r="J146" s="4">
        <f t="shared" si="8"/>
        <v>0</v>
      </c>
      <c r="K146" s="36">
        <f>IF(('Raw Data'!I147-16384)/32768&lt;0,0,('Raw Data'!I147-16384)/32768)</f>
        <v>0</v>
      </c>
      <c r="L146" s="4">
        <f>IF(('Raw Data'!J147-12010)/45.6=-263.377192982456,0,('Raw Data'!J147-12010)/45.6)</f>
        <v>0</v>
      </c>
      <c r="M146" s="16">
        <f>'Raw Data'!N147*2^-8</f>
        <v>0</v>
      </c>
      <c r="N146" s="16">
        <f>'Raw Data'!O147*2^-8</f>
        <v>0</v>
      </c>
      <c r="O146" s="17" t="str">
        <f>IF(BITWISE_AND('Raw Data'!$K147, 8192),"X","")</f>
        <v/>
      </c>
      <c r="P146" s="17" t="str">
        <f>IF(BITWISE_AND('Raw Data'!$K147, 2048),"X","")</f>
        <v/>
      </c>
      <c r="Q146" s="17" t="str">
        <f>IF(BITWISE_AND('Raw Data'!$K147, 64),"X","")</f>
        <v/>
      </c>
      <c r="R146" s="18" t="str">
        <f>IF(BITWISE_AND('Raw Data'!$L147, 1024),"X","")</f>
        <v/>
      </c>
      <c r="S146" s="18" t="str">
        <f>IF(BITWISE_AND('Raw Data'!$L147, 512),"X","")</f>
        <v/>
      </c>
      <c r="T146" s="18" t="str">
        <f>IF(BITWISE_AND('Raw Data'!$L147, 256),"X","")</f>
        <v/>
      </c>
      <c r="U146" s="18" t="str">
        <f>IF(BITWISE_AND('Raw Data'!$L147, 64),"X","")</f>
        <v/>
      </c>
      <c r="V146" s="18" t="str">
        <f>IF(BITWISE_AND('Raw Data'!$L147, 2),"X","")</f>
        <v/>
      </c>
      <c r="W146" s="18" t="str">
        <f>IF(BITWISE_AND('Raw Data'!$L147, 1),"X","")</f>
        <v/>
      </c>
      <c r="X146" s="19" t="str">
        <f>IF(BITWISE_AND('Raw Data'!M147, 1),"Bat Voltage", IF(BITWISE_AND('Raw Data'!M147, 2), "Charge Current", IF(BITWISE_AND('Raw Data'!M147, 4),"Input Ilim", IF(BITWISE_AND('Raw Data'!M147, 8), "Input UV", "none"))))</f>
        <v>none</v>
      </c>
    </row>
    <row r="147" spans="1:24" x14ac:dyDescent="0.2">
      <c r="A147" s="15">
        <f>A146+TIME(0,0,'Raw Data'!B147)</f>
        <v>0</v>
      </c>
      <c r="B147" s="4">
        <f>'Raw Data'!C148*0.025</f>
        <v>0</v>
      </c>
      <c r="C147" s="4">
        <f t="shared" si="6"/>
        <v>0</v>
      </c>
      <c r="D147" s="4">
        <f>'Raw Data'!D148*0.025</f>
        <v>0</v>
      </c>
      <c r="E147" s="4">
        <f t="shared" si="7"/>
        <v>0</v>
      </c>
      <c r="F147" s="4">
        <f>'Raw Data'!E148*0.001648</f>
        <v>0</v>
      </c>
      <c r="G147" s="4">
        <f>'Raw Data'!F148*0.001648</f>
        <v>0</v>
      </c>
      <c r="H147" s="4">
        <f>'Raw Data'!G148*6*0.000128176</f>
        <v>0</v>
      </c>
      <c r="I147" s="4">
        <f>'Raw Data'!H148*0.000732435</f>
        <v>0</v>
      </c>
      <c r="J147" s="4">
        <f t="shared" si="8"/>
        <v>0</v>
      </c>
      <c r="K147" s="36">
        <f>IF(('Raw Data'!I148-16384)/32768&lt;0,0,('Raw Data'!I148-16384)/32768)</f>
        <v>0</v>
      </c>
      <c r="L147" s="4">
        <f>IF(('Raw Data'!J148-12010)/45.6=-263.377192982456,0,('Raw Data'!J148-12010)/45.6)</f>
        <v>0</v>
      </c>
      <c r="M147" s="16">
        <f>'Raw Data'!N148*2^-8</f>
        <v>0</v>
      </c>
      <c r="N147" s="16">
        <f>'Raw Data'!O148*2^-8</f>
        <v>0</v>
      </c>
      <c r="O147" s="17" t="str">
        <f>IF(BITWISE_AND('Raw Data'!$K148, 8192),"X","")</f>
        <v/>
      </c>
      <c r="P147" s="17" t="str">
        <f>IF(BITWISE_AND('Raw Data'!$K148, 2048),"X","")</f>
        <v/>
      </c>
      <c r="Q147" s="17" t="str">
        <f>IF(BITWISE_AND('Raw Data'!$K148, 64),"X","")</f>
        <v/>
      </c>
      <c r="R147" s="18" t="str">
        <f>IF(BITWISE_AND('Raw Data'!$L148, 1024),"X","")</f>
        <v/>
      </c>
      <c r="S147" s="18" t="str">
        <f>IF(BITWISE_AND('Raw Data'!$L148, 512),"X","")</f>
        <v/>
      </c>
      <c r="T147" s="18" t="str">
        <f>IF(BITWISE_AND('Raw Data'!$L148, 256),"X","")</f>
        <v/>
      </c>
      <c r="U147" s="18" t="str">
        <f>IF(BITWISE_AND('Raw Data'!$L148, 64),"X","")</f>
        <v/>
      </c>
      <c r="V147" s="18" t="str">
        <f>IF(BITWISE_AND('Raw Data'!$L148, 2),"X","")</f>
        <v/>
      </c>
      <c r="W147" s="18" t="str">
        <f>IF(BITWISE_AND('Raw Data'!$L148, 1),"X","")</f>
        <v/>
      </c>
      <c r="X147" s="19" t="str">
        <f>IF(BITWISE_AND('Raw Data'!M148, 1),"Bat Voltage", IF(BITWISE_AND('Raw Data'!M148, 2), "Charge Current", IF(BITWISE_AND('Raw Data'!M148, 4),"Input Ilim", IF(BITWISE_AND('Raw Data'!M148, 8), "Input UV", "none"))))</f>
        <v>none</v>
      </c>
    </row>
    <row r="148" spans="1:24" x14ac:dyDescent="0.2">
      <c r="A148" s="15">
        <f>A147+TIME(0,0,'Raw Data'!B148)</f>
        <v>0</v>
      </c>
      <c r="B148" s="4">
        <f>'Raw Data'!C149*0.025</f>
        <v>0</v>
      </c>
      <c r="C148" s="4">
        <f t="shared" si="6"/>
        <v>0</v>
      </c>
      <c r="D148" s="4">
        <f>'Raw Data'!D149*0.025</f>
        <v>0</v>
      </c>
      <c r="E148" s="4">
        <f t="shared" si="7"/>
        <v>0</v>
      </c>
      <c r="F148" s="4">
        <f>'Raw Data'!E149*0.001648</f>
        <v>0</v>
      </c>
      <c r="G148" s="4">
        <f>'Raw Data'!F149*0.001648</f>
        <v>0</v>
      </c>
      <c r="H148" s="4">
        <f>'Raw Data'!G149*6*0.000128176</f>
        <v>0</v>
      </c>
      <c r="I148" s="4">
        <f>'Raw Data'!H149*0.000732435</f>
        <v>0</v>
      </c>
      <c r="J148" s="4">
        <f t="shared" si="8"/>
        <v>0</v>
      </c>
      <c r="K148" s="36">
        <f>IF(('Raw Data'!I149-16384)/32768&lt;0,0,('Raw Data'!I149-16384)/32768)</f>
        <v>0</v>
      </c>
      <c r="L148" s="4">
        <f>IF(('Raw Data'!J149-12010)/45.6=-263.377192982456,0,('Raw Data'!J149-12010)/45.6)</f>
        <v>0</v>
      </c>
      <c r="M148" s="16">
        <f>'Raw Data'!N149*2^-8</f>
        <v>0</v>
      </c>
      <c r="N148" s="16">
        <f>'Raw Data'!O149*2^-8</f>
        <v>0</v>
      </c>
      <c r="O148" s="17" t="str">
        <f>IF(BITWISE_AND('Raw Data'!$K149, 8192),"X","")</f>
        <v/>
      </c>
      <c r="P148" s="17" t="str">
        <f>IF(BITWISE_AND('Raw Data'!$K149, 2048),"X","")</f>
        <v/>
      </c>
      <c r="Q148" s="17" t="str">
        <f>IF(BITWISE_AND('Raw Data'!$K149, 64),"X","")</f>
        <v/>
      </c>
      <c r="R148" s="18" t="str">
        <f>IF(BITWISE_AND('Raw Data'!$L149, 1024),"X","")</f>
        <v/>
      </c>
      <c r="S148" s="18" t="str">
        <f>IF(BITWISE_AND('Raw Data'!$L149, 512),"X","")</f>
        <v/>
      </c>
      <c r="T148" s="18" t="str">
        <f>IF(BITWISE_AND('Raw Data'!$L149, 256),"X","")</f>
        <v/>
      </c>
      <c r="U148" s="18" t="str">
        <f>IF(BITWISE_AND('Raw Data'!$L149, 64),"X","")</f>
        <v/>
      </c>
      <c r="V148" s="18" t="str">
        <f>IF(BITWISE_AND('Raw Data'!$L149, 2),"X","")</f>
        <v/>
      </c>
      <c r="W148" s="18" t="str">
        <f>IF(BITWISE_AND('Raw Data'!$L149, 1),"X","")</f>
        <v/>
      </c>
      <c r="X148" s="19" t="str">
        <f>IF(BITWISE_AND('Raw Data'!M149, 1),"Bat Voltage", IF(BITWISE_AND('Raw Data'!M149, 2), "Charge Current", IF(BITWISE_AND('Raw Data'!M149, 4),"Input Ilim", IF(BITWISE_AND('Raw Data'!M149, 8), "Input UV", "none"))))</f>
        <v>none</v>
      </c>
    </row>
    <row r="149" spans="1:24" x14ac:dyDescent="0.2">
      <c r="A149" s="15">
        <f>A148+TIME(0,0,'Raw Data'!B149)</f>
        <v>0</v>
      </c>
      <c r="B149" s="4">
        <f>'Raw Data'!C150*0.025</f>
        <v>0</v>
      </c>
      <c r="C149" s="4">
        <f t="shared" ref="C149:C212" si="9">C148+B149/60</f>
        <v>0</v>
      </c>
      <c r="D149" s="4">
        <f>'Raw Data'!D150*0.025</f>
        <v>0</v>
      </c>
      <c r="E149" s="4">
        <f t="shared" ref="E149:E212" si="10">E148+D149/60</f>
        <v>0</v>
      </c>
      <c r="F149" s="4">
        <f>'Raw Data'!E150*0.001648</f>
        <v>0</v>
      </c>
      <c r="G149" s="4">
        <f>'Raw Data'!F150*0.001648</f>
        <v>0</v>
      </c>
      <c r="H149" s="4">
        <f>'Raw Data'!G150*6*0.000128176</f>
        <v>0</v>
      </c>
      <c r="I149" s="4">
        <f>'Raw Data'!H150*0.000732435</f>
        <v>0</v>
      </c>
      <c r="J149" s="4">
        <f t="shared" si="8"/>
        <v>0</v>
      </c>
      <c r="K149" s="36">
        <f>IF(('Raw Data'!I150-16384)/32768&lt;0,0,('Raw Data'!I150-16384)/32768)</f>
        <v>0</v>
      </c>
      <c r="L149" s="4">
        <f>IF(('Raw Data'!J150-12010)/45.6=-263.377192982456,0,('Raw Data'!J150-12010)/45.6)</f>
        <v>0</v>
      </c>
      <c r="M149" s="16">
        <f>'Raw Data'!N150*2^-8</f>
        <v>0</v>
      </c>
      <c r="N149" s="16">
        <f>'Raw Data'!O150*2^-8</f>
        <v>0</v>
      </c>
      <c r="O149" s="17" t="str">
        <f>IF(BITWISE_AND('Raw Data'!$K150, 8192),"X","")</f>
        <v/>
      </c>
      <c r="P149" s="17" t="str">
        <f>IF(BITWISE_AND('Raw Data'!$K150, 2048),"X","")</f>
        <v/>
      </c>
      <c r="Q149" s="17" t="str">
        <f>IF(BITWISE_AND('Raw Data'!$K150, 64),"X","")</f>
        <v/>
      </c>
      <c r="R149" s="18" t="str">
        <f>IF(BITWISE_AND('Raw Data'!$L150, 1024),"X","")</f>
        <v/>
      </c>
      <c r="S149" s="18" t="str">
        <f>IF(BITWISE_AND('Raw Data'!$L150, 512),"X","")</f>
        <v/>
      </c>
      <c r="T149" s="18" t="str">
        <f>IF(BITWISE_AND('Raw Data'!$L150, 256),"X","")</f>
        <v/>
      </c>
      <c r="U149" s="18" t="str">
        <f>IF(BITWISE_AND('Raw Data'!$L150, 64),"X","")</f>
        <v/>
      </c>
      <c r="V149" s="18" t="str">
        <f>IF(BITWISE_AND('Raw Data'!$L150, 2),"X","")</f>
        <v/>
      </c>
      <c r="W149" s="18" t="str">
        <f>IF(BITWISE_AND('Raw Data'!$L150, 1),"X","")</f>
        <v/>
      </c>
      <c r="X149" s="19" t="str">
        <f>IF(BITWISE_AND('Raw Data'!M150, 1),"Bat Voltage", IF(BITWISE_AND('Raw Data'!M150, 2), "Charge Current", IF(BITWISE_AND('Raw Data'!M150, 4),"Input Ilim", IF(BITWISE_AND('Raw Data'!M150, 8), "Input UV", "none"))))</f>
        <v>none</v>
      </c>
    </row>
    <row r="150" spans="1:24" x14ac:dyDescent="0.2">
      <c r="A150" s="15">
        <f>A149+TIME(0,0,'Raw Data'!B150)</f>
        <v>0</v>
      </c>
      <c r="B150" s="4">
        <f>'Raw Data'!C151*0.025</f>
        <v>0</v>
      </c>
      <c r="C150" s="4">
        <f t="shared" si="9"/>
        <v>0</v>
      </c>
      <c r="D150" s="4">
        <f>'Raw Data'!D151*0.025</f>
        <v>0</v>
      </c>
      <c r="E150" s="4">
        <f t="shared" si="10"/>
        <v>0</v>
      </c>
      <c r="F150" s="4">
        <f>'Raw Data'!E151*0.001648</f>
        <v>0</v>
      </c>
      <c r="G150" s="4">
        <f>'Raw Data'!F151*0.001648</f>
        <v>0</v>
      </c>
      <c r="H150" s="4">
        <f>'Raw Data'!G151*6*0.000128176</f>
        <v>0</v>
      </c>
      <c r="I150" s="4">
        <f>'Raw Data'!H151*0.000732435</f>
        <v>0</v>
      </c>
      <c r="J150" s="4">
        <f t="shared" si="8"/>
        <v>0</v>
      </c>
      <c r="K150" s="36">
        <f>IF(('Raw Data'!I151-16384)/32768&lt;0,0,('Raw Data'!I151-16384)/32768)</f>
        <v>0</v>
      </c>
      <c r="L150" s="4">
        <f>IF(('Raw Data'!J151-12010)/45.6=-263.377192982456,0,('Raw Data'!J151-12010)/45.6)</f>
        <v>0</v>
      </c>
      <c r="M150" s="16">
        <f>'Raw Data'!N151*2^-8</f>
        <v>0</v>
      </c>
      <c r="N150" s="16">
        <f>'Raw Data'!O151*2^-8</f>
        <v>0</v>
      </c>
      <c r="O150" s="17" t="str">
        <f>IF(BITWISE_AND('Raw Data'!$K151, 8192),"X","")</f>
        <v/>
      </c>
      <c r="P150" s="17" t="str">
        <f>IF(BITWISE_AND('Raw Data'!$K151, 2048),"X","")</f>
        <v/>
      </c>
      <c r="Q150" s="17" t="str">
        <f>IF(BITWISE_AND('Raw Data'!$K151, 64),"X","")</f>
        <v/>
      </c>
      <c r="R150" s="18" t="str">
        <f>IF(BITWISE_AND('Raw Data'!$L151, 1024),"X","")</f>
        <v/>
      </c>
      <c r="S150" s="18" t="str">
        <f>IF(BITWISE_AND('Raw Data'!$L151, 512),"X","")</f>
        <v/>
      </c>
      <c r="T150" s="18" t="str">
        <f>IF(BITWISE_AND('Raw Data'!$L151, 256),"X","")</f>
        <v/>
      </c>
      <c r="U150" s="18" t="str">
        <f>IF(BITWISE_AND('Raw Data'!$L151, 64),"X","")</f>
        <v/>
      </c>
      <c r="V150" s="18" t="str">
        <f>IF(BITWISE_AND('Raw Data'!$L151, 2),"X","")</f>
        <v/>
      </c>
      <c r="W150" s="18" t="str">
        <f>IF(BITWISE_AND('Raw Data'!$L151, 1),"X","")</f>
        <v/>
      </c>
      <c r="X150" s="19" t="str">
        <f>IF(BITWISE_AND('Raw Data'!M151, 1),"Bat Voltage", IF(BITWISE_AND('Raw Data'!M151, 2), "Charge Current", IF(BITWISE_AND('Raw Data'!M151, 4),"Input Ilim", IF(BITWISE_AND('Raw Data'!M151, 8), "Input UV", "none"))))</f>
        <v>none</v>
      </c>
    </row>
    <row r="151" spans="1:24" x14ac:dyDescent="0.2">
      <c r="A151" s="15">
        <f>A150+TIME(0,0,'Raw Data'!B151)</f>
        <v>0</v>
      </c>
      <c r="B151" s="4">
        <f>'Raw Data'!C152*0.025</f>
        <v>0</v>
      </c>
      <c r="C151" s="4">
        <f t="shared" si="9"/>
        <v>0</v>
      </c>
      <c r="D151" s="4">
        <f>'Raw Data'!D152*0.025</f>
        <v>0</v>
      </c>
      <c r="E151" s="4">
        <f t="shared" si="10"/>
        <v>0</v>
      </c>
      <c r="F151" s="4">
        <f>'Raw Data'!E152*0.001648</f>
        <v>0</v>
      </c>
      <c r="G151" s="4">
        <f>'Raw Data'!F152*0.001648</f>
        <v>0</v>
      </c>
      <c r="H151" s="4">
        <f>'Raw Data'!G152*6*0.000128176</f>
        <v>0</v>
      </c>
      <c r="I151" s="4">
        <f>'Raw Data'!H152*0.000732435</f>
        <v>0</v>
      </c>
      <c r="J151" s="4">
        <f t="shared" si="8"/>
        <v>0</v>
      </c>
      <c r="K151" s="36">
        <f>IF(('Raw Data'!I152-16384)/32768&lt;0,0,('Raw Data'!I152-16384)/32768)</f>
        <v>0</v>
      </c>
      <c r="L151" s="4">
        <f>IF(('Raw Data'!J152-12010)/45.6=-263.377192982456,0,('Raw Data'!J152-12010)/45.6)</f>
        <v>0</v>
      </c>
      <c r="M151" s="16">
        <f>'Raw Data'!N152*2^-8</f>
        <v>0</v>
      </c>
      <c r="N151" s="16">
        <f>'Raw Data'!O152*2^-8</f>
        <v>0</v>
      </c>
      <c r="O151" s="17" t="str">
        <f>IF(BITWISE_AND('Raw Data'!$K152, 8192),"X","")</f>
        <v/>
      </c>
      <c r="P151" s="17" t="str">
        <f>IF(BITWISE_AND('Raw Data'!$K152, 2048),"X","")</f>
        <v/>
      </c>
      <c r="Q151" s="17" t="str">
        <f>IF(BITWISE_AND('Raw Data'!$K152, 64),"X","")</f>
        <v/>
      </c>
      <c r="R151" s="18" t="str">
        <f>IF(BITWISE_AND('Raw Data'!$L152, 1024),"X","")</f>
        <v/>
      </c>
      <c r="S151" s="18" t="str">
        <f>IF(BITWISE_AND('Raw Data'!$L152, 512),"X","")</f>
        <v/>
      </c>
      <c r="T151" s="18" t="str">
        <f>IF(BITWISE_AND('Raw Data'!$L152, 256),"X","")</f>
        <v/>
      </c>
      <c r="U151" s="18" t="str">
        <f>IF(BITWISE_AND('Raw Data'!$L152, 64),"X","")</f>
        <v/>
      </c>
      <c r="V151" s="18" t="str">
        <f>IF(BITWISE_AND('Raw Data'!$L152, 2),"X","")</f>
        <v/>
      </c>
      <c r="W151" s="18" t="str">
        <f>IF(BITWISE_AND('Raw Data'!$L152, 1),"X","")</f>
        <v/>
      </c>
      <c r="X151" s="19" t="str">
        <f>IF(BITWISE_AND('Raw Data'!M152, 1),"Bat Voltage", IF(BITWISE_AND('Raw Data'!M152, 2), "Charge Current", IF(BITWISE_AND('Raw Data'!M152, 4),"Input Ilim", IF(BITWISE_AND('Raw Data'!M152, 8), "Input UV", "none"))))</f>
        <v>none</v>
      </c>
    </row>
    <row r="152" spans="1:24" x14ac:dyDescent="0.2">
      <c r="A152" s="15">
        <f>A151+TIME(0,0,'Raw Data'!B152)</f>
        <v>0</v>
      </c>
      <c r="B152" s="4">
        <f>'Raw Data'!C153*0.025</f>
        <v>0</v>
      </c>
      <c r="C152" s="4">
        <f t="shared" si="9"/>
        <v>0</v>
      </c>
      <c r="D152" s="4">
        <f>'Raw Data'!D153*0.025</f>
        <v>0</v>
      </c>
      <c r="E152" s="4">
        <f t="shared" si="10"/>
        <v>0</v>
      </c>
      <c r="F152" s="4">
        <f>'Raw Data'!E153*0.001648</f>
        <v>0</v>
      </c>
      <c r="G152" s="4">
        <f>'Raw Data'!F153*0.001648</f>
        <v>0</v>
      </c>
      <c r="H152" s="4">
        <f>'Raw Data'!G153*6*0.000128176</f>
        <v>0</v>
      </c>
      <c r="I152" s="4">
        <f>'Raw Data'!H153*0.000732435</f>
        <v>0</v>
      </c>
      <c r="J152" s="4">
        <f t="shared" si="8"/>
        <v>0</v>
      </c>
      <c r="K152" s="36">
        <f>IF(('Raw Data'!I153-16384)/32768&lt;0,0,('Raw Data'!I153-16384)/32768)</f>
        <v>0</v>
      </c>
      <c r="L152" s="4">
        <f>IF(('Raw Data'!J153-12010)/45.6=-263.377192982456,0,('Raw Data'!J153-12010)/45.6)</f>
        <v>0</v>
      </c>
      <c r="M152" s="16">
        <f>'Raw Data'!N153*2^-8</f>
        <v>0</v>
      </c>
      <c r="N152" s="16">
        <f>'Raw Data'!O153*2^-8</f>
        <v>0</v>
      </c>
      <c r="O152" s="17" t="str">
        <f>IF(BITWISE_AND('Raw Data'!$K153, 8192),"X","")</f>
        <v/>
      </c>
      <c r="P152" s="17" t="str">
        <f>IF(BITWISE_AND('Raw Data'!$K153, 2048),"X","")</f>
        <v/>
      </c>
      <c r="Q152" s="17" t="str">
        <f>IF(BITWISE_AND('Raw Data'!$K153, 64),"X","")</f>
        <v/>
      </c>
      <c r="R152" s="18" t="str">
        <f>IF(BITWISE_AND('Raw Data'!$L153, 1024),"X","")</f>
        <v/>
      </c>
      <c r="S152" s="18" t="str">
        <f>IF(BITWISE_AND('Raw Data'!$L153, 512),"X","")</f>
        <v/>
      </c>
      <c r="T152" s="18" t="str">
        <f>IF(BITWISE_AND('Raw Data'!$L153, 256),"X","")</f>
        <v/>
      </c>
      <c r="U152" s="18" t="str">
        <f>IF(BITWISE_AND('Raw Data'!$L153, 64),"X","")</f>
        <v/>
      </c>
      <c r="V152" s="18" t="str">
        <f>IF(BITWISE_AND('Raw Data'!$L153, 2),"X","")</f>
        <v/>
      </c>
      <c r="W152" s="18" t="str">
        <f>IF(BITWISE_AND('Raw Data'!$L153, 1),"X","")</f>
        <v/>
      </c>
      <c r="X152" s="19" t="str">
        <f>IF(BITWISE_AND('Raw Data'!M153, 1),"Bat Voltage", IF(BITWISE_AND('Raw Data'!M153, 2), "Charge Current", IF(BITWISE_AND('Raw Data'!M153, 4),"Input Ilim", IF(BITWISE_AND('Raw Data'!M153, 8), "Input UV", "none"))))</f>
        <v>none</v>
      </c>
    </row>
    <row r="153" spans="1:24" x14ac:dyDescent="0.2">
      <c r="A153" s="15">
        <f>A152+TIME(0,0,'Raw Data'!B153)</f>
        <v>0</v>
      </c>
      <c r="B153" s="4">
        <f>'Raw Data'!C154*0.025</f>
        <v>0</v>
      </c>
      <c r="C153" s="4">
        <f t="shared" si="9"/>
        <v>0</v>
      </c>
      <c r="D153" s="4">
        <f>'Raw Data'!D154*0.025</f>
        <v>0</v>
      </c>
      <c r="E153" s="4">
        <f t="shared" si="10"/>
        <v>0</v>
      </c>
      <c r="F153" s="4">
        <f>'Raw Data'!E154*0.001648</f>
        <v>0</v>
      </c>
      <c r="G153" s="4">
        <f>'Raw Data'!F154*0.001648</f>
        <v>0</v>
      </c>
      <c r="H153" s="4">
        <f>'Raw Data'!G154*6*0.000128176</f>
        <v>0</v>
      </c>
      <c r="I153" s="4">
        <f>'Raw Data'!H154*0.000732435</f>
        <v>0</v>
      </c>
      <c r="J153" s="4">
        <f t="shared" si="8"/>
        <v>0</v>
      </c>
      <c r="K153" s="36">
        <f>IF(('Raw Data'!I154-16384)/32768&lt;0,0,('Raw Data'!I154-16384)/32768)</f>
        <v>0</v>
      </c>
      <c r="L153" s="4">
        <f>IF(('Raw Data'!J154-12010)/45.6=-263.377192982456,0,('Raw Data'!J154-12010)/45.6)</f>
        <v>0</v>
      </c>
      <c r="M153" s="16">
        <f>'Raw Data'!N154*2^-8</f>
        <v>0</v>
      </c>
      <c r="N153" s="16">
        <f>'Raw Data'!O154*2^-8</f>
        <v>0</v>
      </c>
      <c r="O153" s="17" t="str">
        <f>IF(BITWISE_AND('Raw Data'!$K154, 8192),"X","")</f>
        <v/>
      </c>
      <c r="P153" s="17" t="str">
        <f>IF(BITWISE_AND('Raw Data'!$K154, 2048),"X","")</f>
        <v/>
      </c>
      <c r="Q153" s="17" t="str">
        <f>IF(BITWISE_AND('Raw Data'!$K154, 64),"X","")</f>
        <v/>
      </c>
      <c r="R153" s="18" t="str">
        <f>IF(BITWISE_AND('Raw Data'!$L154, 1024),"X","")</f>
        <v/>
      </c>
      <c r="S153" s="18" t="str">
        <f>IF(BITWISE_AND('Raw Data'!$L154, 512),"X","")</f>
        <v/>
      </c>
      <c r="T153" s="18" t="str">
        <f>IF(BITWISE_AND('Raw Data'!$L154, 256),"X","")</f>
        <v/>
      </c>
      <c r="U153" s="18" t="str">
        <f>IF(BITWISE_AND('Raw Data'!$L154, 64),"X","")</f>
        <v/>
      </c>
      <c r="V153" s="18" t="str">
        <f>IF(BITWISE_AND('Raw Data'!$L154, 2),"X","")</f>
        <v/>
      </c>
      <c r="W153" s="18" t="str">
        <f>IF(BITWISE_AND('Raw Data'!$L154, 1),"X","")</f>
        <v/>
      </c>
      <c r="X153" s="19" t="str">
        <f>IF(BITWISE_AND('Raw Data'!M154, 1),"Bat Voltage", IF(BITWISE_AND('Raw Data'!M154, 2), "Charge Current", IF(BITWISE_AND('Raw Data'!M154, 4),"Input Ilim", IF(BITWISE_AND('Raw Data'!M154, 8), "Input UV", "none"))))</f>
        <v>none</v>
      </c>
    </row>
    <row r="154" spans="1:24" x14ac:dyDescent="0.2">
      <c r="A154" s="15">
        <f>A153+TIME(0,0,'Raw Data'!B154)</f>
        <v>0</v>
      </c>
      <c r="B154" s="4">
        <f>'Raw Data'!C155*0.025</f>
        <v>0</v>
      </c>
      <c r="C154" s="4">
        <f t="shared" si="9"/>
        <v>0</v>
      </c>
      <c r="D154" s="4">
        <f>'Raw Data'!D155*0.025</f>
        <v>0</v>
      </c>
      <c r="E154" s="4">
        <f t="shared" si="10"/>
        <v>0</v>
      </c>
      <c r="F154" s="4">
        <f>'Raw Data'!E155*0.001648</f>
        <v>0</v>
      </c>
      <c r="G154" s="4">
        <f>'Raw Data'!F155*0.001648</f>
        <v>0</v>
      </c>
      <c r="H154" s="4">
        <f>'Raw Data'!G155*6*0.000128176</f>
        <v>0</v>
      </c>
      <c r="I154" s="4">
        <f>'Raw Data'!H155*0.000732435</f>
        <v>0</v>
      </c>
      <c r="J154" s="4">
        <f t="shared" si="8"/>
        <v>0</v>
      </c>
      <c r="K154" s="36">
        <f>IF(('Raw Data'!I155-16384)/32768&lt;0,0,('Raw Data'!I155-16384)/32768)</f>
        <v>0</v>
      </c>
      <c r="L154" s="4">
        <f>IF(('Raw Data'!J155-12010)/45.6=-263.377192982456,0,('Raw Data'!J155-12010)/45.6)</f>
        <v>0</v>
      </c>
      <c r="M154" s="16">
        <f>'Raw Data'!N155*2^-8</f>
        <v>0</v>
      </c>
      <c r="N154" s="16">
        <f>'Raw Data'!O155*2^-8</f>
        <v>0</v>
      </c>
      <c r="O154" s="17" t="str">
        <f>IF(BITWISE_AND('Raw Data'!$K155, 8192),"X","")</f>
        <v/>
      </c>
      <c r="P154" s="17" t="str">
        <f>IF(BITWISE_AND('Raw Data'!$K155, 2048),"X","")</f>
        <v/>
      </c>
      <c r="Q154" s="17" t="str">
        <f>IF(BITWISE_AND('Raw Data'!$K155, 64),"X","")</f>
        <v/>
      </c>
      <c r="R154" s="18" t="str">
        <f>IF(BITWISE_AND('Raw Data'!$L155, 1024),"X","")</f>
        <v/>
      </c>
      <c r="S154" s="18" t="str">
        <f>IF(BITWISE_AND('Raw Data'!$L155, 512),"X","")</f>
        <v/>
      </c>
      <c r="T154" s="18" t="str">
        <f>IF(BITWISE_AND('Raw Data'!$L155, 256),"X","")</f>
        <v/>
      </c>
      <c r="U154" s="18" t="str">
        <f>IF(BITWISE_AND('Raw Data'!$L155, 64),"X","")</f>
        <v/>
      </c>
      <c r="V154" s="18" t="str">
        <f>IF(BITWISE_AND('Raw Data'!$L155, 2),"X","")</f>
        <v/>
      </c>
      <c r="W154" s="18" t="str">
        <f>IF(BITWISE_AND('Raw Data'!$L155, 1),"X","")</f>
        <v/>
      </c>
      <c r="X154" s="19" t="str">
        <f>IF(BITWISE_AND('Raw Data'!M155, 1),"Bat Voltage", IF(BITWISE_AND('Raw Data'!M155, 2), "Charge Current", IF(BITWISE_AND('Raw Data'!M155, 4),"Input Ilim", IF(BITWISE_AND('Raw Data'!M155, 8), "Input UV", "none"))))</f>
        <v>none</v>
      </c>
    </row>
    <row r="155" spans="1:24" x14ac:dyDescent="0.2">
      <c r="A155" s="15">
        <f>A154+TIME(0,0,'Raw Data'!B155)</f>
        <v>0</v>
      </c>
      <c r="B155" s="4">
        <f>'Raw Data'!C156*0.025</f>
        <v>0</v>
      </c>
      <c r="C155" s="4">
        <f t="shared" si="9"/>
        <v>0</v>
      </c>
      <c r="D155" s="4">
        <f>'Raw Data'!D156*0.025</f>
        <v>0</v>
      </c>
      <c r="E155" s="4">
        <f t="shared" si="10"/>
        <v>0</v>
      </c>
      <c r="F155" s="4">
        <f>'Raw Data'!E156*0.001648</f>
        <v>0</v>
      </c>
      <c r="G155" s="4">
        <f>'Raw Data'!F156*0.001648</f>
        <v>0</v>
      </c>
      <c r="H155" s="4">
        <f>'Raw Data'!G156*6*0.000128176</f>
        <v>0</v>
      </c>
      <c r="I155" s="4">
        <f>'Raw Data'!H156*0.000732435</f>
        <v>0</v>
      </c>
      <c r="J155" s="4">
        <f t="shared" si="8"/>
        <v>0</v>
      </c>
      <c r="K155" s="36">
        <f>IF(('Raw Data'!I156-16384)/32768&lt;0,0,('Raw Data'!I156-16384)/32768)</f>
        <v>0</v>
      </c>
      <c r="L155" s="4">
        <f>IF(('Raw Data'!J156-12010)/45.6=-263.377192982456,0,('Raw Data'!J156-12010)/45.6)</f>
        <v>0</v>
      </c>
      <c r="M155" s="16">
        <f>'Raw Data'!N156*2^-8</f>
        <v>0</v>
      </c>
      <c r="N155" s="16">
        <f>'Raw Data'!O156*2^-8</f>
        <v>0</v>
      </c>
      <c r="O155" s="17" t="str">
        <f>IF(BITWISE_AND('Raw Data'!$K156, 8192),"X","")</f>
        <v/>
      </c>
      <c r="P155" s="17" t="str">
        <f>IF(BITWISE_AND('Raw Data'!$K156, 2048),"X","")</f>
        <v/>
      </c>
      <c r="Q155" s="17" t="str">
        <f>IF(BITWISE_AND('Raw Data'!$K156, 64),"X","")</f>
        <v/>
      </c>
      <c r="R155" s="18" t="str">
        <f>IF(BITWISE_AND('Raw Data'!$L156, 1024),"X","")</f>
        <v/>
      </c>
      <c r="S155" s="18" t="str">
        <f>IF(BITWISE_AND('Raw Data'!$L156, 512),"X","")</f>
        <v/>
      </c>
      <c r="T155" s="18" t="str">
        <f>IF(BITWISE_AND('Raw Data'!$L156, 256),"X","")</f>
        <v/>
      </c>
      <c r="U155" s="18" t="str">
        <f>IF(BITWISE_AND('Raw Data'!$L156, 64),"X","")</f>
        <v/>
      </c>
      <c r="V155" s="18" t="str">
        <f>IF(BITWISE_AND('Raw Data'!$L156, 2),"X","")</f>
        <v/>
      </c>
      <c r="W155" s="18" t="str">
        <f>IF(BITWISE_AND('Raw Data'!$L156, 1),"X","")</f>
        <v/>
      </c>
      <c r="X155" s="19" t="str">
        <f>IF(BITWISE_AND('Raw Data'!M156, 1),"Bat Voltage", IF(BITWISE_AND('Raw Data'!M156, 2), "Charge Current", IF(BITWISE_AND('Raw Data'!M156, 4),"Input Ilim", IF(BITWISE_AND('Raw Data'!M156, 8), "Input UV", "none"))))</f>
        <v>none</v>
      </c>
    </row>
    <row r="156" spans="1:24" x14ac:dyDescent="0.2">
      <c r="A156" s="15">
        <f>A155+TIME(0,0,'Raw Data'!B156)</f>
        <v>0</v>
      </c>
      <c r="B156" s="4">
        <f>'Raw Data'!C157*0.025</f>
        <v>0</v>
      </c>
      <c r="C156" s="4">
        <f t="shared" si="9"/>
        <v>0</v>
      </c>
      <c r="D156" s="4">
        <f>'Raw Data'!D157*0.025</f>
        <v>0</v>
      </c>
      <c r="E156" s="4">
        <f t="shared" si="10"/>
        <v>0</v>
      </c>
      <c r="F156" s="4">
        <f>'Raw Data'!E157*0.001648</f>
        <v>0</v>
      </c>
      <c r="G156" s="4">
        <f>'Raw Data'!F157*0.001648</f>
        <v>0</v>
      </c>
      <c r="H156" s="4">
        <f>'Raw Data'!G157*6*0.000128176</f>
        <v>0</v>
      </c>
      <c r="I156" s="4">
        <f>'Raw Data'!H157*0.000732435</f>
        <v>0</v>
      </c>
      <c r="J156" s="4">
        <f t="shared" si="8"/>
        <v>0</v>
      </c>
      <c r="K156" s="36">
        <f>IF(('Raw Data'!I157-16384)/32768&lt;0,0,('Raw Data'!I157-16384)/32768)</f>
        <v>0</v>
      </c>
      <c r="L156" s="4">
        <f>IF(('Raw Data'!J157-12010)/45.6=-263.377192982456,0,('Raw Data'!J157-12010)/45.6)</f>
        <v>0</v>
      </c>
      <c r="M156" s="16">
        <f>'Raw Data'!N157*2^-8</f>
        <v>0</v>
      </c>
      <c r="N156" s="16">
        <f>'Raw Data'!O157*2^-8</f>
        <v>0</v>
      </c>
      <c r="O156" s="17" t="str">
        <f>IF(BITWISE_AND('Raw Data'!$K157, 8192),"X","")</f>
        <v/>
      </c>
      <c r="P156" s="17" t="str">
        <f>IF(BITWISE_AND('Raw Data'!$K157, 2048),"X","")</f>
        <v/>
      </c>
      <c r="Q156" s="17" t="str">
        <f>IF(BITWISE_AND('Raw Data'!$K157, 64),"X","")</f>
        <v/>
      </c>
      <c r="R156" s="18" t="str">
        <f>IF(BITWISE_AND('Raw Data'!$L157, 1024),"X","")</f>
        <v/>
      </c>
      <c r="S156" s="18" t="str">
        <f>IF(BITWISE_AND('Raw Data'!$L157, 512),"X","")</f>
        <v/>
      </c>
      <c r="T156" s="18" t="str">
        <f>IF(BITWISE_AND('Raw Data'!$L157, 256),"X","")</f>
        <v/>
      </c>
      <c r="U156" s="18" t="str">
        <f>IF(BITWISE_AND('Raw Data'!$L157, 64),"X","")</f>
        <v/>
      </c>
      <c r="V156" s="18" t="str">
        <f>IF(BITWISE_AND('Raw Data'!$L157, 2),"X","")</f>
        <v/>
      </c>
      <c r="W156" s="18" t="str">
        <f>IF(BITWISE_AND('Raw Data'!$L157, 1),"X","")</f>
        <v/>
      </c>
      <c r="X156" s="19" t="str">
        <f>IF(BITWISE_AND('Raw Data'!M157, 1),"Bat Voltage", IF(BITWISE_AND('Raw Data'!M157, 2), "Charge Current", IF(BITWISE_AND('Raw Data'!M157, 4),"Input Ilim", IF(BITWISE_AND('Raw Data'!M157, 8), "Input UV", "none"))))</f>
        <v>none</v>
      </c>
    </row>
    <row r="157" spans="1:24" x14ac:dyDescent="0.2">
      <c r="A157" s="15">
        <f>A156+TIME(0,0,'Raw Data'!B157)</f>
        <v>0</v>
      </c>
      <c r="B157" s="4">
        <f>'Raw Data'!C158*0.025</f>
        <v>0</v>
      </c>
      <c r="C157" s="4">
        <f t="shared" si="9"/>
        <v>0</v>
      </c>
      <c r="D157" s="4">
        <f>'Raw Data'!D158*0.025</f>
        <v>0</v>
      </c>
      <c r="E157" s="4">
        <f t="shared" si="10"/>
        <v>0</v>
      </c>
      <c r="F157" s="4">
        <f>'Raw Data'!E158*0.001648</f>
        <v>0</v>
      </c>
      <c r="G157" s="4">
        <f>'Raw Data'!F158*0.001648</f>
        <v>0</v>
      </c>
      <c r="H157" s="4">
        <f>'Raw Data'!G158*6*0.000128176</f>
        <v>0</v>
      </c>
      <c r="I157" s="4">
        <f>'Raw Data'!H158*0.000732435</f>
        <v>0</v>
      </c>
      <c r="J157" s="4">
        <f t="shared" si="8"/>
        <v>0</v>
      </c>
      <c r="K157" s="36">
        <f>IF(('Raw Data'!I158-16384)/32768&lt;0,0,('Raw Data'!I158-16384)/32768)</f>
        <v>0</v>
      </c>
      <c r="L157" s="4">
        <f>IF(('Raw Data'!J158-12010)/45.6=-263.377192982456,0,('Raw Data'!J158-12010)/45.6)</f>
        <v>0</v>
      </c>
      <c r="M157" s="16">
        <f>'Raw Data'!N158*2^-8</f>
        <v>0</v>
      </c>
      <c r="N157" s="16">
        <f>'Raw Data'!O158*2^-8</f>
        <v>0</v>
      </c>
      <c r="O157" s="17" t="str">
        <f>IF(BITWISE_AND('Raw Data'!$K158, 8192),"X","")</f>
        <v/>
      </c>
      <c r="P157" s="17" t="str">
        <f>IF(BITWISE_AND('Raw Data'!$K158, 2048),"X","")</f>
        <v/>
      </c>
      <c r="Q157" s="17" t="str">
        <f>IF(BITWISE_AND('Raw Data'!$K158, 64),"X","")</f>
        <v/>
      </c>
      <c r="R157" s="18" t="str">
        <f>IF(BITWISE_AND('Raw Data'!$L158, 1024),"X","")</f>
        <v/>
      </c>
      <c r="S157" s="18" t="str">
        <f>IF(BITWISE_AND('Raw Data'!$L158, 512),"X","")</f>
        <v/>
      </c>
      <c r="T157" s="18" t="str">
        <f>IF(BITWISE_AND('Raw Data'!$L158, 256),"X","")</f>
        <v/>
      </c>
      <c r="U157" s="18" t="str">
        <f>IF(BITWISE_AND('Raw Data'!$L158, 64),"X","")</f>
        <v/>
      </c>
      <c r="V157" s="18" t="str">
        <f>IF(BITWISE_AND('Raw Data'!$L158, 2),"X","")</f>
        <v/>
      </c>
      <c r="W157" s="18" t="str">
        <f>IF(BITWISE_AND('Raw Data'!$L158, 1),"X","")</f>
        <v/>
      </c>
      <c r="X157" s="19" t="str">
        <f>IF(BITWISE_AND('Raw Data'!M158, 1),"Bat Voltage", IF(BITWISE_AND('Raw Data'!M158, 2), "Charge Current", IF(BITWISE_AND('Raw Data'!M158, 4),"Input Ilim", IF(BITWISE_AND('Raw Data'!M158, 8), "Input UV", "none"))))</f>
        <v>none</v>
      </c>
    </row>
    <row r="158" spans="1:24" x14ac:dyDescent="0.2">
      <c r="A158" s="15">
        <f>A157+TIME(0,0,'Raw Data'!B158)</f>
        <v>0</v>
      </c>
      <c r="B158" s="4">
        <f>'Raw Data'!C159*0.025</f>
        <v>0</v>
      </c>
      <c r="C158" s="4">
        <f t="shared" si="9"/>
        <v>0</v>
      </c>
      <c r="D158" s="4">
        <f>'Raw Data'!D159*0.025</f>
        <v>0</v>
      </c>
      <c r="E158" s="4">
        <f t="shared" si="10"/>
        <v>0</v>
      </c>
      <c r="F158" s="4">
        <f>'Raw Data'!E159*0.001648</f>
        <v>0</v>
      </c>
      <c r="G158" s="4">
        <f>'Raw Data'!F159*0.001648</f>
        <v>0</v>
      </c>
      <c r="H158" s="4">
        <f>'Raw Data'!G159*6*0.000128176</f>
        <v>0</v>
      </c>
      <c r="I158" s="4">
        <f>'Raw Data'!H159*0.000732435</f>
        <v>0</v>
      </c>
      <c r="J158" s="4">
        <f t="shared" si="8"/>
        <v>0</v>
      </c>
      <c r="K158" s="36">
        <f>IF(('Raw Data'!I159-16384)/32768&lt;0,0,('Raw Data'!I159-16384)/32768)</f>
        <v>0</v>
      </c>
      <c r="L158" s="4">
        <f>IF(('Raw Data'!J159-12010)/45.6=-263.377192982456,0,('Raw Data'!J159-12010)/45.6)</f>
        <v>0</v>
      </c>
      <c r="M158" s="16">
        <f>'Raw Data'!N159*2^-8</f>
        <v>0</v>
      </c>
      <c r="N158" s="16">
        <f>'Raw Data'!O159*2^-8</f>
        <v>0</v>
      </c>
      <c r="O158" s="17" t="str">
        <f>IF(BITWISE_AND('Raw Data'!$K159, 8192),"X","")</f>
        <v/>
      </c>
      <c r="P158" s="17" t="str">
        <f>IF(BITWISE_AND('Raw Data'!$K159, 2048),"X","")</f>
        <v/>
      </c>
      <c r="Q158" s="17" t="str">
        <f>IF(BITWISE_AND('Raw Data'!$K159, 64),"X","")</f>
        <v/>
      </c>
      <c r="R158" s="18" t="str">
        <f>IF(BITWISE_AND('Raw Data'!$L159, 1024),"X","")</f>
        <v/>
      </c>
      <c r="S158" s="18" t="str">
        <f>IF(BITWISE_AND('Raw Data'!$L159, 512),"X","")</f>
        <v/>
      </c>
      <c r="T158" s="18" t="str">
        <f>IF(BITWISE_AND('Raw Data'!$L159, 256),"X","")</f>
        <v/>
      </c>
      <c r="U158" s="18" t="str">
        <f>IF(BITWISE_AND('Raw Data'!$L159, 64),"X","")</f>
        <v/>
      </c>
      <c r="V158" s="18" t="str">
        <f>IF(BITWISE_AND('Raw Data'!$L159, 2),"X","")</f>
        <v/>
      </c>
      <c r="W158" s="18" t="str">
        <f>IF(BITWISE_AND('Raw Data'!$L159, 1),"X","")</f>
        <v/>
      </c>
      <c r="X158" s="19" t="str">
        <f>IF(BITWISE_AND('Raw Data'!M159, 1),"Bat Voltage", IF(BITWISE_AND('Raw Data'!M159, 2), "Charge Current", IF(BITWISE_AND('Raw Data'!M159, 4),"Input Ilim", IF(BITWISE_AND('Raw Data'!M159, 8), "Input UV", "none"))))</f>
        <v>none</v>
      </c>
    </row>
    <row r="159" spans="1:24" x14ac:dyDescent="0.2">
      <c r="A159" s="15">
        <f>A158+TIME(0,0,'Raw Data'!B159)</f>
        <v>0</v>
      </c>
      <c r="B159" s="4">
        <f>'Raw Data'!C160*0.025</f>
        <v>0</v>
      </c>
      <c r="C159" s="4">
        <f t="shared" si="9"/>
        <v>0</v>
      </c>
      <c r="D159" s="4">
        <f>'Raw Data'!D160*0.025</f>
        <v>0</v>
      </c>
      <c r="E159" s="4">
        <f t="shared" si="10"/>
        <v>0</v>
      </c>
      <c r="F159" s="4">
        <f>'Raw Data'!E160*0.001648</f>
        <v>0</v>
      </c>
      <c r="G159" s="4">
        <f>'Raw Data'!F160*0.001648</f>
        <v>0</v>
      </c>
      <c r="H159" s="4">
        <f>'Raw Data'!G160*6*0.000128176</f>
        <v>0</v>
      </c>
      <c r="I159" s="4">
        <f>'Raw Data'!H160*0.000732435</f>
        <v>0</v>
      </c>
      <c r="J159" s="4">
        <f t="shared" si="8"/>
        <v>0</v>
      </c>
      <c r="K159" s="36">
        <f>IF(('Raw Data'!I160-16384)/32768&lt;0,0,('Raw Data'!I160-16384)/32768)</f>
        <v>0</v>
      </c>
      <c r="L159" s="4">
        <f>IF(('Raw Data'!J160-12010)/45.6=-263.377192982456,0,('Raw Data'!J160-12010)/45.6)</f>
        <v>0</v>
      </c>
      <c r="M159" s="16">
        <f>'Raw Data'!N160*2^-8</f>
        <v>0</v>
      </c>
      <c r="N159" s="16">
        <f>'Raw Data'!O160*2^-8</f>
        <v>0</v>
      </c>
      <c r="O159" s="17" t="str">
        <f>IF(BITWISE_AND('Raw Data'!$K160, 8192),"X","")</f>
        <v/>
      </c>
      <c r="P159" s="17" t="str">
        <f>IF(BITWISE_AND('Raw Data'!$K160, 2048),"X","")</f>
        <v/>
      </c>
      <c r="Q159" s="17" t="str">
        <f>IF(BITWISE_AND('Raw Data'!$K160, 64),"X","")</f>
        <v/>
      </c>
      <c r="R159" s="18" t="str">
        <f>IF(BITWISE_AND('Raw Data'!$L160, 1024),"X","")</f>
        <v/>
      </c>
      <c r="S159" s="18" t="str">
        <f>IF(BITWISE_AND('Raw Data'!$L160, 512),"X","")</f>
        <v/>
      </c>
      <c r="T159" s="18" t="str">
        <f>IF(BITWISE_AND('Raw Data'!$L160, 256),"X","")</f>
        <v/>
      </c>
      <c r="U159" s="18" t="str">
        <f>IF(BITWISE_AND('Raw Data'!$L160, 64),"X","")</f>
        <v/>
      </c>
      <c r="V159" s="18" t="str">
        <f>IF(BITWISE_AND('Raw Data'!$L160, 2),"X","")</f>
        <v/>
      </c>
      <c r="W159" s="18" t="str">
        <f>IF(BITWISE_AND('Raw Data'!$L160, 1),"X","")</f>
        <v/>
      </c>
      <c r="X159" s="19" t="str">
        <f>IF(BITWISE_AND('Raw Data'!M160, 1),"Bat Voltage", IF(BITWISE_AND('Raw Data'!M160, 2), "Charge Current", IF(BITWISE_AND('Raw Data'!M160, 4),"Input Ilim", IF(BITWISE_AND('Raw Data'!M160, 8), "Input UV", "none"))))</f>
        <v>none</v>
      </c>
    </row>
    <row r="160" spans="1:24" x14ac:dyDescent="0.2">
      <c r="A160" s="15">
        <f>A159+TIME(0,0,'Raw Data'!B160)</f>
        <v>0</v>
      </c>
      <c r="B160" s="4">
        <f>'Raw Data'!C161*0.025</f>
        <v>0</v>
      </c>
      <c r="C160" s="4">
        <f t="shared" si="9"/>
        <v>0</v>
      </c>
      <c r="D160" s="4">
        <f>'Raw Data'!D161*0.025</f>
        <v>0</v>
      </c>
      <c r="E160" s="4">
        <f t="shared" si="10"/>
        <v>0</v>
      </c>
      <c r="F160" s="4">
        <f>'Raw Data'!E161*0.001648</f>
        <v>0</v>
      </c>
      <c r="G160" s="4">
        <f>'Raw Data'!F161*0.001648</f>
        <v>0</v>
      </c>
      <c r="H160" s="4">
        <f>'Raw Data'!G161*6*0.000128176</f>
        <v>0</v>
      </c>
      <c r="I160" s="4">
        <f>'Raw Data'!H161*0.000732435</f>
        <v>0</v>
      </c>
      <c r="J160" s="4">
        <f t="shared" si="8"/>
        <v>0</v>
      </c>
      <c r="K160" s="36">
        <f>IF(('Raw Data'!I161-16384)/32768&lt;0,0,('Raw Data'!I161-16384)/32768)</f>
        <v>0</v>
      </c>
      <c r="L160" s="4">
        <f>IF(('Raw Data'!J161-12010)/45.6=-263.377192982456,0,('Raw Data'!J161-12010)/45.6)</f>
        <v>0</v>
      </c>
      <c r="M160" s="16">
        <f>'Raw Data'!N161*2^-8</f>
        <v>0</v>
      </c>
      <c r="N160" s="16">
        <f>'Raw Data'!O161*2^-8</f>
        <v>0</v>
      </c>
      <c r="O160" s="17" t="str">
        <f>IF(BITWISE_AND('Raw Data'!$K161, 8192),"X","")</f>
        <v/>
      </c>
      <c r="P160" s="17" t="str">
        <f>IF(BITWISE_AND('Raw Data'!$K161, 2048),"X","")</f>
        <v/>
      </c>
      <c r="Q160" s="17" t="str">
        <f>IF(BITWISE_AND('Raw Data'!$K161, 64),"X","")</f>
        <v/>
      </c>
      <c r="R160" s="18" t="str">
        <f>IF(BITWISE_AND('Raw Data'!$L161, 1024),"X","")</f>
        <v/>
      </c>
      <c r="S160" s="18" t="str">
        <f>IF(BITWISE_AND('Raw Data'!$L161, 512),"X","")</f>
        <v/>
      </c>
      <c r="T160" s="18" t="str">
        <f>IF(BITWISE_AND('Raw Data'!$L161, 256),"X","")</f>
        <v/>
      </c>
      <c r="U160" s="18" t="str">
        <f>IF(BITWISE_AND('Raw Data'!$L161, 64),"X","")</f>
        <v/>
      </c>
      <c r="V160" s="18" t="str">
        <f>IF(BITWISE_AND('Raw Data'!$L161, 2),"X","")</f>
        <v/>
      </c>
      <c r="W160" s="18" t="str">
        <f>IF(BITWISE_AND('Raw Data'!$L161, 1),"X","")</f>
        <v/>
      </c>
      <c r="X160" s="19" t="str">
        <f>IF(BITWISE_AND('Raw Data'!M161, 1),"Bat Voltage", IF(BITWISE_AND('Raw Data'!M161, 2), "Charge Current", IF(BITWISE_AND('Raw Data'!M161, 4),"Input Ilim", IF(BITWISE_AND('Raw Data'!M161, 8), "Input UV", "none"))))</f>
        <v>none</v>
      </c>
    </row>
    <row r="161" spans="1:24" x14ac:dyDescent="0.2">
      <c r="A161" s="15">
        <f>A160+TIME(0,0,'Raw Data'!B161)</f>
        <v>0</v>
      </c>
      <c r="B161" s="4">
        <f>'Raw Data'!C162*0.025</f>
        <v>0</v>
      </c>
      <c r="C161" s="4">
        <f t="shared" si="9"/>
        <v>0</v>
      </c>
      <c r="D161" s="4">
        <f>'Raw Data'!D162*0.025</f>
        <v>0</v>
      </c>
      <c r="E161" s="4">
        <f t="shared" si="10"/>
        <v>0</v>
      </c>
      <c r="F161" s="4">
        <f>'Raw Data'!E162*0.001648</f>
        <v>0</v>
      </c>
      <c r="G161" s="4">
        <f>'Raw Data'!F162*0.001648</f>
        <v>0</v>
      </c>
      <c r="H161" s="4">
        <f>'Raw Data'!G162*6*0.000128176</f>
        <v>0</v>
      </c>
      <c r="I161" s="4">
        <f>'Raw Data'!H162*0.000732435</f>
        <v>0</v>
      </c>
      <c r="J161" s="4">
        <f t="shared" si="8"/>
        <v>0</v>
      </c>
      <c r="K161" s="36">
        <f>IF(('Raw Data'!I162-16384)/32768&lt;0,0,('Raw Data'!I162-16384)/32768)</f>
        <v>0</v>
      </c>
      <c r="L161" s="4">
        <f>IF(('Raw Data'!J162-12010)/45.6=-263.377192982456,0,('Raw Data'!J162-12010)/45.6)</f>
        <v>0</v>
      </c>
      <c r="M161" s="16">
        <f>'Raw Data'!N162*2^-8</f>
        <v>0</v>
      </c>
      <c r="N161" s="16">
        <f>'Raw Data'!O162*2^-8</f>
        <v>0</v>
      </c>
      <c r="O161" s="17" t="str">
        <f>IF(BITWISE_AND('Raw Data'!$K162, 8192),"X","")</f>
        <v/>
      </c>
      <c r="P161" s="17" t="str">
        <f>IF(BITWISE_AND('Raw Data'!$K162, 2048),"X","")</f>
        <v/>
      </c>
      <c r="Q161" s="17" t="str">
        <f>IF(BITWISE_AND('Raw Data'!$K162, 64),"X","")</f>
        <v/>
      </c>
      <c r="R161" s="18" t="str">
        <f>IF(BITWISE_AND('Raw Data'!$L162, 1024),"X","")</f>
        <v/>
      </c>
      <c r="S161" s="18" t="str">
        <f>IF(BITWISE_AND('Raw Data'!$L162, 512),"X","")</f>
        <v/>
      </c>
      <c r="T161" s="18" t="str">
        <f>IF(BITWISE_AND('Raw Data'!$L162, 256),"X","")</f>
        <v/>
      </c>
      <c r="U161" s="18" t="str">
        <f>IF(BITWISE_AND('Raw Data'!$L162, 64),"X","")</f>
        <v/>
      </c>
      <c r="V161" s="18" t="str">
        <f>IF(BITWISE_AND('Raw Data'!$L162, 2),"X","")</f>
        <v/>
      </c>
      <c r="W161" s="18" t="str">
        <f>IF(BITWISE_AND('Raw Data'!$L162, 1),"X","")</f>
        <v/>
      </c>
      <c r="X161" s="19" t="str">
        <f>IF(BITWISE_AND('Raw Data'!M162, 1),"Bat Voltage", IF(BITWISE_AND('Raw Data'!M162, 2), "Charge Current", IF(BITWISE_AND('Raw Data'!M162, 4),"Input Ilim", IF(BITWISE_AND('Raw Data'!M162, 8), "Input UV", "none"))))</f>
        <v>none</v>
      </c>
    </row>
    <row r="162" spans="1:24" x14ac:dyDescent="0.2">
      <c r="A162" s="15">
        <f>A161+TIME(0,0,'Raw Data'!B162)</f>
        <v>0</v>
      </c>
      <c r="B162" s="4">
        <f>'Raw Data'!C163*0.025</f>
        <v>0</v>
      </c>
      <c r="C162" s="4">
        <f t="shared" si="9"/>
        <v>0</v>
      </c>
      <c r="D162" s="4">
        <f>'Raw Data'!D163*0.025</f>
        <v>0</v>
      </c>
      <c r="E162" s="4">
        <f t="shared" si="10"/>
        <v>0</v>
      </c>
      <c r="F162" s="4">
        <f>'Raw Data'!E163*0.001648</f>
        <v>0</v>
      </c>
      <c r="G162" s="4">
        <f>'Raw Data'!F163*0.001648</f>
        <v>0</v>
      </c>
      <c r="H162" s="4">
        <f>'Raw Data'!G163*6*0.000128176</f>
        <v>0</v>
      </c>
      <c r="I162" s="4">
        <f>'Raw Data'!H163*0.000732435</f>
        <v>0</v>
      </c>
      <c r="J162" s="4">
        <f t="shared" si="8"/>
        <v>0</v>
      </c>
      <c r="K162" s="36">
        <f>IF(('Raw Data'!I163-16384)/32768&lt;0,0,('Raw Data'!I163-16384)/32768)</f>
        <v>0</v>
      </c>
      <c r="L162" s="4">
        <f>IF(('Raw Data'!J163-12010)/45.6=-263.377192982456,0,('Raw Data'!J163-12010)/45.6)</f>
        <v>0</v>
      </c>
      <c r="M162" s="16">
        <f>'Raw Data'!N163*2^-8</f>
        <v>0</v>
      </c>
      <c r="N162" s="16">
        <f>'Raw Data'!O163*2^-8</f>
        <v>0</v>
      </c>
      <c r="O162" s="17" t="str">
        <f>IF(BITWISE_AND('Raw Data'!$K163, 8192),"X","")</f>
        <v/>
      </c>
      <c r="P162" s="17" t="str">
        <f>IF(BITWISE_AND('Raw Data'!$K163, 2048),"X","")</f>
        <v/>
      </c>
      <c r="Q162" s="17" t="str">
        <f>IF(BITWISE_AND('Raw Data'!$K163, 64),"X","")</f>
        <v/>
      </c>
      <c r="R162" s="18" t="str">
        <f>IF(BITWISE_AND('Raw Data'!$L163, 1024),"X","")</f>
        <v/>
      </c>
      <c r="S162" s="18" t="str">
        <f>IF(BITWISE_AND('Raw Data'!$L163, 512),"X","")</f>
        <v/>
      </c>
      <c r="T162" s="18" t="str">
        <f>IF(BITWISE_AND('Raw Data'!$L163, 256),"X","")</f>
        <v/>
      </c>
      <c r="U162" s="18" t="str">
        <f>IF(BITWISE_AND('Raw Data'!$L163, 64),"X","")</f>
        <v/>
      </c>
      <c r="V162" s="18" t="str">
        <f>IF(BITWISE_AND('Raw Data'!$L163, 2),"X","")</f>
        <v/>
      </c>
      <c r="W162" s="18" t="str">
        <f>IF(BITWISE_AND('Raw Data'!$L163, 1),"X","")</f>
        <v/>
      </c>
      <c r="X162" s="19" t="str">
        <f>IF(BITWISE_AND('Raw Data'!M163, 1),"Bat Voltage", IF(BITWISE_AND('Raw Data'!M163, 2), "Charge Current", IF(BITWISE_AND('Raw Data'!M163, 4),"Input Ilim", IF(BITWISE_AND('Raw Data'!M163, 8), "Input UV", "none"))))</f>
        <v>none</v>
      </c>
    </row>
    <row r="163" spans="1:24" x14ac:dyDescent="0.2">
      <c r="A163" s="15">
        <f>A162+TIME(0,0,'Raw Data'!B163)</f>
        <v>0</v>
      </c>
      <c r="B163" s="4">
        <f>'Raw Data'!C164*0.025</f>
        <v>0</v>
      </c>
      <c r="C163" s="4">
        <f t="shared" si="9"/>
        <v>0</v>
      </c>
      <c r="D163" s="4">
        <f>'Raw Data'!D164*0.025</f>
        <v>0</v>
      </c>
      <c r="E163" s="4">
        <f t="shared" si="10"/>
        <v>0</v>
      </c>
      <c r="F163" s="4">
        <f>'Raw Data'!E164*0.001648</f>
        <v>0</v>
      </c>
      <c r="G163" s="4">
        <f>'Raw Data'!F164*0.001648</f>
        <v>0</v>
      </c>
      <c r="H163" s="4">
        <f>'Raw Data'!G164*6*0.000128176</f>
        <v>0</v>
      </c>
      <c r="I163" s="4">
        <f>'Raw Data'!H164*0.000732435</f>
        <v>0</v>
      </c>
      <c r="J163" s="4">
        <f t="shared" si="8"/>
        <v>0</v>
      </c>
      <c r="K163" s="36">
        <f>IF(('Raw Data'!I164-16384)/32768&lt;0,0,('Raw Data'!I164-16384)/32768)</f>
        <v>0</v>
      </c>
      <c r="L163" s="4">
        <f>IF(('Raw Data'!J164-12010)/45.6=-263.377192982456,0,('Raw Data'!J164-12010)/45.6)</f>
        <v>0</v>
      </c>
      <c r="M163" s="16">
        <f>'Raw Data'!N164*2^-8</f>
        <v>0</v>
      </c>
      <c r="N163" s="16">
        <f>'Raw Data'!O164*2^-8</f>
        <v>0</v>
      </c>
      <c r="O163" s="17" t="str">
        <f>IF(BITWISE_AND('Raw Data'!$K164, 8192),"X","")</f>
        <v/>
      </c>
      <c r="P163" s="17" t="str">
        <f>IF(BITWISE_AND('Raw Data'!$K164, 2048),"X","")</f>
        <v/>
      </c>
      <c r="Q163" s="17" t="str">
        <f>IF(BITWISE_AND('Raw Data'!$K164, 64),"X","")</f>
        <v/>
      </c>
      <c r="R163" s="18" t="str">
        <f>IF(BITWISE_AND('Raw Data'!$L164, 1024),"X","")</f>
        <v/>
      </c>
      <c r="S163" s="18" t="str">
        <f>IF(BITWISE_AND('Raw Data'!$L164, 512),"X","")</f>
        <v/>
      </c>
      <c r="T163" s="18" t="str">
        <f>IF(BITWISE_AND('Raw Data'!$L164, 256),"X","")</f>
        <v/>
      </c>
      <c r="U163" s="18" t="str">
        <f>IF(BITWISE_AND('Raw Data'!$L164, 64),"X","")</f>
        <v/>
      </c>
      <c r="V163" s="18" t="str">
        <f>IF(BITWISE_AND('Raw Data'!$L164, 2),"X","")</f>
        <v/>
      </c>
      <c r="W163" s="18" t="str">
        <f>IF(BITWISE_AND('Raw Data'!$L164, 1),"X","")</f>
        <v/>
      </c>
      <c r="X163" s="19" t="str">
        <f>IF(BITWISE_AND('Raw Data'!M164, 1),"Bat Voltage", IF(BITWISE_AND('Raw Data'!M164, 2), "Charge Current", IF(BITWISE_AND('Raw Data'!M164, 4),"Input Ilim", IF(BITWISE_AND('Raw Data'!M164, 8), "Input UV", "none"))))</f>
        <v>none</v>
      </c>
    </row>
    <row r="164" spans="1:24" x14ac:dyDescent="0.2">
      <c r="A164" s="15">
        <f>A163+TIME(0,0,'Raw Data'!B164)</f>
        <v>0</v>
      </c>
      <c r="B164" s="4">
        <f>'Raw Data'!C165*0.025</f>
        <v>0</v>
      </c>
      <c r="C164" s="4">
        <f t="shared" si="9"/>
        <v>0</v>
      </c>
      <c r="D164" s="4">
        <f>'Raw Data'!D165*0.025</f>
        <v>0</v>
      </c>
      <c r="E164" s="4">
        <f t="shared" si="10"/>
        <v>0</v>
      </c>
      <c r="F164" s="4">
        <f>'Raw Data'!E165*0.001648</f>
        <v>0</v>
      </c>
      <c r="G164" s="4">
        <f>'Raw Data'!F165*0.001648</f>
        <v>0</v>
      </c>
      <c r="H164" s="4">
        <f>'Raw Data'!G165*6*0.000128176</f>
        <v>0</v>
      </c>
      <c r="I164" s="4">
        <f>'Raw Data'!H165*0.000732435</f>
        <v>0</v>
      </c>
      <c r="J164" s="4">
        <f t="shared" si="8"/>
        <v>0</v>
      </c>
      <c r="K164" s="36">
        <f>IF(('Raw Data'!I165-16384)/32768&lt;0,0,('Raw Data'!I165-16384)/32768)</f>
        <v>0</v>
      </c>
      <c r="L164" s="4">
        <f>IF(('Raw Data'!J165-12010)/45.6=-263.377192982456,0,('Raw Data'!J165-12010)/45.6)</f>
        <v>0</v>
      </c>
      <c r="M164" s="16">
        <f>'Raw Data'!N165*2^-8</f>
        <v>0</v>
      </c>
      <c r="N164" s="16">
        <f>'Raw Data'!O165*2^-8</f>
        <v>0</v>
      </c>
      <c r="O164" s="17" t="str">
        <f>IF(BITWISE_AND('Raw Data'!$K165, 8192),"X","")</f>
        <v/>
      </c>
      <c r="P164" s="17" t="str">
        <f>IF(BITWISE_AND('Raw Data'!$K165, 2048),"X","")</f>
        <v/>
      </c>
      <c r="Q164" s="17" t="str">
        <f>IF(BITWISE_AND('Raw Data'!$K165, 64),"X","")</f>
        <v/>
      </c>
      <c r="R164" s="18" t="str">
        <f>IF(BITWISE_AND('Raw Data'!$L165, 1024),"X","")</f>
        <v/>
      </c>
      <c r="S164" s="18" t="str">
        <f>IF(BITWISE_AND('Raw Data'!$L165, 512),"X","")</f>
        <v/>
      </c>
      <c r="T164" s="18" t="str">
        <f>IF(BITWISE_AND('Raw Data'!$L165, 256),"X","")</f>
        <v/>
      </c>
      <c r="U164" s="18" t="str">
        <f>IF(BITWISE_AND('Raw Data'!$L165, 64),"X","")</f>
        <v/>
      </c>
      <c r="V164" s="18" t="str">
        <f>IF(BITWISE_AND('Raw Data'!$L165, 2),"X","")</f>
        <v/>
      </c>
      <c r="W164" s="18" t="str">
        <f>IF(BITWISE_AND('Raw Data'!$L165, 1),"X","")</f>
        <v/>
      </c>
      <c r="X164" s="19" t="str">
        <f>IF(BITWISE_AND('Raw Data'!M165, 1),"Bat Voltage", IF(BITWISE_AND('Raw Data'!M165, 2), "Charge Current", IF(BITWISE_AND('Raw Data'!M165, 4),"Input Ilim", IF(BITWISE_AND('Raw Data'!M165, 8), "Input UV", "none"))))</f>
        <v>none</v>
      </c>
    </row>
    <row r="165" spans="1:24" x14ac:dyDescent="0.2">
      <c r="A165" s="15">
        <f>A164+TIME(0,0,'Raw Data'!B165)</f>
        <v>0</v>
      </c>
      <c r="B165" s="4">
        <f>'Raw Data'!C166*0.025</f>
        <v>0</v>
      </c>
      <c r="C165" s="4">
        <f t="shared" si="9"/>
        <v>0</v>
      </c>
      <c r="D165" s="4">
        <f>'Raw Data'!D166*0.025</f>
        <v>0</v>
      </c>
      <c r="E165" s="4">
        <f t="shared" si="10"/>
        <v>0</v>
      </c>
      <c r="F165" s="4">
        <f>'Raw Data'!E166*0.001648</f>
        <v>0</v>
      </c>
      <c r="G165" s="4">
        <f>'Raw Data'!F166*0.001648</f>
        <v>0</v>
      </c>
      <c r="H165" s="4">
        <f>'Raw Data'!G166*6*0.000128176</f>
        <v>0</v>
      </c>
      <c r="I165" s="4">
        <f>'Raw Data'!H166*0.000732435</f>
        <v>0</v>
      </c>
      <c r="J165" s="4">
        <f t="shared" si="8"/>
        <v>0</v>
      </c>
      <c r="K165" s="36">
        <f>IF(('Raw Data'!I166-16384)/32768&lt;0,0,('Raw Data'!I166-16384)/32768)</f>
        <v>0</v>
      </c>
      <c r="L165" s="4">
        <f>IF(('Raw Data'!J166-12010)/45.6=-263.377192982456,0,('Raw Data'!J166-12010)/45.6)</f>
        <v>0</v>
      </c>
      <c r="M165" s="16">
        <f>'Raw Data'!N166*2^-8</f>
        <v>0</v>
      </c>
      <c r="N165" s="16">
        <f>'Raw Data'!O166*2^-8</f>
        <v>0</v>
      </c>
      <c r="O165" s="17" t="str">
        <f>IF(BITWISE_AND('Raw Data'!$K166, 8192),"X","")</f>
        <v/>
      </c>
      <c r="P165" s="17" t="str">
        <f>IF(BITWISE_AND('Raw Data'!$K166, 2048),"X","")</f>
        <v/>
      </c>
      <c r="Q165" s="17" t="str">
        <f>IF(BITWISE_AND('Raw Data'!$K166, 64),"X","")</f>
        <v/>
      </c>
      <c r="R165" s="18" t="str">
        <f>IF(BITWISE_AND('Raw Data'!$L166, 1024),"X","")</f>
        <v/>
      </c>
      <c r="S165" s="18" t="str">
        <f>IF(BITWISE_AND('Raw Data'!$L166, 512),"X","")</f>
        <v/>
      </c>
      <c r="T165" s="18" t="str">
        <f>IF(BITWISE_AND('Raw Data'!$L166, 256),"X","")</f>
        <v/>
      </c>
      <c r="U165" s="18" t="str">
        <f>IF(BITWISE_AND('Raw Data'!$L166, 64),"X","")</f>
        <v/>
      </c>
      <c r="V165" s="18" t="str">
        <f>IF(BITWISE_AND('Raw Data'!$L166, 2),"X","")</f>
        <v/>
      </c>
      <c r="W165" s="18" t="str">
        <f>IF(BITWISE_AND('Raw Data'!$L166, 1),"X","")</f>
        <v/>
      </c>
      <c r="X165" s="19" t="str">
        <f>IF(BITWISE_AND('Raw Data'!M166, 1),"Bat Voltage", IF(BITWISE_AND('Raw Data'!M166, 2), "Charge Current", IF(BITWISE_AND('Raw Data'!M166, 4),"Input Ilim", IF(BITWISE_AND('Raw Data'!M166, 8), "Input UV", "none"))))</f>
        <v>none</v>
      </c>
    </row>
    <row r="166" spans="1:24" x14ac:dyDescent="0.2">
      <c r="A166" s="15">
        <f>A165+TIME(0,0,'Raw Data'!B166)</f>
        <v>0</v>
      </c>
      <c r="B166" s="4">
        <f>'Raw Data'!C167*0.025</f>
        <v>0</v>
      </c>
      <c r="C166" s="4">
        <f t="shared" si="9"/>
        <v>0</v>
      </c>
      <c r="D166" s="4">
        <f>'Raw Data'!D167*0.025</f>
        <v>0</v>
      </c>
      <c r="E166" s="4">
        <f t="shared" si="10"/>
        <v>0</v>
      </c>
      <c r="F166" s="4">
        <f>'Raw Data'!E167*0.001648</f>
        <v>0</v>
      </c>
      <c r="G166" s="4">
        <f>'Raw Data'!F167*0.001648</f>
        <v>0</v>
      </c>
      <c r="H166" s="4">
        <f>'Raw Data'!G167*6*0.000128176</f>
        <v>0</v>
      </c>
      <c r="I166" s="4">
        <f>'Raw Data'!H167*0.000732435</f>
        <v>0</v>
      </c>
      <c r="J166" s="4">
        <f t="shared" si="8"/>
        <v>0</v>
      </c>
      <c r="K166" s="36">
        <f>IF(('Raw Data'!I167-16384)/32768&lt;0,0,('Raw Data'!I167-16384)/32768)</f>
        <v>0</v>
      </c>
      <c r="L166" s="4">
        <f>IF(('Raw Data'!J167-12010)/45.6=-263.377192982456,0,('Raw Data'!J167-12010)/45.6)</f>
        <v>0</v>
      </c>
      <c r="M166" s="16">
        <f>'Raw Data'!N167*2^-8</f>
        <v>0</v>
      </c>
      <c r="N166" s="16">
        <f>'Raw Data'!O167*2^-8</f>
        <v>0</v>
      </c>
      <c r="O166" s="17" t="str">
        <f>IF(BITWISE_AND('Raw Data'!$K167, 8192),"X","")</f>
        <v/>
      </c>
      <c r="P166" s="17" t="str">
        <f>IF(BITWISE_AND('Raw Data'!$K167, 2048),"X","")</f>
        <v/>
      </c>
      <c r="Q166" s="17" t="str">
        <f>IF(BITWISE_AND('Raw Data'!$K167, 64),"X","")</f>
        <v/>
      </c>
      <c r="R166" s="18" t="str">
        <f>IF(BITWISE_AND('Raw Data'!$L167, 1024),"X","")</f>
        <v/>
      </c>
      <c r="S166" s="18" t="str">
        <f>IF(BITWISE_AND('Raw Data'!$L167, 512),"X","")</f>
        <v/>
      </c>
      <c r="T166" s="18" t="str">
        <f>IF(BITWISE_AND('Raw Data'!$L167, 256),"X","")</f>
        <v/>
      </c>
      <c r="U166" s="18" t="str">
        <f>IF(BITWISE_AND('Raw Data'!$L167, 64),"X","")</f>
        <v/>
      </c>
      <c r="V166" s="18" t="str">
        <f>IF(BITWISE_AND('Raw Data'!$L167, 2),"X","")</f>
        <v/>
      </c>
      <c r="W166" s="18" t="str">
        <f>IF(BITWISE_AND('Raw Data'!$L167, 1),"X","")</f>
        <v/>
      </c>
      <c r="X166" s="19" t="str">
        <f>IF(BITWISE_AND('Raw Data'!M167, 1),"Bat Voltage", IF(BITWISE_AND('Raw Data'!M167, 2), "Charge Current", IF(BITWISE_AND('Raw Data'!M167, 4),"Input Ilim", IF(BITWISE_AND('Raw Data'!M167, 8), "Input UV", "none"))))</f>
        <v>none</v>
      </c>
    </row>
    <row r="167" spans="1:24" x14ac:dyDescent="0.2">
      <c r="A167" s="15">
        <f>A166+TIME(0,0,'Raw Data'!B167)</f>
        <v>0</v>
      </c>
      <c r="B167" s="4">
        <f>'Raw Data'!C168*0.025</f>
        <v>0</v>
      </c>
      <c r="C167" s="4">
        <f t="shared" si="9"/>
        <v>0</v>
      </c>
      <c r="D167" s="4">
        <f>'Raw Data'!D168*0.025</f>
        <v>0</v>
      </c>
      <c r="E167" s="4">
        <f t="shared" si="10"/>
        <v>0</v>
      </c>
      <c r="F167" s="4">
        <f>'Raw Data'!E168*0.001648</f>
        <v>0</v>
      </c>
      <c r="G167" s="4">
        <f>'Raw Data'!F168*0.001648</f>
        <v>0</v>
      </c>
      <c r="H167" s="4">
        <f>'Raw Data'!G168*6*0.000128176</f>
        <v>0</v>
      </c>
      <c r="I167" s="4">
        <f>'Raw Data'!H168*0.000732435</f>
        <v>0</v>
      </c>
      <c r="J167" s="4">
        <f t="shared" si="8"/>
        <v>0</v>
      </c>
      <c r="K167" s="36">
        <f>IF(('Raw Data'!I168-16384)/32768&lt;0,0,('Raw Data'!I168-16384)/32768)</f>
        <v>0</v>
      </c>
      <c r="L167" s="4">
        <f>IF(('Raw Data'!J168-12010)/45.6=-263.377192982456,0,('Raw Data'!J168-12010)/45.6)</f>
        <v>0</v>
      </c>
      <c r="M167" s="16">
        <f>'Raw Data'!N168*2^-8</f>
        <v>0</v>
      </c>
      <c r="N167" s="16">
        <f>'Raw Data'!O168*2^-8</f>
        <v>0</v>
      </c>
      <c r="O167" s="17" t="str">
        <f>IF(BITWISE_AND('Raw Data'!$K168, 8192),"X","")</f>
        <v/>
      </c>
      <c r="P167" s="17" t="str">
        <f>IF(BITWISE_AND('Raw Data'!$K168, 2048),"X","")</f>
        <v/>
      </c>
      <c r="Q167" s="17" t="str">
        <f>IF(BITWISE_AND('Raw Data'!$K168, 64),"X","")</f>
        <v/>
      </c>
      <c r="R167" s="18" t="str">
        <f>IF(BITWISE_AND('Raw Data'!$L168, 1024),"X","")</f>
        <v/>
      </c>
      <c r="S167" s="18" t="str">
        <f>IF(BITWISE_AND('Raw Data'!$L168, 512),"X","")</f>
        <v/>
      </c>
      <c r="T167" s="18" t="str">
        <f>IF(BITWISE_AND('Raw Data'!$L168, 256),"X","")</f>
        <v/>
      </c>
      <c r="U167" s="18" t="str">
        <f>IF(BITWISE_AND('Raw Data'!$L168, 64),"X","")</f>
        <v/>
      </c>
      <c r="V167" s="18" t="str">
        <f>IF(BITWISE_AND('Raw Data'!$L168, 2),"X","")</f>
        <v/>
      </c>
      <c r="W167" s="18" t="str">
        <f>IF(BITWISE_AND('Raw Data'!$L168, 1),"X","")</f>
        <v/>
      </c>
      <c r="X167" s="19" t="str">
        <f>IF(BITWISE_AND('Raw Data'!M168, 1),"Bat Voltage", IF(BITWISE_AND('Raw Data'!M168, 2), "Charge Current", IF(BITWISE_AND('Raw Data'!M168, 4),"Input Ilim", IF(BITWISE_AND('Raw Data'!M168, 8), "Input UV", "none"))))</f>
        <v>none</v>
      </c>
    </row>
    <row r="168" spans="1:24" x14ac:dyDescent="0.2">
      <c r="A168" s="15">
        <f>A167+TIME(0,0,'Raw Data'!B168)</f>
        <v>0</v>
      </c>
      <c r="B168" s="4">
        <f>'Raw Data'!C169*0.025</f>
        <v>0</v>
      </c>
      <c r="C168" s="4">
        <f t="shared" si="9"/>
        <v>0</v>
      </c>
      <c r="D168" s="4">
        <f>'Raw Data'!D169*0.025</f>
        <v>0</v>
      </c>
      <c r="E168" s="4">
        <f t="shared" si="10"/>
        <v>0</v>
      </c>
      <c r="F168" s="4">
        <f>'Raw Data'!E169*0.001648</f>
        <v>0</v>
      </c>
      <c r="G168" s="4">
        <f>'Raw Data'!F169*0.001648</f>
        <v>0</v>
      </c>
      <c r="H168" s="4">
        <f>'Raw Data'!G169*6*0.000128176</f>
        <v>0</v>
      </c>
      <c r="I168" s="4">
        <f>'Raw Data'!H169*0.000732435</f>
        <v>0</v>
      </c>
      <c r="J168" s="4">
        <f t="shared" si="8"/>
        <v>0</v>
      </c>
      <c r="K168" s="36">
        <f>IF(('Raw Data'!I169-16384)/32768&lt;0,0,('Raw Data'!I169-16384)/32768)</f>
        <v>0</v>
      </c>
      <c r="L168" s="4">
        <f>IF(('Raw Data'!J169-12010)/45.6=-263.377192982456,0,('Raw Data'!J169-12010)/45.6)</f>
        <v>0</v>
      </c>
      <c r="M168" s="16">
        <f>'Raw Data'!N169*2^-8</f>
        <v>0</v>
      </c>
      <c r="N168" s="16">
        <f>'Raw Data'!O169*2^-8</f>
        <v>0</v>
      </c>
      <c r="O168" s="17" t="str">
        <f>IF(BITWISE_AND('Raw Data'!$K169, 8192),"X","")</f>
        <v/>
      </c>
      <c r="P168" s="17" t="str">
        <f>IF(BITWISE_AND('Raw Data'!$K169, 2048),"X","")</f>
        <v/>
      </c>
      <c r="Q168" s="17" t="str">
        <f>IF(BITWISE_AND('Raw Data'!$K169, 64),"X","")</f>
        <v/>
      </c>
      <c r="R168" s="18" t="str">
        <f>IF(BITWISE_AND('Raw Data'!$L169, 1024),"X","")</f>
        <v/>
      </c>
      <c r="S168" s="18" t="str">
        <f>IF(BITWISE_AND('Raw Data'!$L169, 512),"X","")</f>
        <v/>
      </c>
      <c r="T168" s="18" t="str">
        <f>IF(BITWISE_AND('Raw Data'!$L169, 256),"X","")</f>
        <v/>
      </c>
      <c r="U168" s="18" t="str">
        <f>IF(BITWISE_AND('Raw Data'!$L169, 64),"X","")</f>
        <v/>
      </c>
      <c r="V168" s="18" t="str">
        <f>IF(BITWISE_AND('Raw Data'!$L169, 2),"X","")</f>
        <v/>
      </c>
      <c r="W168" s="18" t="str">
        <f>IF(BITWISE_AND('Raw Data'!$L169, 1),"X","")</f>
        <v/>
      </c>
      <c r="X168" s="19" t="str">
        <f>IF(BITWISE_AND('Raw Data'!M169, 1),"Bat Voltage", IF(BITWISE_AND('Raw Data'!M169, 2), "Charge Current", IF(BITWISE_AND('Raw Data'!M169, 4),"Input Ilim", IF(BITWISE_AND('Raw Data'!M169, 8), "Input UV", "none"))))</f>
        <v>none</v>
      </c>
    </row>
    <row r="169" spans="1:24" x14ac:dyDescent="0.2">
      <c r="A169" s="15">
        <f>A168+TIME(0,0,'Raw Data'!B169)</f>
        <v>0</v>
      </c>
      <c r="B169" s="4">
        <f>'Raw Data'!C170*0.025</f>
        <v>0</v>
      </c>
      <c r="C169" s="4">
        <f t="shared" si="9"/>
        <v>0</v>
      </c>
      <c r="D169" s="4">
        <f>'Raw Data'!D170*0.025</f>
        <v>0</v>
      </c>
      <c r="E169" s="4">
        <f t="shared" si="10"/>
        <v>0</v>
      </c>
      <c r="F169" s="4">
        <f>'Raw Data'!E170*0.001648</f>
        <v>0</v>
      </c>
      <c r="G169" s="4">
        <f>'Raw Data'!F170*0.001648</f>
        <v>0</v>
      </c>
      <c r="H169" s="4">
        <f>'Raw Data'!G170*6*0.000128176</f>
        <v>0</v>
      </c>
      <c r="I169" s="4">
        <f>'Raw Data'!H170*0.000732435</f>
        <v>0</v>
      </c>
      <c r="J169" s="4">
        <f t="shared" si="8"/>
        <v>0</v>
      </c>
      <c r="K169" s="36">
        <f>IF(('Raw Data'!I170-16384)/32768&lt;0,0,('Raw Data'!I170-16384)/32768)</f>
        <v>0</v>
      </c>
      <c r="L169" s="4">
        <f>IF(('Raw Data'!J170-12010)/45.6=-263.377192982456,0,('Raw Data'!J170-12010)/45.6)</f>
        <v>0</v>
      </c>
      <c r="M169" s="16">
        <f>'Raw Data'!N170*2^-8</f>
        <v>0</v>
      </c>
      <c r="N169" s="16">
        <f>'Raw Data'!O170*2^-8</f>
        <v>0</v>
      </c>
      <c r="O169" s="17" t="str">
        <f>IF(BITWISE_AND('Raw Data'!$K170, 8192),"X","")</f>
        <v/>
      </c>
      <c r="P169" s="17" t="str">
        <f>IF(BITWISE_AND('Raw Data'!$K170, 2048),"X","")</f>
        <v/>
      </c>
      <c r="Q169" s="17" t="str">
        <f>IF(BITWISE_AND('Raw Data'!$K170, 64),"X","")</f>
        <v/>
      </c>
      <c r="R169" s="18" t="str">
        <f>IF(BITWISE_AND('Raw Data'!$L170, 1024),"X","")</f>
        <v/>
      </c>
      <c r="S169" s="18" t="str">
        <f>IF(BITWISE_AND('Raw Data'!$L170, 512),"X","")</f>
        <v/>
      </c>
      <c r="T169" s="18" t="str">
        <f>IF(BITWISE_AND('Raw Data'!$L170, 256),"X","")</f>
        <v/>
      </c>
      <c r="U169" s="18" t="str">
        <f>IF(BITWISE_AND('Raw Data'!$L170, 64),"X","")</f>
        <v/>
      </c>
      <c r="V169" s="18" t="str">
        <f>IF(BITWISE_AND('Raw Data'!$L170, 2),"X","")</f>
        <v/>
      </c>
      <c r="W169" s="18" t="str">
        <f>IF(BITWISE_AND('Raw Data'!$L170, 1),"X","")</f>
        <v/>
      </c>
      <c r="X169" s="19" t="str">
        <f>IF(BITWISE_AND('Raw Data'!M170, 1),"Bat Voltage", IF(BITWISE_AND('Raw Data'!M170, 2), "Charge Current", IF(BITWISE_AND('Raw Data'!M170, 4),"Input Ilim", IF(BITWISE_AND('Raw Data'!M170, 8), "Input UV", "none"))))</f>
        <v>none</v>
      </c>
    </row>
    <row r="170" spans="1:24" x14ac:dyDescent="0.2">
      <c r="A170" s="15">
        <f>A169+TIME(0,0,'Raw Data'!B170)</f>
        <v>0</v>
      </c>
      <c r="B170" s="4">
        <f>'Raw Data'!C171*0.025</f>
        <v>0</v>
      </c>
      <c r="C170" s="4">
        <f t="shared" si="9"/>
        <v>0</v>
      </c>
      <c r="D170" s="4">
        <f>'Raw Data'!D171*0.025</f>
        <v>0</v>
      </c>
      <c r="E170" s="4">
        <f t="shared" si="10"/>
        <v>0</v>
      </c>
      <c r="F170" s="4">
        <f>'Raw Data'!E171*0.001648</f>
        <v>0</v>
      </c>
      <c r="G170" s="4">
        <f>'Raw Data'!F171*0.001648</f>
        <v>0</v>
      </c>
      <c r="H170" s="4">
        <f>'Raw Data'!G171*6*0.000128176</f>
        <v>0</v>
      </c>
      <c r="I170" s="4">
        <f>'Raw Data'!H171*0.000732435</f>
        <v>0</v>
      </c>
      <c r="J170" s="4">
        <f t="shared" si="8"/>
        <v>0</v>
      </c>
      <c r="K170" s="36">
        <f>IF(('Raw Data'!I171-16384)/32768&lt;0,0,('Raw Data'!I171-16384)/32768)</f>
        <v>0</v>
      </c>
      <c r="L170" s="4">
        <f>IF(('Raw Data'!J171-12010)/45.6=-263.377192982456,0,('Raw Data'!J171-12010)/45.6)</f>
        <v>0</v>
      </c>
      <c r="M170" s="16">
        <f>'Raw Data'!N171*2^-8</f>
        <v>0</v>
      </c>
      <c r="N170" s="16">
        <f>'Raw Data'!O171*2^-8</f>
        <v>0</v>
      </c>
      <c r="O170" s="17" t="str">
        <f>IF(BITWISE_AND('Raw Data'!$K171, 8192),"X","")</f>
        <v/>
      </c>
      <c r="P170" s="17" t="str">
        <f>IF(BITWISE_AND('Raw Data'!$K171, 2048),"X","")</f>
        <v/>
      </c>
      <c r="Q170" s="17" t="str">
        <f>IF(BITWISE_AND('Raw Data'!$K171, 64),"X","")</f>
        <v/>
      </c>
      <c r="R170" s="18" t="str">
        <f>IF(BITWISE_AND('Raw Data'!$L171, 1024),"X","")</f>
        <v/>
      </c>
      <c r="S170" s="18" t="str">
        <f>IF(BITWISE_AND('Raw Data'!$L171, 512),"X","")</f>
        <v/>
      </c>
      <c r="T170" s="18" t="str">
        <f>IF(BITWISE_AND('Raw Data'!$L171, 256),"X","")</f>
        <v/>
      </c>
      <c r="U170" s="18" t="str">
        <f>IF(BITWISE_AND('Raw Data'!$L171, 64),"X","")</f>
        <v/>
      </c>
      <c r="V170" s="18" t="str">
        <f>IF(BITWISE_AND('Raw Data'!$L171, 2),"X","")</f>
        <v/>
      </c>
      <c r="W170" s="18" t="str">
        <f>IF(BITWISE_AND('Raw Data'!$L171, 1),"X","")</f>
        <v/>
      </c>
      <c r="X170" s="19" t="str">
        <f>IF(BITWISE_AND('Raw Data'!M171, 1),"Bat Voltage", IF(BITWISE_AND('Raw Data'!M171, 2), "Charge Current", IF(BITWISE_AND('Raw Data'!M171, 4),"Input Ilim", IF(BITWISE_AND('Raw Data'!M171, 8), "Input UV", "none"))))</f>
        <v>none</v>
      </c>
    </row>
    <row r="171" spans="1:24" x14ac:dyDescent="0.2">
      <c r="A171" s="15">
        <f>A170+TIME(0,0,'Raw Data'!B171)</f>
        <v>0</v>
      </c>
      <c r="B171" s="4">
        <f>'Raw Data'!C172*0.025</f>
        <v>0</v>
      </c>
      <c r="C171" s="4">
        <f t="shared" si="9"/>
        <v>0</v>
      </c>
      <c r="D171" s="4">
        <f>'Raw Data'!D172*0.025</f>
        <v>0</v>
      </c>
      <c r="E171" s="4">
        <f t="shared" si="10"/>
        <v>0</v>
      </c>
      <c r="F171" s="4">
        <f>'Raw Data'!E172*0.001648</f>
        <v>0</v>
      </c>
      <c r="G171" s="4">
        <f>'Raw Data'!F172*0.001648</f>
        <v>0</v>
      </c>
      <c r="H171" s="4">
        <f>'Raw Data'!G172*6*0.000128176</f>
        <v>0</v>
      </c>
      <c r="I171" s="4">
        <f>'Raw Data'!H172*0.000732435</f>
        <v>0</v>
      </c>
      <c r="J171" s="4">
        <f t="shared" si="8"/>
        <v>0</v>
      </c>
      <c r="K171" s="36">
        <f>IF(('Raw Data'!I172-16384)/32768&lt;0,0,('Raw Data'!I172-16384)/32768)</f>
        <v>0</v>
      </c>
      <c r="L171" s="4">
        <f>IF(('Raw Data'!J172-12010)/45.6=-263.377192982456,0,('Raw Data'!J172-12010)/45.6)</f>
        <v>0</v>
      </c>
      <c r="M171" s="16">
        <f>'Raw Data'!N172*2^-8</f>
        <v>0</v>
      </c>
      <c r="N171" s="16">
        <f>'Raw Data'!O172*2^-8</f>
        <v>0</v>
      </c>
      <c r="O171" s="17" t="str">
        <f>IF(BITWISE_AND('Raw Data'!$K172, 8192),"X","")</f>
        <v/>
      </c>
      <c r="P171" s="17" t="str">
        <f>IF(BITWISE_AND('Raw Data'!$K172, 2048),"X","")</f>
        <v/>
      </c>
      <c r="Q171" s="17" t="str">
        <f>IF(BITWISE_AND('Raw Data'!$K172, 64),"X","")</f>
        <v/>
      </c>
      <c r="R171" s="18" t="str">
        <f>IF(BITWISE_AND('Raw Data'!$L172, 1024),"X","")</f>
        <v/>
      </c>
      <c r="S171" s="18" t="str">
        <f>IF(BITWISE_AND('Raw Data'!$L172, 512),"X","")</f>
        <v/>
      </c>
      <c r="T171" s="18" t="str">
        <f>IF(BITWISE_AND('Raw Data'!$L172, 256),"X","")</f>
        <v/>
      </c>
      <c r="U171" s="18" t="str">
        <f>IF(BITWISE_AND('Raw Data'!$L172, 64),"X","")</f>
        <v/>
      </c>
      <c r="V171" s="18" t="str">
        <f>IF(BITWISE_AND('Raw Data'!$L172, 2),"X","")</f>
        <v/>
      </c>
      <c r="W171" s="18" t="str">
        <f>IF(BITWISE_AND('Raw Data'!$L172, 1),"X","")</f>
        <v/>
      </c>
      <c r="X171" s="19" t="str">
        <f>IF(BITWISE_AND('Raw Data'!M172, 1),"Bat Voltage", IF(BITWISE_AND('Raw Data'!M172, 2), "Charge Current", IF(BITWISE_AND('Raw Data'!M172, 4),"Input Ilim", IF(BITWISE_AND('Raw Data'!M172, 8), "Input UV", "none"))))</f>
        <v>none</v>
      </c>
    </row>
    <row r="172" spans="1:24" x14ac:dyDescent="0.2">
      <c r="A172" s="15">
        <f>A171+TIME(0,0,'Raw Data'!B172)</f>
        <v>0</v>
      </c>
      <c r="B172" s="4">
        <f>'Raw Data'!C173*0.025</f>
        <v>0</v>
      </c>
      <c r="C172" s="4">
        <f t="shared" si="9"/>
        <v>0</v>
      </c>
      <c r="D172" s="4">
        <f>'Raw Data'!D173*0.025</f>
        <v>0</v>
      </c>
      <c r="E172" s="4">
        <f t="shared" si="10"/>
        <v>0</v>
      </c>
      <c r="F172" s="4">
        <f>'Raw Data'!E173*0.001648</f>
        <v>0</v>
      </c>
      <c r="G172" s="4">
        <f>'Raw Data'!F173*0.001648</f>
        <v>0</v>
      </c>
      <c r="H172" s="4">
        <f>'Raw Data'!G173*6*0.000128176</f>
        <v>0</v>
      </c>
      <c r="I172" s="4">
        <f>'Raw Data'!H173*0.000732435</f>
        <v>0</v>
      </c>
      <c r="J172" s="4">
        <f t="shared" si="8"/>
        <v>0</v>
      </c>
      <c r="K172" s="36">
        <f>IF(('Raw Data'!I173-16384)/32768&lt;0,0,('Raw Data'!I173-16384)/32768)</f>
        <v>0</v>
      </c>
      <c r="L172" s="4">
        <f>IF(('Raw Data'!J173-12010)/45.6=-263.377192982456,0,('Raw Data'!J173-12010)/45.6)</f>
        <v>0</v>
      </c>
      <c r="M172" s="16">
        <f>'Raw Data'!N173*2^-8</f>
        <v>0</v>
      </c>
      <c r="N172" s="16">
        <f>'Raw Data'!O173*2^-8</f>
        <v>0</v>
      </c>
      <c r="O172" s="17" t="str">
        <f>IF(BITWISE_AND('Raw Data'!$K173, 8192),"X","")</f>
        <v/>
      </c>
      <c r="P172" s="17" t="str">
        <f>IF(BITWISE_AND('Raw Data'!$K173, 2048),"X","")</f>
        <v/>
      </c>
      <c r="Q172" s="17" t="str">
        <f>IF(BITWISE_AND('Raw Data'!$K173, 64),"X","")</f>
        <v/>
      </c>
      <c r="R172" s="18" t="str">
        <f>IF(BITWISE_AND('Raw Data'!$L173, 1024),"X","")</f>
        <v/>
      </c>
      <c r="S172" s="18" t="str">
        <f>IF(BITWISE_AND('Raw Data'!$L173, 512),"X","")</f>
        <v/>
      </c>
      <c r="T172" s="18" t="str">
        <f>IF(BITWISE_AND('Raw Data'!$L173, 256),"X","")</f>
        <v/>
      </c>
      <c r="U172" s="18" t="str">
        <f>IF(BITWISE_AND('Raw Data'!$L173, 64),"X","")</f>
        <v/>
      </c>
      <c r="V172" s="18" t="str">
        <f>IF(BITWISE_AND('Raw Data'!$L173, 2),"X","")</f>
        <v/>
      </c>
      <c r="W172" s="18" t="str">
        <f>IF(BITWISE_AND('Raw Data'!$L173, 1),"X","")</f>
        <v/>
      </c>
      <c r="X172" s="19" t="str">
        <f>IF(BITWISE_AND('Raw Data'!M173, 1),"Bat Voltage", IF(BITWISE_AND('Raw Data'!M173, 2), "Charge Current", IF(BITWISE_AND('Raw Data'!M173, 4),"Input Ilim", IF(BITWISE_AND('Raw Data'!M173, 8), "Input UV", "none"))))</f>
        <v>none</v>
      </c>
    </row>
    <row r="173" spans="1:24" x14ac:dyDescent="0.2">
      <c r="A173" s="15">
        <f>A172+TIME(0,0,'Raw Data'!B173)</f>
        <v>0</v>
      </c>
      <c r="B173" s="4">
        <f>'Raw Data'!C174*0.025</f>
        <v>0</v>
      </c>
      <c r="C173" s="4">
        <f t="shared" si="9"/>
        <v>0</v>
      </c>
      <c r="D173" s="4">
        <f>'Raw Data'!D174*0.025</f>
        <v>0</v>
      </c>
      <c r="E173" s="4">
        <f t="shared" si="10"/>
        <v>0</v>
      </c>
      <c r="F173" s="4">
        <f>'Raw Data'!E174*0.001648</f>
        <v>0</v>
      </c>
      <c r="G173" s="4">
        <f>'Raw Data'!F174*0.001648</f>
        <v>0</v>
      </c>
      <c r="H173" s="4">
        <f>'Raw Data'!G174*6*0.000128176</f>
        <v>0</v>
      </c>
      <c r="I173" s="4">
        <f>'Raw Data'!H174*0.000732435</f>
        <v>0</v>
      </c>
      <c r="J173" s="4">
        <f t="shared" si="8"/>
        <v>0</v>
      </c>
      <c r="K173" s="36">
        <f>IF(('Raw Data'!I174-16384)/32768&lt;0,0,('Raw Data'!I174-16384)/32768)</f>
        <v>0</v>
      </c>
      <c r="L173" s="4">
        <f>IF(('Raw Data'!J174-12010)/45.6=-263.377192982456,0,('Raw Data'!J174-12010)/45.6)</f>
        <v>0</v>
      </c>
      <c r="M173" s="16">
        <f>'Raw Data'!N174*2^-8</f>
        <v>0</v>
      </c>
      <c r="N173" s="16">
        <f>'Raw Data'!O174*2^-8</f>
        <v>0</v>
      </c>
      <c r="O173" s="17" t="str">
        <f>IF(BITWISE_AND('Raw Data'!$K174, 8192),"X","")</f>
        <v/>
      </c>
      <c r="P173" s="17" t="str">
        <f>IF(BITWISE_AND('Raw Data'!$K174, 2048),"X","")</f>
        <v/>
      </c>
      <c r="Q173" s="17" t="str">
        <f>IF(BITWISE_AND('Raw Data'!$K174, 64),"X","")</f>
        <v/>
      </c>
      <c r="R173" s="18" t="str">
        <f>IF(BITWISE_AND('Raw Data'!$L174, 1024),"X","")</f>
        <v/>
      </c>
      <c r="S173" s="18" t="str">
        <f>IF(BITWISE_AND('Raw Data'!$L174, 512),"X","")</f>
        <v/>
      </c>
      <c r="T173" s="18" t="str">
        <f>IF(BITWISE_AND('Raw Data'!$L174, 256),"X","")</f>
        <v/>
      </c>
      <c r="U173" s="18" t="str">
        <f>IF(BITWISE_AND('Raw Data'!$L174, 64),"X","")</f>
        <v/>
      </c>
      <c r="V173" s="18" t="str">
        <f>IF(BITWISE_AND('Raw Data'!$L174, 2),"X","")</f>
        <v/>
      </c>
      <c r="W173" s="18" t="str">
        <f>IF(BITWISE_AND('Raw Data'!$L174, 1),"X","")</f>
        <v/>
      </c>
      <c r="X173" s="19" t="str">
        <f>IF(BITWISE_AND('Raw Data'!M174, 1),"Bat Voltage", IF(BITWISE_AND('Raw Data'!M174, 2), "Charge Current", IF(BITWISE_AND('Raw Data'!M174, 4),"Input Ilim", IF(BITWISE_AND('Raw Data'!M174, 8), "Input UV", "none"))))</f>
        <v>none</v>
      </c>
    </row>
    <row r="174" spans="1:24" x14ac:dyDescent="0.2">
      <c r="A174" s="15">
        <f>A173+TIME(0,0,'Raw Data'!B174)</f>
        <v>0</v>
      </c>
      <c r="B174" s="4">
        <f>'Raw Data'!C175*0.025</f>
        <v>0</v>
      </c>
      <c r="C174" s="4">
        <f t="shared" si="9"/>
        <v>0</v>
      </c>
      <c r="D174" s="4">
        <f>'Raw Data'!D175*0.025</f>
        <v>0</v>
      </c>
      <c r="E174" s="4">
        <f t="shared" si="10"/>
        <v>0</v>
      </c>
      <c r="F174" s="4">
        <f>'Raw Data'!E175*0.001648</f>
        <v>0</v>
      </c>
      <c r="G174" s="4">
        <f>'Raw Data'!F175*0.001648</f>
        <v>0</v>
      </c>
      <c r="H174" s="4">
        <f>'Raw Data'!G175*6*0.000128176</f>
        <v>0</v>
      </c>
      <c r="I174" s="4">
        <f>'Raw Data'!H175*0.000732435</f>
        <v>0</v>
      </c>
      <c r="J174" s="4">
        <f t="shared" si="8"/>
        <v>0</v>
      </c>
      <c r="K174" s="36">
        <f>IF(('Raw Data'!I175-16384)/32768&lt;0,0,('Raw Data'!I175-16384)/32768)</f>
        <v>0</v>
      </c>
      <c r="L174" s="4">
        <f>IF(('Raw Data'!J175-12010)/45.6=-263.377192982456,0,('Raw Data'!J175-12010)/45.6)</f>
        <v>0</v>
      </c>
      <c r="M174" s="16">
        <f>'Raw Data'!N175*2^-8</f>
        <v>0</v>
      </c>
      <c r="N174" s="16">
        <f>'Raw Data'!O175*2^-8</f>
        <v>0</v>
      </c>
      <c r="O174" s="17" t="str">
        <f>IF(BITWISE_AND('Raw Data'!$K175, 8192),"X","")</f>
        <v/>
      </c>
      <c r="P174" s="17" t="str">
        <f>IF(BITWISE_AND('Raw Data'!$K175, 2048),"X","")</f>
        <v/>
      </c>
      <c r="Q174" s="17" t="str">
        <f>IF(BITWISE_AND('Raw Data'!$K175, 64),"X","")</f>
        <v/>
      </c>
      <c r="R174" s="18" t="str">
        <f>IF(BITWISE_AND('Raw Data'!$L175, 1024),"X","")</f>
        <v/>
      </c>
      <c r="S174" s="18" t="str">
        <f>IF(BITWISE_AND('Raw Data'!$L175, 512),"X","")</f>
        <v/>
      </c>
      <c r="T174" s="18" t="str">
        <f>IF(BITWISE_AND('Raw Data'!$L175, 256),"X","")</f>
        <v/>
      </c>
      <c r="U174" s="18" t="str">
        <f>IF(BITWISE_AND('Raw Data'!$L175, 64),"X","")</f>
        <v/>
      </c>
      <c r="V174" s="18" t="str">
        <f>IF(BITWISE_AND('Raw Data'!$L175, 2),"X","")</f>
        <v/>
      </c>
      <c r="W174" s="18" t="str">
        <f>IF(BITWISE_AND('Raw Data'!$L175, 1),"X","")</f>
        <v/>
      </c>
      <c r="X174" s="19" t="str">
        <f>IF(BITWISE_AND('Raw Data'!M175, 1),"Bat Voltage", IF(BITWISE_AND('Raw Data'!M175, 2), "Charge Current", IF(BITWISE_AND('Raw Data'!M175, 4),"Input Ilim", IF(BITWISE_AND('Raw Data'!M175, 8), "Input UV", "none"))))</f>
        <v>none</v>
      </c>
    </row>
    <row r="175" spans="1:24" x14ac:dyDescent="0.2">
      <c r="A175" s="15">
        <f>A174+TIME(0,0,'Raw Data'!B175)</f>
        <v>0</v>
      </c>
      <c r="B175" s="4">
        <f>'Raw Data'!C176*0.025</f>
        <v>0</v>
      </c>
      <c r="C175" s="4">
        <f t="shared" si="9"/>
        <v>0</v>
      </c>
      <c r="D175" s="4">
        <f>'Raw Data'!D176*0.025</f>
        <v>0</v>
      </c>
      <c r="E175" s="4">
        <f t="shared" si="10"/>
        <v>0</v>
      </c>
      <c r="F175" s="4">
        <f>'Raw Data'!E176*0.001648</f>
        <v>0</v>
      </c>
      <c r="G175" s="4">
        <f>'Raw Data'!F176*0.001648</f>
        <v>0</v>
      </c>
      <c r="H175" s="4">
        <f>'Raw Data'!G176*6*0.000128176</f>
        <v>0</v>
      </c>
      <c r="I175" s="4">
        <f>'Raw Data'!H176*0.000732435</f>
        <v>0</v>
      </c>
      <c r="J175" s="4">
        <f t="shared" si="8"/>
        <v>0</v>
      </c>
      <c r="K175" s="36">
        <f>IF(('Raw Data'!I176-16384)/32768&lt;0,0,('Raw Data'!I176-16384)/32768)</f>
        <v>0</v>
      </c>
      <c r="L175" s="4">
        <f>IF(('Raw Data'!J176-12010)/45.6=-263.377192982456,0,('Raw Data'!J176-12010)/45.6)</f>
        <v>0</v>
      </c>
      <c r="M175" s="16">
        <f>'Raw Data'!N176*2^-8</f>
        <v>0</v>
      </c>
      <c r="N175" s="16">
        <f>'Raw Data'!O176*2^-8</f>
        <v>0</v>
      </c>
      <c r="O175" s="17" t="str">
        <f>IF(BITWISE_AND('Raw Data'!$K176, 8192),"X","")</f>
        <v/>
      </c>
      <c r="P175" s="17" t="str">
        <f>IF(BITWISE_AND('Raw Data'!$K176, 2048),"X","")</f>
        <v/>
      </c>
      <c r="Q175" s="17" t="str">
        <f>IF(BITWISE_AND('Raw Data'!$K176, 64),"X","")</f>
        <v/>
      </c>
      <c r="R175" s="18" t="str">
        <f>IF(BITWISE_AND('Raw Data'!$L176, 1024),"X","")</f>
        <v/>
      </c>
      <c r="S175" s="18" t="str">
        <f>IF(BITWISE_AND('Raw Data'!$L176, 512),"X","")</f>
        <v/>
      </c>
      <c r="T175" s="18" t="str">
        <f>IF(BITWISE_AND('Raw Data'!$L176, 256),"X","")</f>
        <v/>
      </c>
      <c r="U175" s="18" t="str">
        <f>IF(BITWISE_AND('Raw Data'!$L176, 64),"X","")</f>
        <v/>
      </c>
      <c r="V175" s="18" t="str">
        <f>IF(BITWISE_AND('Raw Data'!$L176, 2),"X","")</f>
        <v/>
      </c>
      <c r="W175" s="18" t="str">
        <f>IF(BITWISE_AND('Raw Data'!$L176, 1),"X","")</f>
        <v/>
      </c>
      <c r="X175" s="19" t="str">
        <f>IF(BITWISE_AND('Raw Data'!M176, 1),"Bat Voltage", IF(BITWISE_AND('Raw Data'!M176, 2), "Charge Current", IF(BITWISE_AND('Raw Data'!M176, 4),"Input Ilim", IF(BITWISE_AND('Raw Data'!M176, 8), "Input UV", "none"))))</f>
        <v>none</v>
      </c>
    </row>
    <row r="176" spans="1:24" x14ac:dyDescent="0.2">
      <c r="A176" s="15">
        <f>A175+TIME(0,0,'Raw Data'!B176)</f>
        <v>0</v>
      </c>
      <c r="B176" s="4">
        <f>'Raw Data'!C177*0.025</f>
        <v>0</v>
      </c>
      <c r="C176" s="4">
        <f t="shared" si="9"/>
        <v>0</v>
      </c>
      <c r="D176" s="4">
        <f>'Raw Data'!D177*0.025</f>
        <v>0</v>
      </c>
      <c r="E176" s="4">
        <f t="shared" si="10"/>
        <v>0</v>
      </c>
      <c r="F176" s="4">
        <f>'Raw Data'!E177*0.001648</f>
        <v>0</v>
      </c>
      <c r="G176" s="4">
        <f>'Raw Data'!F177*0.001648</f>
        <v>0</v>
      </c>
      <c r="H176" s="4">
        <f>'Raw Data'!G177*6*0.000128176</f>
        <v>0</v>
      </c>
      <c r="I176" s="4">
        <f>'Raw Data'!H177*0.000732435</f>
        <v>0</v>
      </c>
      <c r="J176" s="4">
        <f t="shared" si="8"/>
        <v>0</v>
      </c>
      <c r="K176" s="36">
        <f>IF(('Raw Data'!I177-16384)/32768&lt;0,0,('Raw Data'!I177-16384)/32768)</f>
        <v>0</v>
      </c>
      <c r="L176" s="4">
        <f>IF(('Raw Data'!J177-12010)/45.6=-263.377192982456,0,('Raw Data'!J177-12010)/45.6)</f>
        <v>0</v>
      </c>
      <c r="M176" s="16">
        <f>'Raw Data'!N177*2^-8</f>
        <v>0</v>
      </c>
      <c r="N176" s="16">
        <f>'Raw Data'!O177*2^-8</f>
        <v>0</v>
      </c>
      <c r="O176" s="17" t="str">
        <f>IF(BITWISE_AND('Raw Data'!$K177, 8192),"X","")</f>
        <v/>
      </c>
      <c r="P176" s="17" t="str">
        <f>IF(BITWISE_AND('Raw Data'!$K177, 2048),"X","")</f>
        <v/>
      </c>
      <c r="Q176" s="17" t="str">
        <f>IF(BITWISE_AND('Raw Data'!$K177, 64),"X","")</f>
        <v/>
      </c>
      <c r="R176" s="18" t="str">
        <f>IF(BITWISE_AND('Raw Data'!$L177, 1024),"X","")</f>
        <v/>
      </c>
      <c r="S176" s="18" t="str">
        <f>IF(BITWISE_AND('Raw Data'!$L177, 512),"X","")</f>
        <v/>
      </c>
      <c r="T176" s="18" t="str">
        <f>IF(BITWISE_AND('Raw Data'!$L177, 256),"X","")</f>
        <v/>
      </c>
      <c r="U176" s="18" t="str">
        <f>IF(BITWISE_AND('Raw Data'!$L177, 64),"X","")</f>
        <v/>
      </c>
      <c r="V176" s="18" t="str">
        <f>IF(BITWISE_AND('Raw Data'!$L177, 2),"X","")</f>
        <v/>
      </c>
      <c r="W176" s="18" t="str">
        <f>IF(BITWISE_AND('Raw Data'!$L177, 1),"X","")</f>
        <v/>
      </c>
      <c r="X176" s="19" t="str">
        <f>IF(BITWISE_AND('Raw Data'!M177, 1),"Bat Voltage", IF(BITWISE_AND('Raw Data'!M177, 2), "Charge Current", IF(BITWISE_AND('Raw Data'!M177, 4),"Input Ilim", IF(BITWISE_AND('Raw Data'!M177, 8), "Input UV", "none"))))</f>
        <v>none</v>
      </c>
    </row>
    <row r="177" spans="1:24" x14ac:dyDescent="0.2">
      <c r="A177" s="15">
        <f>A176+TIME(0,0,'Raw Data'!B177)</f>
        <v>0</v>
      </c>
      <c r="B177" s="4">
        <f>'Raw Data'!C178*0.025</f>
        <v>0</v>
      </c>
      <c r="C177" s="4">
        <f t="shared" si="9"/>
        <v>0</v>
      </c>
      <c r="D177" s="4">
        <f>'Raw Data'!D178*0.025</f>
        <v>0</v>
      </c>
      <c r="E177" s="4">
        <f t="shared" si="10"/>
        <v>0</v>
      </c>
      <c r="F177" s="4">
        <f>'Raw Data'!E178*0.001648</f>
        <v>0</v>
      </c>
      <c r="G177" s="4">
        <f>'Raw Data'!F178*0.001648</f>
        <v>0</v>
      </c>
      <c r="H177" s="4">
        <f>'Raw Data'!G178*6*0.000128176</f>
        <v>0</v>
      </c>
      <c r="I177" s="4">
        <f>'Raw Data'!H178*0.000732435</f>
        <v>0</v>
      </c>
      <c r="J177" s="4">
        <f t="shared" si="8"/>
        <v>0</v>
      </c>
      <c r="K177" s="36">
        <f>IF(('Raw Data'!I178-16384)/32768&lt;0,0,('Raw Data'!I178-16384)/32768)</f>
        <v>0</v>
      </c>
      <c r="L177" s="4">
        <f>IF(('Raw Data'!J178-12010)/45.6=-263.377192982456,0,('Raw Data'!J178-12010)/45.6)</f>
        <v>0</v>
      </c>
      <c r="M177" s="16">
        <f>'Raw Data'!N178*2^-8</f>
        <v>0</v>
      </c>
      <c r="N177" s="16">
        <f>'Raw Data'!O178*2^-8</f>
        <v>0</v>
      </c>
      <c r="O177" s="17" t="str">
        <f>IF(BITWISE_AND('Raw Data'!$K178, 8192),"X","")</f>
        <v/>
      </c>
      <c r="P177" s="17" t="str">
        <f>IF(BITWISE_AND('Raw Data'!$K178, 2048),"X","")</f>
        <v/>
      </c>
      <c r="Q177" s="17" t="str">
        <f>IF(BITWISE_AND('Raw Data'!$K178, 64),"X","")</f>
        <v/>
      </c>
      <c r="R177" s="18" t="str">
        <f>IF(BITWISE_AND('Raw Data'!$L178, 1024),"X","")</f>
        <v/>
      </c>
      <c r="S177" s="18" t="str">
        <f>IF(BITWISE_AND('Raw Data'!$L178, 512),"X","")</f>
        <v/>
      </c>
      <c r="T177" s="18" t="str">
        <f>IF(BITWISE_AND('Raw Data'!$L178, 256),"X","")</f>
        <v/>
      </c>
      <c r="U177" s="18" t="str">
        <f>IF(BITWISE_AND('Raw Data'!$L178, 64),"X","")</f>
        <v/>
      </c>
      <c r="V177" s="18" t="str">
        <f>IF(BITWISE_AND('Raw Data'!$L178, 2),"X","")</f>
        <v/>
      </c>
      <c r="W177" s="18" t="str">
        <f>IF(BITWISE_AND('Raw Data'!$L178, 1),"X","")</f>
        <v/>
      </c>
      <c r="X177" s="19" t="str">
        <f>IF(BITWISE_AND('Raw Data'!M178, 1),"Bat Voltage", IF(BITWISE_AND('Raw Data'!M178, 2), "Charge Current", IF(BITWISE_AND('Raw Data'!M178, 4),"Input Ilim", IF(BITWISE_AND('Raw Data'!M178, 8), "Input UV", "none"))))</f>
        <v>none</v>
      </c>
    </row>
    <row r="178" spans="1:24" x14ac:dyDescent="0.2">
      <c r="A178" s="15">
        <f>A177+TIME(0,0,'Raw Data'!B178)</f>
        <v>0</v>
      </c>
      <c r="B178" s="4">
        <f>'Raw Data'!C179*0.025</f>
        <v>0</v>
      </c>
      <c r="C178" s="4">
        <f t="shared" si="9"/>
        <v>0</v>
      </c>
      <c r="D178" s="4">
        <f>'Raw Data'!D179*0.025</f>
        <v>0</v>
      </c>
      <c r="E178" s="4">
        <f t="shared" si="10"/>
        <v>0</v>
      </c>
      <c r="F178" s="4">
        <f>'Raw Data'!E179*0.001648</f>
        <v>0</v>
      </c>
      <c r="G178" s="4">
        <f>'Raw Data'!F179*0.001648</f>
        <v>0</v>
      </c>
      <c r="H178" s="4">
        <f>'Raw Data'!G179*6*0.000128176</f>
        <v>0</v>
      </c>
      <c r="I178" s="4">
        <f>'Raw Data'!H179*0.000732435</f>
        <v>0</v>
      </c>
      <c r="J178" s="4">
        <f t="shared" si="8"/>
        <v>0</v>
      </c>
      <c r="K178" s="36">
        <f>IF(('Raw Data'!I179-16384)/32768&lt;0,0,('Raw Data'!I179-16384)/32768)</f>
        <v>0</v>
      </c>
      <c r="L178" s="4">
        <f>IF(('Raw Data'!J179-12010)/45.6=-263.377192982456,0,('Raw Data'!J179-12010)/45.6)</f>
        <v>0</v>
      </c>
      <c r="M178" s="16">
        <f>'Raw Data'!N179*2^-8</f>
        <v>0</v>
      </c>
      <c r="N178" s="16">
        <f>'Raw Data'!O179*2^-8</f>
        <v>0</v>
      </c>
      <c r="O178" s="17" t="str">
        <f>IF(BITWISE_AND('Raw Data'!$K179, 8192),"X","")</f>
        <v/>
      </c>
      <c r="P178" s="17" t="str">
        <f>IF(BITWISE_AND('Raw Data'!$K179, 2048),"X","")</f>
        <v/>
      </c>
      <c r="Q178" s="17" t="str">
        <f>IF(BITWISE_AND('Raw Data'!$K179, 64),"X","")</f>
        <v/>
      </c>
      <c r="R178" s="18" t="str">
        <f>IF(BITWISE_AND('Raw Data'!$L179, 1024),"X","")</f>
        <v/>
      </c>
      <c r="S178" s="18" t="str">
        <f>IF(BITWISE_AND('Raw Data'!$L179, 512),"X","")</f>
        <v/>
      </c>
      <c r="T178" s="18" t="str">
        <f>IF(BITWISE_AND('Raw Data'!$L179, 256),"X","")</f>
        <v/>
      </c>
      <c r="U178" s="18" t="str">
        <f>IF(BITWISE_AND('Raw Data'!$L179, 64),"X","")</f>
        <v/>
      </c>
      <c r="V178" s="18" t="str">
        <f>IF(BITWISE_AND('Raw Data'!$L179, 2),"X","")</f>
        <v/>
      </c>
      <c r="W178" s="18" t="str">
        <f>IF(BITWISE_AND('Raw Data'!$L179, 1),"X","")</f>
        <v/>
      </c>
      <c r="X178" s="19" t="str">
        <f>IF(BITWISE_AND('Raw Data'!M179, 1),"Bat Voltage", IF(BITWISE_AND('Raw Data'!M179, 2), "Charge Current", IF(BITWISE_AND('Raw Data'!M179, 4),"Input Ilim", IF(BITWISE_AND('Raw Data'!M179, 8), "Input UV", "none"))))</f>
        <v>none</v>
      </c>
    </row>
    <row r="179" spans="1:24" x14ac:dyDescent="0.2">
      <c r="A179" s="15">
        <f>A178+TIME(0,0,'Raw Data'!B179)</f>
        <v>0</v>
      </c>
      <c r="B179" s="4">
        <f>'Raw Data'!C180*0.025</f>
        <v>0</v>
      </c>
      <c r="C179" s="4">
        <f t="shared" si="9"/>
        <v>0</v>
      </c>
      <c r="D179" s="4">
        <f>'Raw Data'!D180*0.025</f>
        <v>0</v>
      </c>
      <c r="E179" s="4">
        <f t="shared" si="10"/>
        <v>0</v>
      </c>
      <c r="F179" s="4">
        <f>'Raw Data'!E180*0.001648</f>
        <v>0</v>
      </c>
      <c r="G179" s="4">
        <f>'Raw Data'!F180*0.001648</f>
        <v>0</v>
      </c>
      <c r="H179" s="4">
        <f>'Raw Data'!G180*6*0.000128176</f>
        <v>0</v>
      </c>
      <c r="I179" s="4">
        <f>'Raw Data'!H180*0.000732435</f>
        <v>0</v>
      </c>
      <c r="J179" s="4">
        <f t="shared" si="8"/>
        <v>0</v>
      </c>
      <c r="K179" s="36">
        <f>IF(('Raw Data'!I180-16384)/32768&lt;0,0,('Raw Data'!I180-16384)/32768)</f>
        <v>0</v>
      </c>
      <c r="L179" s="4">
        <f>IF(('Raw Data'!J180-12010)/45.6=-263.377192982456,0,('Raw Data'!J180-12010)/45.6)</f>
        <v>0</v>
      </c>
      <c r="M179" s="16">
        <f>'Raw Data'!N180*2^-8</f>
        <v>0</v>
      </c>
      <c r="N179" s="16">
        <f>'Raw Data'!O180*2^-8</f>
        <v>0</v>
      </c>
      <c r="O179" s="17" t="str">
        <f>IF(BITWISE_AND('Raw Data'!$K180, 8192),"X","")</f>
        <v/>
      </c>
      <c r="P179" s="17" t="str">
        <f>IF(BITWISE_AND('Raw Data'!$K180, 2048),"X","")</f>
        <v/>
      </c>
      <c r="Q179" s="17" t="str">
        <f>IF(BITWISE_AND('Raw Data'!$K180, 64),"X","")</f>
        <v/>
      </c>
      <c r="R179" s="18" t="str">
        <f>IF(BITWISE_AND('Raw Data'!$L180, 1024),"X","")</f>
        <v/>
      </c>
      <c r="S179" s="18" t="str">
        <f>IF(BITWISE_AND('Raw Data'!$L180, 512),"X","")</f>
        <v/>
      </c>
      <c r="T179" s="18" t="str">
        <f>IF(BITWISE_AND('Raw Data'!$L180, 256),"X","")</f>
        <v/>
      </c>
      <c r="U179" s="18" t="str">
        <f>IF(BITWISE_AND('Raw Data'!$L180, 64),"X","")</f>
        <v/>
      </c>
      <c r="V179" s="18" t="str">
        <f>IF(BITWISE_AND('Raw Data'!$L180, 2),"X","")</f>
        <v/>
      </c>
      <c r="W179" s="18" t="str">
        <f>IF(BITWISE_AND('Raw Data'!$L180, 1),"X","")</f>
        <v/>
      </c>
      <c r="X179" s="19" t="str">
        <f>IF(BITWISE_AND('Raw Data'!M180, 1),"Bat Voltage", IF(BITWISE_AND('Raw Data'!M180, 2), "Charge Current", IF(BITWISE_AND('Raw Data'!M180, 4),"Input Ilim", IF(BITWISE_AND('Raw Data'!M180, 8), "Input UV", "none"))))</f>
        <v>none</v>
      </c>
    </row>
    <row r="180" spans="1:24" x14ac:dyDescent="0.2">
      <c r="A180" s="15">
        <f>A179+TIME(0,0,'Raw Data'!B180)</f>
        <v>0</v>
      </c>
      <c r="B180" s="4">
        <f>'Raw Data'!C181*0.025</f>
        <v>0</v>
      </c>
      <c r="C180" s="4">
        <f t="shared" si="9"/>
        <v>0</v>
      </c>
      <c r="D180" s="4">
        <f>'Raw Data'!D181*0.025</f>
        <v>0</v>
      </c>
      <c r="E180" s="4">
        <f t="shared" si="10"/>
        <v>0</v>
      </c>
      <c r="F180" s="4">
        <f>'Raw Data'!E181*0.001648</f>
        <v>0</v>
      </c>
      <c r="G180" s="4">
        <f>'Raw Data'!F181*0.001648</f>
        <v>0</v>
      </c>
      <c r="H180" s="4">
        <f>'Raw Data'!G181*6*0.000128176</f>
        <v>0</v>
      </c>
      <c r="I180" s="4">
        <f>'Raw Data'!H181*0.000732435</f>
        <v>0</v>
      </c>
      <c r="J180" s="4">
        <f t="shared" si="8"/>
        <v>0</v>
      </c>
      <c r="K180" s="36">
        <f>IF(('Raw Data'!I181-16384)/32768&lt;0,0,('Raw Data'!I181-16384)/32768)</f>
        <v>0</v>
      </c>
      <c r="L180" s="4">
        <f>IF(('Raw Data'!J181-12010)/45.6=-263.377192982456,0,('Raw Data'!J181-12010)/45.6)</f>
        <v>0</v>
      </c>
      <c r="M180" s="16">
        <f>'Raw Data'!N181*2^-8</f>
        <v>0</v>
      </c>
      <c r="N180" s="16">
        <f>'Raw Data'!O181*2^-8</f>
        <v>0</v>
      </c>
      <c r="O180" s="17" t="str">
        <f>IF(BITWISE_AND('Raw Data'!$K181, 8192),"X","")</f>
        <v/>
      </c>
      <c r="P180" s="17" t="str">
        <f>IF(BITWISE_AND('Raw Data'!$K181, 2048),"X","")</f>
        <v/>
      </c>
      <c r="Q180" s="17" t="str">
        <f>IF(BITWISE_AND('Raw Data'!$K181, 64),"X","")</f>
        <v/>
      </c>
      <c r="R180" s="18" t="str">
        <f>IF(BITWISE_AND('Raw Data'!$L181, 1024),"X","")</f>
        <v/>
      </c>
      <c r="S180" s="18" t="str">
        <f>IF(BITWISE_AND('Raw Data'!$L181, 512),"X","")</f>
        <v/>
      </c>
      <c r="T180" s="18" t="str">
        <f>IF(BITWISE_AND('Raw Data'!$L181, 256),"X","")</f>
        <v/>
      </c>
      <c r="U180" s="18" t="str">
        <f>IF(BITWISE_AND('Raw Data'!$L181, 64),"X","")</f>
        <v/>
      </c>
      <c r="V180" s="18" t="str">
        <f>IF(BITWISE_AND('Raw Data'!$L181, 2),"X","")</f>
        <v/>
      </c>
      <c r="W180" s="18" t="str">
        <f>IF(BITWISE_AND('Raw Data'!$L181, 1),"X","")</f>
        <v/>
      </c>
      <c r="X180" s="19" t="str">
        <f>IF(BITWISE_AND('Raw Data'!M181, 1),"Bat Voltage", IF(BITWISE_AND('Raw Data'!M181, 2), "Charge Current", IF(BITWISE_AND('Raw Data'!M181, 4),"Input Ilim", IF(BITWISE_AND('Raw Data'!M181, 8), "Input UV", "none"))))</f>
        <v>none</v>
      </c>
    </row>
    <row r="181" spans="1:24" x14ac:dyDescent="0.2">
      <c r="A181" s="15">
        <f>A180+TIME(0,0,'Raw Data'!B181)</f>
        <v>0</v>
      </c>
      <c r="B181" s="4">
        <f>'Raw Data'!C182*0.025</f>
        <v>0</v>
      </c>
      <c r="C181" s="4">
        <f t="shared" si="9"/>
        <v>0</v>
      </c>
      <c r="D181" s="4">
        <f>'Raw Data'!D182*0.025</f>
        <v>0</v>
      </c>
      <c r="E181" s="4">
        <f t="shared" si="10"/>
        <v>0</v>
      </c>
      <c r="F181" s="4">
        <f>'Raw Data'!E182*0.001648</f>
        <v>0</v>
      </c>
      <c r="G181" s="4">
        <f>'Raw Data'!F182*0.001648</f>
        <v>0</v>
      </c>
      <c r="H181" s="4">
        <f>'Raw Data'!G182*6*0.000128176</f>
        <v>0</v>
      </c>
      <c r="I181" s="4">
        <f>'Raw Data'!H182*0.000732435</f>
        <v>0</v>
      </c>
      <c r="J181" s="4">
        <f t="shared" si="8"/>
        <v>0</v>
      </c>
      <c r="K181" s="36">
        <f>IF(('Raw Data'!I182-16384)/32768&lt;0,0,('Raw Data'!I182-16384)/32768)</f>
        <v>0</v>
      </c>
      <c r="L181" s="4">
        <f>IF(('Raw Data'!J182-12010)/45.6=-263.377192982456,0,('Raw Data'!J182-12010)/45.6)</f>
        <v>0</v>
      </c>
      <c r="M181" s="16">
        <f>'Raw Data'!N182*2^-8</f>
        <v>0</v>
      </c>
      <c r="N181" s="16">
        <f>'Raw Data'!O182*2^-8</f>
        <v>0</v>
      </c>
      <c r="O181" s="17" t="str">
        <f>IF(BITWISE_AND('Raw Data'!$K182, 8192),"X","")</f>
        <v/>
      </c>
      <c r="P181" s="17" t="str">
        <f>IF(BITWISE_AND('Raw Data'!$K182, 2048),"X","")</f>
        <v/>
      </c>
      <c r="Q181" s="17" t="str">
        <f>IF(BITWISE_AND('Raw Data'!$K182, 64),"X","")</f>
        <v/>
      </c>
      <c r="R181" s="18" t="str">
        <f>IF(BITWISE_AND('Raw Data'!$L182, 1024),"X","")</f>
        <v/>
      </c>
      <c r="S181" s="18" t="str">
        <f>IF(BITWISE_AND('Raw Data'!$L182, 512),"X","")</f>
        <v/>
      </c>
      <c r="T181" s="18" t="str">
        <f>IF(BITWISE_AND('Raw Data'!$L182, 256),"X","")</f>
        <v/>
      </c>
      <c r="U181" s="18" t="str">
        <f>IF(BITWISE_AND('Raw Data'!$L182, 64),"X","")</f>
        <v/>
      </c>
      <c r="V181" s="18" t="str">
        <f>IF(BITWISE_AND('Raw Data'!$L182, 2),"X","")</f>
        <v/>
      </c>
      <c r="W181" s="18" t="str">
        <f>IF(BITWISE_AND('Raw Data'!$L182, 1),"X","")</f>
        <v/>
      </c>
      <c r="X181" s="19" t="str">
        <f>IF(BITWISE_AND('Raw Data'!M182, 1),"Bat Voltage", IF(BITWISE_AND('Raw Data'!M182, 2), "Charge Current", IF(BITWISE_AND('Raw Data'!M182, 4),"Input Ilim", IF(BITWISE_AND('Raw Data'!M182, 8), "Input UV", "none"))))</f>
        <v>none</v>
      </c>
    </row>
    <row r="182" spans="1:24" x14ac:dyDescent="0.2">
      <c r="A182" s="15">
        <f>A181+TIME(0,0,'Raw Data'!B182)</f>
        <v>0</v>
      </c>
      <c r="B182" s="4">
        <f>'Raw Data'!C183*0.025</f>
        <v>0</v>
      </c>
      <c r="C182" s="4">
        <f t="shared" si="9"/>
        <v>0</v>
      </c>
      <c r="D182" s="4">
        <f>'Raw Data'!D183*0.025</f>
        <v>0</v>
      </c>
      <c r="E182" s="4">
        <f t="shared" si="10"/>
        <v>0</v>
      </c>
      <c r="F182" s="4">
        <f>'Raw Data'!E183*0.001648</f>
        <v>0</v>
      </c>
      <c r="G182" s="4">
        <f>'Raw Data'!F183*0.001648</f>
        <v>0</v>
      </c>
      <c r="H182" s="4">
        <f>'Raw Data'!G183*6*0.000128176</f>
        <v>0</v>
      </c>
      <c r="I182" s="4">
        <f>'Raw Data'!H183*0.000732435</f>
        <v>0</v>
      </c>
      <c r="J182" s="4">
        <f t="shared" si="8"/>
        <v>0</v>
      </c>
      <c r="K182" s="36">
        <f>IF(('Raw Data'!I183-16384)/32768&lt;0,0,('Raw Data'!I183-16384)/32768)</f>
        <v>0</v>
      </c>
      <c r="L182" s="4">
        <f>IF(('Raw Data'!J183-12010)/45.6=-263.377192982456,0,('Raw Data'!J183-12010)/45.6)</f>
        <v>0</v>
      </c>
      <c r="M182" s="16">
        <f>'Raw Data'!N183*2^-8</f>
        <v>0</v>
      </c>
      <c r="N182" s="16">
        <f>'Raw Data'!O183*2^-8</f>
        <v>0</v>
      </c>
      <c r="O182" s="17" t="str">
        <f>IF(BITWISE_AND('Raw Data'!$K183, 8192),"X","")</f>
        <v/>
      </c>
      <c r="P182" s="17" t="str">
        <f>IF(BITWISE_AND('Raw Data'!$K183, 2048),"X","")</f>
        <v/>
      </c>
      <c r="Q182" s="17" t="str">
        <f>IF(BITWISE_AND('Raw Data'!$K183, 64),"X","")</f>
        <v/>
      </c>
      <c r="R182" s="18" t="str">
        <f>IF(BITWISE_AND('Raw Data'!$L183, 1024),"X","")</f>
        <v/>
      </c>
      <c r="S182" s="18" t="str">
        <f>IF(BITWISE_AND('Raw Data'!$L183, 512),"X","")</f>
        <v/>
      </c>
      <c r="T182" s="18" t="str">
        <f>IF(BITWISE_AND('Raw Data'!$L183, 256),"X","")</f>
        <v/>
      </c>
      <c r="U182" s="18" t="str">
        <f>IF(BITWISE_AND('Raw Data'!$L183, 64),"X","")</f>
        <v/>
      </c>
      <c r="V182" s="18" t="str">
        <f>IF(BITWISE_AND('Raw Data'!$L183, 2),"X","")</f>
        <v/>
      </c>
      <c r="W182" s="18" t="str">
        <f>IF(BITWISE_AND('Raw Data'!$L183, 1),"X","")</f>
        <v/>
      </c>
      <c r="X182" s="19" t="str">
        <f>IF(BITWISE_AND('Raw Data'!M183, 1),"Bat Voltage", IF(BITWISE_AND('Raw Data'!M183, 2), "Charge Current", IF(BITWISE_AND('Raw Data'!M183, 4),"Input Ilim", IF(BITWISE_AND('Raw Data'!M183, 8), "Input UV", "none"))))</f>
        <v>none</v>
      </c>
    </row>
    <row r="183" spans="1:24" x14ac:dyDescent="0.2">
      <c r="A183" s="15">
        <f>A182+TIME(0,0,'Raw Data'!B183)</f>
        <v>0</v>
      </c>
      <c r="B183" s="4">
        <f>'Raw Data'!C184*0.025</f>
        <v>0</v>
      </c>
      <c r="C183" s="4">
        <f t="shared" si="9"/>
        <v>0</v>
      </c>
      <c r="D183" s="4">
        <f>'Raw Data'!D184*0.025</f>
        <v>0</v>
      </c>
      <c r="E183" s="4">
        <f t="shared" si="10"/>
        <v>0</v>
      </c>
      <c r="F183" s="4">
        <f>'Raw Data'!E184*0.001648</f>
        <v>0</v>
      </c>
      <c r="G183" s="4">
        <f>'Raw Data'!F184*0.001648</f>
        <v>0</v>
      </c>
      <c r="H183" s="4">
        <f>'Raw Data'!G184*6*0.000128176</f>
        <v>0</v>
      </c>
      <c r="I183" s="4">
        <f>'Raw Data'!H184*0.000732435</f>
        <v>0</v>
      </c>
      <c r="J183" s="4">
        <f t="shared" si="8"/>
        <v>0</v>
      </c>
      <c r="K183" s="36">
        <f>IF(('Raw Data'!I184-16384)/32768&lt;0,0,('Raw Data'!I184-16384)/32768)</f>
        <v>0</v>
      </c>
      <c r="L183" s="4">
        <f>IF(('Raw Data'!J184-12010)/45.6=-263.377192982456,0,('Raw Data'!J184-12010)/45.6)</f>
        <v>0</v>
      </c>
      <c r="M183" s="16">
        <f>'Raw Data'!N184*2^-8</f>
        <v>0</v>
      </c>
      <c r="N183" s="16">
        <f>'Raw Data'!O184*2^-8</f>
        <v>0</v>
      </c>
      <c r="O183" s="17" t="str">
        <f>IF(BITWISE_AND('Raw Data'!$K184, 8192),"X","")</f>
        <v/>
      </c>
      <c r="P183" s="17" t="str">
        <f>IF(BITWISE_AND('Raw Data'!$K184, 2048),"X","")</f>
        <v/>
      </c>
      <c r="Q183" s="17" t="str">
        <f>IF(BITWISE_AND('Raw Data'!$K184, 64),"X","")</f>
        <v/>
      </c>
      <c r="R183" s="18" t="str">
        <f>IF(BITWISE_AND('Raw Data'!$L184, 1024),"X","")</f>
        <v/>
      </c>
      <c r="S183" s="18" t="str">
        <f>IF(BITWISE_AND('Raw Data'!$L184, 512),"X","")</f>
        <v/>
      </c>
      <c r="T183" s="18" t="str">
        <f>IF(BITWISE_AND('Raw Data'!$L184, 256),"X","")</f>
        <v/>
      </c>
      <c r="U183" s="18" t="str">
        <f>IF(BITWISE_AND('Raw Data'!$L184, 64),"X","")</f>
        <v/>
      </c>
      <c r="V183" s="18" t="str">
        <f>IF(BITWISE_AND('Raw Data'!$L184, 2),"X","")</f>
        <v/>
      </c>
      <c r="W183" s="18" t="str">
        <f>IF(BITWISE_AND('Raw Data'!$L184, 1),"X","")</f>
        <v/>
      </c>
      <c r="X183" s="19" t="str">
        <f>IF(BITWISE_AND('Raw Data'!M184, 1),"Bat Voltage", IF(BITWISE_AND('Raw Data'!M184, 2), "Charge Current", IF(BITWISE_AND('Raw Data'!M184, 4),"Input Ilim", IF(BITWISE_AND('Raw Data'!M184, 8), "Input UV", "none"))))</f>
        <v>none</v>
      </c>
    </row>
    <row r="184" spans="1:24" x14ac:dyDescent="0.2">
      <c r="A184" s="15">
        <f>A183+TIME(0,0,'Raw Data'!B184)</f>
        <v>0</v>
      </c>
      <c r="B184" s="4">
        <f>'Raw Data'!C185*0.025</f>
        <v>0</v>
      </c>
      <c r="C184" s="4">
        <f t="shared" si="9"/>
        <v>0</v>
      </c>
      <c r="D184" s="4">
        <f>'Raw Data'!D185*0.025</f>
        <v>0</v>
      </c>
      <c r="E184" s="4">
        <f t="shared" si="10"/>
        <v>0</v>
      </c>
      <c r="F184" s="4">
        <f>'Raw Data'!E185*0.001648</f>
        <v>0</v>
      </c>
      <c r="G184" s="4">
        <f>'Raw Data'!F185*0.001648</f>
        <v>0</v>
      </c>
      <c r="H184" s="4">
        <f>'Raw Data'!G185*6*0.000128176</f>
        <v>0</v>
      </c>
      <c r="I184" s="4">
        <f>'Raw Data'!H185*0.000732435</f>
        <v>0</v>
      </c>
      <c r="J184" s="4">
        <f t="shared" si="8"/>
        <v>0</v>
      </c>
      <c r="K184" s="36">
        <f>IF(('Raw Data'!I185-16384)/32768&lt;0,0,('Raw Data'!I185-16384)/32768)</f>
        <v>0</v>
      </c>
      <c r="L184" s="4">
        <f>IF(('Raw Data'!J185-12010)/45.6=-263.377192982456,0,('Raw Data'!J185-12010)/45.6)</f>
        <v>0</v>
      </c>
      <c r="M184" s="16">
        <f>'Raw Data'!N185*2^-8</f>
        <v>0</v>
      </c>
      <c r="N184" s="16">
        <f>'Raw Data'!O185*2^-8</f>
        <v>0</v>
      </c>
      <c r="O184" s="17" t="str">
        <f>IF(BITWISE_AND('Raw Data'!$K185, 8192),"X","")</f>
        <v/>
      </c>
      <c r="P184" s="17" t="str">
        <f>IF(BITWISE_AND('Raw Data'!$K185, 2048),"X","")</f>
        <v/>
      </c>
      <c r="Q184" s="17" t="str">
        <f>IF(BITWISE_AND('Raw Data'!$K185, 64),"X","")</f>
        <v/>
      </c>
      <c r="R184" s="18" t="str">
        <f>IF(BITWISE_AND('Raw Data'!$L185, 1024),"X","")</f>
        <v/>
      </c>
      <c r="S184" s="18" t="str">
        <f>IF(BITWISE_AND('Raw Data'!$L185, 512),"X","")</f>
        <v/>
      </c>
      <c r="T184" s="18" t="str">
        <f>IF(BITWISE_AND('Raw Data'!$L185, 256),"X","")</f>
        <v/>
      </c>
      <c r="U184" s="18" t="str">
        <f>IF(BITWISE_AND('Raw Data'!$L185, 64),"X","")</f>
        <v/>
      </c>
      <c r="V184" s="18" t="str">
        <f>IF(BITWISE_AND('Raw Data'!$L185, 2),"X","")</f>
        <v/>
      </c>
      <c r="W184" s="18" t="str">
        <f>IF(BITWISE_AND('Raw Data'!$L185, 1),"X","")</f>
        <v/>
      </c>
      <c r="X184" s="19" t="str">
        <f>IF(BITWISE_AND('Raw Data'!M185, 1),"Bat Voltage", IF(BITWISE_AND('Raw Data'!M185, 2), "Charge Current", IF(BITWISE_AND('Raw Data'!M185, 4),"Input Ilim", IF(BITWISE_AND('Raw Data'!M185, 8), "Input UV", "none"))))</f>
        <v>none</v>
      </c>
    </row>
    <row r="185" spans="1:24" x14ac:dyDescent="0.2">
      <c r="A185" s="15">
        <f>A184+TIME(0,0,'Raw Data'!B185)</f>
        <v>0</v>
      </c>
      <c r="B185" s="4">
        <f>'Raw Data'!C186*0.025</f>
        <v>0</v>
      </c>
      <c r="C185" s="4">
        <f t="shared" si="9"/>
        <v>0</v>
      </c>
      <c r="D185" s="4">
        <f>'Raw Data'!D186*0.025</f>
        <v>0</v>
      </c>
      <c r="E185" s="4">
        <f t="shared" si="10"/>
        <v>0</v>
      </c>
      <c r="F185" s="4">
        <f>'Raw Data'!E186*0.001648</f>
        <v>0</v>
      </c>
      <c r="G185" s="4">
        <f>'Raw Data'!F186*0.001648</f>
        <v>0</v>
      </c>
      <c r="H185" s="4">
        <f>'Raw Data'!G186*6*0.000128176</f>
        <v>0</v>
      </c>
      <c r="I185" s="4">
        <f>'Raw Data'!H186*0.000732435</f>
        <v>0</v>
      </c>
      <c r="J185" s="4">
        <f t="shared" si="8"/>
        <v>0</v>
      </c>
      <c r="K185" s="36">
        <f>IF(('Raw Data'!I186-16384)/32768&lt;0,0,('Raw Data'!I186-16384)/32768)</f>
        <v>0</v>
      </c>
      <c r="L185" s="4">
        <f>IF(('Raw Data'!J186-12010)/45.6=-263.377192982456,0,('Raw Data'!J186-12010)/45.6)</f>
        <v>0</v>
      </c>
      <c r="M185" s="16">
        <f>'Raw Data'!N186*2^-8</f>
        <v>0</v>
      </c>
      <c r="N185" s="16">
        <f>'Raw Data'!O186*2^-8</f>
        <v>0</v>
      </c>
      <c r="O185" s="17" t="str">
        <f>IF(BITWISE_AND('Raw Data'!$K186, 8192),"X","")</f>
        <v/>
      </c>
      <c r="P185" s="17" t="str">
        <f>IF(BITWISE_AND('Raw Data'!$K186, 2048),"X","")</f>
        <v/>
      </c>
      <c r="Q185" s="17" t="str">
        <f>IF(BITWISE_AND('Raw Data'!$K186, 64),"X","")</f>
        <v/>
      </c>
      <c r="R185" s="18" t="str">
        <f>IF(BITWISE_AND('Raw Data'!$L186, 1024),"X","")</f>
        <v/>
      </c>
      <c r="S185" s="18" t="str">
        <f>IF(BITWISE_AND('Raw Data'!$L186, 512),"X","")</f>
        <v/>
      </c>
      <c r="T185" s="18" t="str">
        <f>IF(BITWISE_AND('Raw Data'!$L186, 256),"X","")</f>
        <v/>
      </c>
      <c r="U185" s="18" t="str">
        <f>IF(BITWISE_AND('Raw Data'!$L186, 64),"X","")</f>
        <v/>
      </c>
      <c r="V185" s="18" t="str">
        <f>IF(BITWISE_AND('Raw Data'!$L186, 2),"X","")</f>
        <v/>
      </c>
      <c r="W185" s="18" t="str">
        <f>IF(BITWISE_AND('Raw Data'!$L186, 1),"X","")</f>
        <v/>
      </c>
      <c r="X185" s="19" t="str">
        <f>IF(BITWISE_AND('Raw Data'!M186, 1),"Bat Voltage", IF(BITWISE_AND('Raw Data'!M186, 2), "Charge Current", IF(BITWISE_AND('Raw Data'!M186, 4),"Input Ilim", IF(BITWISE_AND('Raw Data'!M186, 8), "Input UV", "none"))))</f>
        <v>none</v>
      </c>
    </row>
    <row r="186" spans="1:24" x14ac:dyDescent="0.2">
      <c r="A186" s="15">
        <f>A185+TIME(0,0,'Raw Data'!B186)</f>
        <v>0</v>
      </c>
      <c r="B186" s="4">
        <f>'Raw Data'!C187*0.025</f>
        <v>0</v>
      </c>
      <c r="C186" s="4">
        <f t="shared" si="9"/>
        <v>0</v>
      </c>
      <c r="D186" s="4">
        <f>'Raw Data'!D187*0.025</f>
        <v>0</v>
      </c>
      <c r="E186" s="4">
        <f t="shared" si="10"/>
        <v>0</v>
      </c>
      <c r="F186" s="4">
        <f>'Raw Data'!E187*0.001648</f>
        <v>0</v>
      </c>
      <c r="G186" s="4">
        <f>'Raw Data'!F187*0.001648</f>
        <v>0</v>
      </c>
      <c r="H186" s="4">
        <f>'Raw Data'!G187*6*0.000128176</f>
        <v>0</v>
      </c>
      <c r="I186" s="4">
        <f>'Raw Data'!H187*0.000732435</f>
        <v>0</v>
      </c>
      <c r="J186" s="4">
        <f t="shared" si="8"/>
        <v>0</v>
      </c>
      <c r="K186" s="36">
        <f>IF(('Raw Data'!I187-16384)/32768&lt;0,0,('Raw Data'!I187-16384)/32768)</f>
        <v>0</v>
      </c>
      <c r="L186" s="4">
        <f>IF(('Raw Data'!J187-12010)/45.6=-263.377192982456,0,('Raw Data'!J187-12010)/45.6)</f>
        <v>0</v>
      </c>
      <c r="M186" s="16">
        <f>'Raw Data'!N187*2^-8</f>
        <v>0</v>
      </c>
      <c r="N186" s="16">
        <f>'Raw Data'!O187*2^-8</f>
        <v>0</v>
      </c>
      <c r="O186" s="17" t="str">
        <f>IF(BITWISE_AND('Raw Data'!$K187, 8192),"X","")</f>
        <v/>
      </c>
      <c r="P186" s="17" t="str">
        <f>IF(BITWISE_AND('Raw Data'!$K187, 2048),"X","")</f>
        <v/>
      </c>
      <c r="Q186" s="17" t="str">
        <f>IF(BITWISE_AND('Raw Data'!$K187, 64),"X","")</f>
        <v/>
      </c>
      <c r="R186" s="18" t="str">
        <f>IF(BITWISE_AND('Raw Data'!$L187, 1024),"X","")</f>
        <v/>
      </c>
      <c r="S186" s="18" t="str">
        <f>IF(BITWISE_AND('Raw Data'!$L187, 512),"X","")</f>
        <v/>
      </c>
      <c r="T186" s="18" t="str">
        <f>IF(BITWISE_AND('Raw Data'!$L187, 256),"X","")</f>
        <v/>
      </c>
      <c r="U186" s="18" t="str">
        <f>IF(BITWISE_AND('Raw Data'!$L187, 64),"X","")</f>
        <v/>
      </c>
      <c r="V186" s="18" t="str">
        <f>IF(BITWISE_AND('Raw Data'!$L187, 2),"X","")</f>
        <v/>
      </c>
      <c r="W186" s="18" t="str">
        <f>IF(BITWISE_AND('Raw Data'!$L187, 1),"X","")</f>
        <v/>
      </c>
      <c r="X186" s="19" t="str">
        <f>IF(BITWISE_AND('Raw Data'!M187, 1),"Bat Voltage", IF(BITWISE_AND('Raw Data'!M187, 2), "Charge Current", IF(BITWISE_AND('Raw Data'!M187, 4),"Input Ilim", IF(BITWISE_AND('Raw Data'!M187, 8), "Input UV", "none"))))</f>
        <v>none</v>
      </c>
    </row>
    <row r="187" spans="1:24" x14ac:dyDescent="0.2">
      <c r="A187" s="15">
        <f>A186+TIME(0,0,'Raw Data'!B187)</f>
        <v>0</v>
      </c>
      <c r="B187" s="4">
        <f>'Raw Data'!C188*0.025</f>
        <v>0</v>
      </c>
      <c r="C187" s="4">
        <f t="shared" si="9"/>
        <v>0</v>
      </c>
      <c r="D187" s="4">
        <f>'Raw Data'!D188*0.025</f>
        <v>0</v>
      </c>
      <c r="E187" s="4">
        <f t="shared" si="10"/>
        <v>0</v>
      </c>
      <c r="F187" s="4">
        <f>'Raw Data'!E188*0.001648</f>
        <v>0</v>
      </c>
      <c r="G187" s="4">
        <f>'Raw Data'!F188*0.001648</f>
        <v>0</v>
      </c>
      <c r="H187" s="4">
        <f>'Raw Data'!G188*6*0.000128176</f>
        <v>0</v>
      </c>
      <c r="I187" s="4">
        <f>'Raw Data'!H188*0.000732435</f>
        <v>0</v>
      </c>
      <c r="J187" s="4">
        <f t="shared" si="8"/>
        <v>0</v>
      </c>
      <c r="K187" s="36">
        <f>IF(('Raw Data'!I188-16384)/32768&lt;0,0,('Raw Data'!I188-16384)/32768)</f>
        <v>0</v>
      </c>
      <c r="L187" s="4">
        <f>IF(('Raw Data'!J188-12010)/45.6=-263.377192982456,0,('Raw Data'!J188-12010)/45.6)</f>
        <v>0</v>
      </c>
      <c r="M187" s="16">
        <f>'Raw Data'!N188*2^-8</f>
        <v>0</v>
      </c>
      <c r="N187" s="16">
        <f>'Raw Data'!O188*2^-8</f>
        <v>0</v>
      </c>
      <c r="O187" s="17" t="str">
        <f>IF(BITWISE_AND('Raw Data'!$K188, 8192),"X","")</f>
        <v/>
      </c>
      <c r="P187" s="17" t="str">
        <f>IF(BITWISE_AND('Raw Data'!$K188, 2048),"X","")</f>
        <v/>
      </c>
      <c r="Q187" s="17" t="str">
        <f>IF(BITWISE_AND('Raw Data'!$K188, 64),"X","")</f>
        <v/>
      </c>
      <c r="R187" s="18" t="str">
        <f>IF(BITWISE_AND('Raw Data'!$L188, 1024),"X","")</f>
        <v/>
      </c>
      <c r="S187" s="18" t="str">
        <f>IF(BITWISE_AND('Raw Data'!$L188, 512),"X","")</f>
        <v/>
      </c>
      <c r="T187" s="18" t="str">
        <f>IF(BITWISE_AND('Raw Data'!$L188, 256),"X","")</f>
        <v/>
      </c>
      <c r="U187" s="18" t="str">
        <f>IF(BITWISE_AND('Raw Data'!$L188, 64),"X","")</f>
        <v/>
      </c>
      <c r="V187" s="18" t="str">
        <f>IF(BITWISE_AND('Raw Data'!$L188, 2),"X","")</f>
        <v/>
      </c>
      <c r="W187" s="18" t="str">
        <f>IF(BITWISE_AND('Raw Data'!$L188, 1),"X","")</f>
        <v/>
      </c>
      <c r="X187" s="19" t="str">
        <f>IF(BITWISE_AND('Raw Data'!M188, 1),"Bat Voltage", IF(BITWISE_AND('Raw Data'!M188, 2), "Charge Current", IF(BITWISE_AND('Raw Data'!M188, 4),"Input Ilim", IF(BITWISE_AND('Raw Data'!M188, 8), "Input UV", "none"))))</f>
        <v>none</v>
      </c>
    </row>
    <row r="188" spans="1:24" x14ac:dyDescent="0.2">
      <c r="A188" s="15">
        <f>A187+TIME(0,0,'Raw Data'!B188)</f>
        <v>0</v>
      </c>
      <c r="B188" s="4">
        <f>'Raw Data'!C189*0.025</f>
        <v>0</v>
      </c>
      <c r="C188" s="4">
        <f t="shared" si="9"/>
        <v>0</v>
      </c>
      <c r="D188" s="4">
        <f>'Raw Data'!D189*0.025</f>
        <v>0</v>
      </c>
      <c r="E188" s="4">
        <f t="shared" si="10"/>
        <v>0</v>
      </c>
      <c r="F188" s="4">
        <f>'Raw Data'!E189*0.001648</f>
        <v>0</v>
      </c>
      <c r="G188" s="4">
        <f>'Raw Data'!F189*0.001648</f>
        <v>0</v>
      </c>
      <c r="H188" s="4">
        <f>'Raw Data'!G189*6*0.000128176</f>
        <v>0</v>
      </c>
      <c r="I188" s="4">
        <f>'Raw Data'!H189*0.000732435</f>
        <v>0</v>
      </c>
      <c r="J188" s="4">
        <f t="shared" si="8"/>
        <v>0</v>
      </c>
      <c r="K188" s="36">
        <f>IF(('Raw Data'!I189-16384)/32768&lt;0,0,('Raw Data'!I189-16384)/32768)</f>
        <v>0</v>
      </c>
      <c r="L188" s="4">
        <f>IF(('Raw Data'!J189-12010)/45.6=-263.377192982456,0,('Raw Data'!J189-12010)/45.6)</f>
        <v>0</v>
      </c>
      <c r="M188" s="16">
        <f>'Raw Data'!N189*2^-8</f>
        <v>0</v>
      </c>
      <c r="N188" s="16">
        <f>'Raw Data'!O189*2^-8</f>
        <v>0</v>
      </c>
      <c r="O188" s="17" t="str">
        <f>IF(BITWISE_AND('Raw Data'!$K189, 8192),"X","")</f>
        <v/>
      </c>
      <c r="P188" s="17" t="str">
        <f>IF(BITWISE_AND('Raw Data'!$K189, 2048),"X","")</f>
        <v/>
      </c>
      <c r="Q188" s="17" t="str">
        <f>IF(BITWISE_AND('Raw Data'!$K189, 64),"X","")</f>
        <v/>
      </c>
      <c r="R188" s="18" t="str">
        <f>IF(BITWISE_AND('Raw Data'!$L189, 1024),"X","")</f>
        <v/>
      </c>
      <c r="S188" s="18" t="str">
        <f>IF(BITWISE_AND('Raw Data'!$L189, 512),"X","")</f>
        <v/>
      </c>
      <c r="T188" s="18" t="str">
        <f>IF(BITWISE_AND('Raw Data'!$L189, 256),"X","")</f>
        <v/>
      </c>
      <c r="U188" s="18" t="str">
        <f>IF(BITWISE_AND('Raw Data'!$L189, 64),"X","")</f>
        <v/>
      </c>
      <c r="V188" s="18" t="str">
        <f>IF(BITWISE_AND('Raw Data'!$L189, 2),"X","")</f>
        <v/>
      </c>
      <c r="W188" s="18" t="str">
        <f>IF(BITWISE_AND('Raw Data'!$L189, 1),"X","")</f>
        <v/>
      </c>
      <c r="X188" s="19" t="str">
        <f>IF(BITWISE_AND('Raw Data'!M189, 1),"Bat Voltage", IF(BITWISE_AND('Raw Data'!M189, 2), "Charge Current", IF(BITWISE_AND('Raw Data'!M189, 4),"Input Ilim", IF(BITWISE_AND('Raw Data'!M189, 8), "Input UV", "none"))))</f>
        <v>none</v>
      </c>
    </row>
    <row r="189" spans="1:24" x14ac:dyDescent="0.2">
      <c r="A189" s="15">
        <f>A188+TIME(0,0,'Raw Data'!B189)</f>
        <v>0</v>
      </c>
      <c r="B189" s="4">
        <f>'Raw Data'!C190*0.025</f>
        <v>0</v>
      </c>
      <c r="C189" s="4">
        <f t="shared" si="9"/>
        <v>0</v>
      </c>
      <c r="D189" s="4">
        <f>'Raw Data'!D190*0.025</f>
        <v>0</v>
      </c>
      <c r="E189" s="4">
        <f t="shared" si="10"/>
        <v>0</v>
      </c>
      <c r="F189" s="4">
        <f>'Raw Data'!E190*0.001648</f>
        <v>0</v>
      </c>
      <c r="G189" s="4">
        <f>'Raw Data'!F190*0.001648</f>
        <v>0</v>
      </c>
      <c r="H189" s="4">
        <f>'Raw Data'!G190*6*0.000128176</f>
        <v>0</v>
      </c>
      <c r="I189" s="4">
        <f>'Raw Data'!H190*0.000732435</f>
        <v>0</v>
      </c>
      <c r="J189" s="4">
        <f t="shared" si="8"/>
        <v>0</v>
      </c>
      <c r="K189" s="36">
        <f>IF(('Raw Data'!I190-16384)/32768&lt;0,0,('Raw Data'!I190-16384)/32768)</f>
        <v>0</v>
      </c>
      <c r="L189" s="4">
        <f>IF(('Raw Data'!J190-12010)/45.6=-263.377192982456,0,('Raw Data'!J190-12010)/45.6)</f>
        <v>0</v>
      </c>
      <c r="M189" s="16">
        <f>'Raw Data'!N190*2^-8</f>
        <v>0</v>
      </c>
      <c r="N189" s="16">
        <f>'Raw Data'!O190*2^-8</f>
        <v>0</v>
      </c>
      <c r="O189" s="17" t="str">
        <f>IF(BITWISE_AND('Raw Data'!$K190, 8192),"X","")</f>
        <v/>
      </c>
      <c r="P189" s="17" t="str">
        <f>IF(BITWISE_AND('Raw Data'!$K190, 2048),"X","")</f>
        <v/>
      </c>
      <c r="Q189" s="17" t="str">
        <f>IF(BITWISE_AND('Raw Data'!$K190, 64),"X","")</f>
        <v/>
      </c>
      <c r="R189" s="18" t="str">
        <f>IF(BITWISE_AND('Raw Data'!$L190, 1024),"X","")</f>
        <v/>
      </c>
      <c r="S189" s="18" t="str">
        <f>IF(BITWISE_AND('Raw Data'!$L190, 512),"X","")</f>
        <v/>
      </c>
      <c r="T189" s="18" t="str">
        <f>IF(BITWISE_AND('Raw Data'!$L190, 256),"X","")</f>
        <v/>
      </c>
      <c r="U189" s="18" t="str">
        <f>IF(BITWISE_AND('Raw Data'!$L190, 64),"X","")</f>
        <v/>
      </c>
      <c r="V189" s="18" t="str">
        <f>IF(BITWISE_AND('Raw Data'!$L190, 2),"X","")</f>
        <v/>
      </c>
      <c r="W189" s="18" t="str">
        <f>IF(BITWISE_AND('Raw Data'!$L190, 1),"X","")</f>
        <v/>
      </c>
      <c r="X189" s="19" t="str">
        <f>IF(BITWISE_AND('Raw Data'!M190, 1),"Bat Voltage", IF(BITWISE_AND('Raw Data'!M190, 2), "Charge Current", IF(BITWISE_AND('Raw Data'!M190, 4),"Input Ilim", IF(BITWISE_AND('Raw Data'!M190, 8), "Input UV", "none"))))</f>
        <v>none</v>
      </c>
    </row>
    <row r="190" spans="1:24" x14ac:dyDescent="0.2">
      <c r="A190" s="15">
        <f>A189+TIME(0,0,'Raw Data'!B190)</f>
        <v>0</v>
      </c>
      <c r="B190" s="4">
        <f>'Raw Data'!C191*0.025</f>
        <v>0</v>
      </c>
      <c r="C190" s="4">
        <f t="shared" si="9"/>
        <v>0</v>
      </c>
      <c r="D190" s="4">
        <f>'Raw Data'!D191*0.025</f>
        <v>0</v>
      </c>
      <c r="E190" s="4">
        <f t="shared" si="10"/>
        <v>0</v>
      </c>
      <c r="F190" s="4">
        <f>'Raw Data'!E191*0.001648</f>
        <v>0</v>
      </c>
      <c r="G190" s="4">
        <f>'Raw Data'!F191*0.001648</f>
        <v>0</v>
      </c>
      <c r="H190" s="4">
        <f>'Raw Data'!G191*6*0.000128176</f>
        <v>0</v>
      </c>
      <c r="I190" s="4">
        <f>'Raw Data'!H191*0.000732435</f>
        <v>0</v>
      </c>
      <c r="J190" s="4">
        <f t="shared" si="8"/>
        <v>0</v>
      </c>
      <c r="K190" s="36">
        <f>IF(('Raw Data'!I191-16384)/32768&lt;0,0,('Raw Data'!I191-16384)/32768)</f>
        <v>0</v>
      </c>
      <c r="L190" s="4">
        <f>IF(('Raw Data'!J191-12010)/45.6=-263.377192982456,0,('Raw Data'!J191-12010)/45.6)</f>
        <v>0</v>
      </c>
      <c r="M190" s="16">
        <f>'Raw Data'!N191*2^-8</f>
        <v>0</v>
      </c>
      <c r="N190" s="16">
        <f>'Raw Data'!O191*2^-8</f>
        <v>0</v>
      </c>
      <c r="O190" s="17" t="str">
        <f>IF(BITWISE_AND('Raw Data'!$K191, 8192),"X","")</f>
        <v/>
      </c>
      <c r="P190" s="17" t="str">
        <f>IF(BITWISE_AND('Raw Data'!$K191, 2048),"X","")</f>
        <v/>
      </c>
      <c r="Q190" s="17" t="str">
        <f>IF(BITWISE_AND('Raw Data'!$K191, 64),"X","")</f>
        <v/>
      </c>
      <c r="R190" s="18" t="str">
        <f>IF(BITWISE_AND('Raw Data'!$L191, 1024),"X","")</f>
        <v/>
      </c>
      <c r="S190" s="18" t="str">
        <f>IF(BITWISE_AND('Raw Data'!$L191, 512),"X","")</f>
        <v/>
      </c>
      <c r="T190" s="18" t="str">
        <f>IF(BITWISE_AND('Raw Data'!$L191, 256),"X","")</f>
        <v/>
      </c>
      <c r="U190" s="18" t="str">
        <f>IF(BITWISE_AND('Raw Data'!$L191, 64),"X","")</f>
        <v/>
      </c>
      <c r="V190" s="18" t="str">
        <f>IF(BITWISE_AND('Raw Data'!$L191, 2),"X","")</f>
        <v/>
      </c>
      <c r="W190" s="18" t="str">
        <f>IF(BITWISE_AND('Raw Data'!$L191, 1),"X","")</f>
        <v/>
      </c>
      <c r="X190" s="19" t="str">
        <f>IF(BITWISE_AND('Raw Data'!M191, 1),"Bat Voltage", IF(BITWISE_AND('Raw Data'!M191, 2), "Charge Current", IF(BITWISE_AND('Raw Data'!M191, 4),"Input Ilim", IF(BITWISE_AND('Raw Data'!M191, 8), "Input UV", "none"))))</f>
        <v>none</v>
      </c>
    </row>
    <row r="191" spans="1:24" x14ac:dyDescent="0.2">
      <c r="A191" s="15">
        <f>A190+TIME(0,0,'Raw Data'!B191)</f>
        <v>0</v>
      </c>
      <c r="B191" s="4">
        <f>'Raw Data'!C192*0.025</f>
        <v>0</v>
      </c>
      <c r="C191" s="4">
        <f t="shared" si="9"/>
        <v>0</v>
      </c>
      <c r="D191" s="4">
        <f>'Raw Data'!D192*0.025</f>
        <v>0</v>
      </c>
      <c r="E191" s="4">
        <f t="shared" si="10"/>
        <v>0</v>
      </c>
      <c r="F191" s="4">
        <f>'Raw Data'!E192*0.001648</f>
        <v>0</v>
      </c>
      <c r="G191" s="4">
        <f>'Raw Data'!F192*0.001648</f>
        <v>0</v>
      </c>
      <c r="H191" s="4">
        <f>'Raw Data'!G192*6*0.000128176</f>
        <v>0</v>
      </c>
      <c r="I191" s="4">
        <f>'Raw Data'!H192*0.000732435</f>
        <v>0</v>
      </c>
      <c r="J191" s="4">
        <f t="shared" si="8"/>
        <v>0</v>
      </c>
      <c r="K191" s="36">
        <f>IF(('Raw Data'!I192-16384)/32768&lt;0,0,('Raw Data'!I192-16384)/32768)</f>
        <v>0</v>
      </c>
      <c r="L191" s="4">
        <f>IF(('Raw Data'!J192-12010)/45.6=-263.377192982456,0,('Raw Data'!J192-12010)/45.6)</f>
        <v>0</v>
      </c>
      <c r="M191" s="16">
        <f>'Raw Data'!N192*2^-8</f>
        <v>0</v>
      </c>
      <c r="N191" s="16">
        <f>'Raw Data'!O192*2^-8</f>
        <v>0</v>
      </c>
      <c r="O191" s="17" t="str">
        <f>IF(BITWISE_AND('Raw Data'!$K192, 8192),"X","")</f>
        <v/>
      </c>
      <c r="P191" s="17" t="str">
        <f>IF(BITWISE_AND('Raw Data'!$K192, 2048),"X","")</f>
        <v/>
      </c>
      <c r="Q191" s="17" t="str">
        <f>IF(BITWISE_AND('Raw Data'!$K192, 64),"X","")</f>
        <v/>
      </c>
      <c r="R191" s="18" t="str">
        <f>IF(BITWISE_AND('Raw Data'!$L192, 1024),"X","")</f>
        <v/>
      </c>
      <c r="S191" s="18" t="str">
        <f>IF(BITWISE_AND('Raw Data'!$L192, 512),"X","")</f>
        <v/>
      </c>
      <c r="T191" s="18" t="str">
        <f>IF(BITWISE_AND('Raw Data'!$L192, 256),"X","")</f>
        <v/>
      </c>
      <c r="U191" s="18" t="str">
        <f>IF(BITWISE_AND('Raw Data'!$L192, 64),"X","")</f>
        <v/>
      </c>
      <c r="V191" s="18" t="str">
        <f>IF(BITWISE_AND('Raw Data'!$L192, 2),"X","")</f>
        <v/>
      </c>
      <c r="W191" s="18" t="str">
        <f>IF(BITWISE_AND('Raw Data'!$L192, 1),"X","")</f>
        <v/>
      </c>
      <c r="X191" s="19" t="str">
        <f>IF(BITWISE_AND('Raw Data'!M192, 1),"Bat Voltage", IF(BITWISE_AND('Raw Data'!M192, 2), "Charge Current", IF(BITWISE_AND('Raw Data'!M192, 4),"Input Ilim", IF(BITWISE_AND('Raw Data'!M192, 8), "Input UV", "none"))))</f>
        <v>none</v>
      </c>
    </row>
    <row r="192" spans="1:24" x14ac:dyDescent="0.2">
      <c r="A192" s="15">
        <f>A191+TIME(0,0,'Raw Data'!B192)</f>
        <v>0</v>
      </c>
      <c r="B192" s="4">
        <f>'Raw Data'!C193*0.025</f>
        <v>0</v>
      </c>
      <c r="C192" s="4">
        <f t="shared" si="9"/>
        <v>0</v>
      </c>
      <c r="D192" s="4">
        <f>'Raw Data'!D193*0.025</f>
        <v>0</v>
      </c>
      <c r="E192" s="4">
        <f t="shared" si="10"/>
        <v>0</v>
      </c>
      <c r="F192" s="4">
        <f>'Raw Data'!E193*0.001648</f>
        <v>0</v>
      </c>
      <c r="G192" s="4">
        <f>'Raw Data'!F193*0.001648</f>
        <v>0</v>
      </c>
      <c r="H192" s="4">
        <f>'Raw Data'!G193*6*0.000128176</f>
        <v>0</v>
      </c>
      <c r="I192" s="4">
        <f>'Raw Data'!H193*0.000732435</f>
        <v>0</v>
      </c>
      <c r="J192" s="4">
        <f t="shared" si="8"/>
        <v>0</v>
      </c>
      <c r="K192" s="36">
        <f>IF(('Raw Data'!I193-16384)/32768&lt;0,0,('Raw Data'!I193-16384)/32768)</f>
        <v>0</v>
      </c>
      <c r="L192" s="4">
        <f>IF(('Raw Data'!J193-12010)/45.6=-263.377192982456,0,('Raw Data'!J193-12010)/45.6)</f>
        <v>0</v>
      </c>
      <c r="M192" s="16">
        <f>'Raw Data'!N193*2^-8</f>
        <v>0</v>
      </c>
      <c r="N192" s="16">
        <f>'Raw Data'!O193*2^-8</f>
        <v>0</v>
      </c>
      <c r="O192" s="17" t="str">
        <f>IF(BITWISE_AND('Raw Data'!$K193, 8192),"X","")</f>
        <v/>
      </c>
      <c r="P192" s="17" t="str">
        <f>IF(BITWISE_AND('Raw Data'!$K193, 2048),"X","")</f>
        <v/>
      </c>
      <c r="Q192" s="17" t="str">
        <f>IF(BITWISE_AND('Raw Data'!$K193, 64),"X","")</f>
        <v/>
      </c>
      <c r="R192" s="18" t="str">
        <f>IF(BITWISE_AND('Raw Data'!$L193, 1024),"X","")</f>
        <v/>
      </c>
      <c r="S192" s="18" t="str">
        <f>IF(BITWISE_AND('Raw Data'!$L193, 512),"X","")</f>
        <v/>
      </c>
      <c r="T192" s="18" t="str">
        <f>IF(BITWISE_AND('Raw Data'!$L193, 256),"X","")</f>
        <v/>
      </c>
      <c r="U192" s="18" t="str">
        <f>IF(BITWISE_AND('Raw Data'!$L193, 64),"X","")</f>
        <v/>
      </c>
      <c r="V192" s="18" t="str">
        <f>IF(BITWISE_AND('Raw Data'!$L193, 2),"X","")</f>
        <v/>
      </c>
      <c r="W192" s="18" t="str">
        <f>IF(BITWISE_AND('Raw Data'!$L193, 1),"X","")</f>
        <v/>
      </c>
      <c r="X192" s="19" t="str">
        <f>IF(BITWISE_AND('Raw Data'!M193, 1),"Bat Voltage", IF(BITWISE_AND('Raw Data'!M193, 2), "Charge Current", IF(BITWISE_AND('Raw Data'!M193, 4),"Input Ilim", IF(BITWISE_AND('Raw Data'!M193, 8), "Input UV", "none"))))</f>
        <v>none</v>
      </c>
    </row>
    <row r="193" spans="1:24" x14ac:dyDescent="0.2">
      <c r="A193" s="15">
        <f>A192+TIME(0,0,'Raw Data'!B193)</f>
        <v>0</v>
      </c>
      <c r="B193" s="4">
        <f>'Raw Data'!C194*0.025</f>
        <v>0</v>
      </c>
      <c r="C193" s="4">
        <f t="shared" si="9"/>
        <v>0</v>
      </c>
      <c r="D193" s="4">
        <f>'Raw Data'!D194*0.025</f>
        <v>0</v>
      </c>
      <c r="E193" s="4">
        <f t="shared" si="10"/>
        <v>0</v>
      </c>
      <c r="F193" s="4">
        <f>'Raw Data'!E194*0.001648</f>
        <v>0</v>
      </c>
      <c r="G193" s="4">
        <f>'Raw Data'!F194*0.001648</f>
        <v>0</v>
      </c>
      <c r="H193" s="4">
        <f>'Raw Data'!G194*6*0.000128176</f>
        <v>0</v>
      </c>
      <c r="I193" s="4">
        <f>'Raw Data'!H194*0.000732435</f>
        <v>0</v>
      </c>
      <c r="J193" s="4">
        <f t="shared" si="8"/>
        <v>0</v>
      </c>
      <c r="K193" s="36">
        <f>IF(('Raw Data'!I194-16384)/32768&lt;0,0,('Raw Data'!I194-16384)/32768)</f>
        <v>0</v>
      </c>
      <c r="L193" s="4">
        <f>IF(('Raw Data'!J194-12010)/45.6=-263.377192982456,0,('Raw Data'!J194-12010)/45.6)</f>
        <v>0</v>
      </c>
      <c r="M193" s="16">
        <f>'Raw Data'!N194*2^-8</f>
        <v>0</v>
      </c>
      <c r="N193" s="16">
        <f>'Raw Data'!O194*2^-8</f>
        <v>0</v>
      </c>
      <c r="O193" s="17" t="str">
        <f>IF(BITWISE_AND('Raw Data'!$K194, 8192),"X","")</f>
        <v/>
      </c>
      <c r="P193" s="17" t="str">
        <f>IF(BITWISE_AND('Raw Data'!$K194, 2048),"X","")</f>
        <v/>
      </c>
      <c r="Q193" s="17" t="str">
        <f>IF(BITWISE_AND('Raw Data'!$K194, 64),"X","")</f>
        <v/>
      </c>
      <c r="R193" s="18" t="str">
        <f>IF(BITWISE_AND('Raw Data'!$L194, 1024),"X","")</f>
        <v/>
      </c>
      <c r="S193" s="18" t="str">
        <f>IF(BITWISE_AND('Raw Data'!$L194, 512),"X","")</f>
        <v/>
      </c>
      <c r="T193" s="18" t="str">
        <f>IF(BITWISE_AND('Raw Data'!$L194, 256),"X","")</f>
        <v/>
      </c>
      <c r="U193" s="18" t="str">
        <f>IF(BITWISE_AND('Raw Data'!$L194, 64),"X","")</f>
        <v/>
      </c>
      <c r="V193" s="18" t="str">
        <f>IF(BITWISE_AND('Raw Data'!$L194, 2),"X","")</f>
        <v/>
      </c>
      <c r="W193" s="18" t="str">
        <f>IF(BITWISE_AND('Raw Data'!$L194, 1),"X","")</f>
        <v/>
      </c>
      <c r="X193" s="19" t="str">
        <f>IF(BITWISE_AND('Raw Data'!M194, 1),"Bat Voltage", IF(BITWISE_AND('Raw Data'!M194, 2), "Charge Current", IF(BITWISE_AND('Raw Data'!M194, 4),"Input Ilim", IF(BITWISE_AND('Raw Data'!M194, 8), "Input UV", "none"))))</f>
        <v>none</v>
      </c>
    </row>
    <row r="194" spans="1:24" x14ac:dyDescent="0.2">
      <c r="A194" s="15">
        <f>A193+TIME(0,0,'Raw Data'!B194)</f>
        <v>0</v>
      </c>
      <c r="B194" s="4">
        <f>'Raw Data'!C195*0.025</f>
        <v>0</v>
      </c>
      <c r="C194" s="4">
        <f t="shared" si="9"/>
        <v>0</v>
      </c>
      <c r="D194" s="4">
        <f>'Raw Data'!D195*0.025</f>
        <v>0</v>
      </c>
      <c r="E194" s="4">
        <f t="shared" si="10"/>
        <v>0</v>
      </c>
      <c r="F194" s="4">
        <f>'Raw Data'!E195*0.001648</f>
        <v>0</v>
      </c>
      <c r="G194" s="4">
        <f>'Raw Data'!F195*0.001648</f>
        <v>0</v>
      </c>
      <c r="H194" s="4">
        <f>'Raw Data'!G195*6*0.000128176</f>
        <v>0</v>
      </c>
      <c r="I194" s="4">
        <f>'Raw Data'!H195*0.000732435</f>
        <v>0</v>
      </c>
      <c r="J194" s="4">
        <f t="shared" si="8"/>
        <v>0</v>
      </c>
      <c r="K194" s="36">
        <f>IF(('Raw Data'!I195-16384)/32768&lt;0,0,('Raw Data'!I195-16384)/32768)</f>
        <v>0</v>
      </c>
      <c r="L194" s="4">
        <f>IF(('Raw Data'!J195-12010)/45.6=-263.377192982456,0,('Raw Data'!J195-12010)/45.6)</f>
        <v>0</v>
      </c>
      <c r="M194" s="16">
        <f>'Raw Data'!N195*2^-8</f>
        <v>0</v>
      </c>
      <c r="N194" s="16">
        <f>'Raw Data'!O195*2^-8</f>
        <v>0</v>
      </c>
      <c r="O194" s="17" t="str">
        <f>IF(BITWISE_AND('Raw Data'!$K195, 8192),"X","")</f>
        <v/>
      </c>
      <c r="P194" s="17" t="str">
        <f>IF(BITWISE_AND('Raw Data'!$K195, 2048),"X","")</f>
        <v/>
      </c>
      <c r="Q194" s="17" t="str">
        <f>IF(BITWISE_AND('Raw Data'!$K195, 64),"X","")</f>
        <v/>
      </c>
      <c r="R194" s="18" t="str">
        <f>IF(BITWISE_AND('Raw Data'!$L195, 1024),"X","")</f>
        <v/>
      </c>
      <c r="S194" s="18" t="str">
        <f>IF(BITWISE_AND('Raw Data'!$L195, 512),"X","")</f>
        <v/>
      </c>
      <c r="T194" s="18" t="str">
        <f>IF(BITWISE_AND('Raw Data'!$L195, 256),"X","")</f>
        <v/>
      </c>
      <c r="U194" s="18" t="str">
        <f>IF(BITWISE_AND('Raw Data'!$L195, 64),"X","")</f>
        <v/>
      </c>
      <c r="V194" s="18" t="str">
        <f>IF(BITWISE_AND('Raw Data'!$L195, 2),"X","")</f>
        <v/>
      </c>
      <c r="W194" s="18" t="str">
        <f>IF(BITWISE_AND('Raw Data'!$L195, 1),"X","")</f>
        <v/>
      </c>
      <c r="X194" s="19" t="str">
        <f>IF(BITWISE_AND('Raw Data'!M195, 1),"Bat Voltage", IF(BITWISE_AND('Raw Data'!M195, 2), "Charge Current", IF(BITWISE_AND('Raw Data'!M195, 4),"Input Ilim", IF(BITWISE_AND('Raw Data'!M195, 8), "Input UV", "none"))))</f>
        <v>none</v>
      </c>
    </row>
    <row r="195" spans="1:24" x14ac:dyDescent="0.2">
      <c r="A195" s="15">
        <f>A194+TIME(0,0,'Raw Data'!B195)</f>
        <v>0</v>
      </c>
      <c r="B195" s="4">
        <f>'Raw Data'!C196*0.025</f>
        <v>0</v>
      </c>
      <c r="C195" s="4">
        <f t="shared" si="9"/>
        <v>0</v>
      </c>
      <c r="D195" s="4">
        <f>'Raw Data'!D196*0.025</f>
        <v>0</v>
      </c>
      <c r="E195" s="4">
        <f t="shared" si="10"/>
        <v>0</v>
      </c>
      <c r="F195" s="4">
        <f>'Raw Data'!E196*0.001648</f>
        <v>0</v>
      </c>
      <c r="G195" s="4">
        <f>'Raw Data'!F196*0.001648</f>
        <v>0</v>
      </c>
      <c r="H195" s="4">
        <f>'Raw Data'!G196*6*0.000128176</f>
        <v>0</v>
      </c>
      <c r="I195" s="4">
        <f>'Raw Data'!H196*0.000732435</f>
        <v>0</v>
      </c>
      <c r="J195" s="4">
        <f t="shared" ref="J195:J258" si="11">H195*I195</f>
        <v>0</v>
      </c>
      <c r="K195" s="36">
        <f>IF(('Raw Data'!I196-16384)/32768&lt;0,0,('Raw Data'!I196-16384)/32768)</f>
        <v>0</v>
      </c>
      <c r="L195" s="4">
        <f>IF(('Raw Data'!J196-12010)/45.6=-263.377192982456,0,('Raw Data'!J196-12010)/45.6)</f>
        <v>0</v>
      </c>
      <c r="M195" s="16">
        <f>'Raw Data'!N196*2^-8</f>
        <v>0</v>
      </c>
      <c r="N195" s="16">
        <f>'Raw Data'!O196*2^-8</f>
        <v>0</v>
      </c>
      <c r="O195" s="17" t="str">
        <f>IF(BITWISE_AND('Raw Data'!$K196, 8192),"X","")</f>
        <v/>
      </c>
      <c r="P195" s="17" t="str">
        <f>IF(BITWISE_AND('Raw Data'!$K196, 2048),"X","")</f>
        <v/>
      </c>
      <c r="Q195" s="17" t="str">
        <f>IF(BITWISE_AND('Raw Data'!$K196, 64),"X","")</f>
        <v/>
      </c>
      <c r="R195" s="18" t="str">
        <f>IF(BITWISE_AND('Raw Data'!$L196, 1024),"X","")</f>
        <v/>
      </c>
      <c r="S195" s="18" t="str">
        <f>IF(BITWISE_AND('Raw Data'!$L196, 512),"X","")</f>
        <v/>
      </c>
      <c r="T195" s="18" t="str">
        <f>IF(BITWISE_AND('Raw Data'!$L196, 256),"X","")</f>
        <v/>
      </c>
      <c r="U195" s="18" t="str">
        <f>IF(BITWISE_AND('Raw Data'!$L196, 64),"X","")</f>
        <v/>
      </c>
      <c r="V195" s="18" t="str">
        <f>IF(BITWISE_AND('Raw Data'!$L196, 2),"X","")</f>
        <v/>
      </c>
      <c r="W195" s="18" t="str">
        <f>IF(BITWISE_AND('Raw Data'!$L196, 1),"X","")</f>
        <v/>
      </c>
      <c r="X195" s="19" t="str">
        <f>IF(BITWISE_AND('Raw Data'!M196, 1),"Bat Voltage", IF(BITWISE_AND('Raw Data'!M196, 2), "Charge Current", IF(BITWISE_AND('Raw Data'!M196, 4),"Input Ilim", IF(BITWISE_AND('Raw Data'!M196, 8), "Input UV", "none"))))</f>
        <v>none</v>
      </c>
    </row>
    <row r="196" spans="1:24" x14ac:dyDescent="0.2">
      <c r="A196" s="15">
        <f>A195+TIME(0,0,'Raw Data'!B196)</f>
        <v>0</v>
      </c>
      <c r="B196" s="4">
        <f>'Raw Data'!C197*0.025</f>
        <v>0</v>
      </c>
      <c r="C196" s="4">
        <f t="shared" si="9"/>
        <v>0</v>
      </c>
      <c r="D196" s="4">
        <f>'Raw Data'!D197*0.025</f>
        <v>0</v>
      </c>
      <c r="E196" s="4">
        <f t="shared" si="10"/>
        <v>0</v>
      </c>
      <c r="F196" s="4">
        <f>'Raw Data'!E197*0.001648</f>
        <v>0</v>
      </c>
      <c r="G196" s="4">
        <f>'Raw Data'!F197*0.001648</f>
        <v>0</v>
      </c>
      <c r="H196" s="4">
        <f>'Raw Data'!G197*6*0.000128176</f>
        <v>0</v>
      </c>
      <c r="I196" s="4">
        <f>'Raw Data'!H197*0.000732435</f>
        <v>0</v>
      </c>
      <c r="J196" s="4">
        <f t="shared" si="11"/>
        <v>0</v>
      </c>
      <c r="K196" s="36">
        <f>IF(('Raw Data'!I197-16384)/32768&lt;0,0,('Raw Data'!I197-16384)/32768)</f>
        <v>0</v>
      </c>
      <c r="L196" s="4">
        <f>IF(('Raw Data'!J197-12010)/45.6=-263.377192982456,0,('Raw Data'!J197-12010)/45.6)</f>
        <v>0</v>
      </c>
      <c r="M196" s="16">
        <f>'Raw Data'!N197*2^-8</f>
        <v>0</v>
      </c>
      <c r="N196" s="16">
        <f>'Raw Data'!O197*2^-8</f>
        <v>0</v>
      </c>
      <c r="O196" s="17" t="str">
        <f>IF(BITWISE_AND('Raw Data'!$K197, 8192),"X","")</f>
        <v/>
      </c>
      <c r="P196" s="17" t="str">
        <f>IF(BITWISE_AND('Raw Data'!$K197, 2048),"X","")</f>
        <v/>
      </c>
      <c r="Q196" s="17" t="str">
        <f>IF(BITWISE_AND('Raw Data'!$K197, 64),"X","")</f>
        <v/>
      </c>
      <c r="R196" s="18" t="str">
        <f>IF(BITWISE_AND('Raw Data'!$L197, 1024),"X","")</f>
        <v/>
      </c>
      <c r="S196" s="18" t="str">
        <f>IF(BITWISE_AND('Raw Data'!$L197, 512),"X","")</f>
        <v/>
      </c>
      <c r="T196" s="18" t="str">
        <f>IF(BITWISE_AND('Raw Data'!$L197, 256),"X","")</f>
        <v/>
      </c>
      <c r="U196" s="18" t="str">
        <f>IF(BITWISE_AND('Raw Data'!$L197, 64),"X","")</f>
        <v/>
      </c>
      <c r="V196" s="18" t="str">
        <f>IF(BITWISE_AND('Raw Data'!$L197, 2),"X","")</f>
        <v/>
      </c>
      <c r="W196" s="18" t="str">
        <f>IF(BITWISE_AND('Raw Data'!$L197, 1),"X","")</f>
        <v/>
      </c>
      <c r="X196" s="19" t="str">
        <f>IF(BITWISE_AND('Raw Data'!M197, 1),"Bat Voltage", IF(BITWISE_AND('Raw Data'!M197, 2), "Charge Current", IF(BITWISE_AND('Raw Data'!M197, 4),"Input Ilim", IF(BITWISE_AND('Raw Data'!M197, 8), "Input UV", "none"))))</f>
        <v>none</v>
      </c>
    </row>
    <row r="197" spans="1:24" x14ac:dyDescent="0.2">
      <c r="A197" s="15">
        <f>A196+TIME(0,0,'Raw Data'!B197)</f>
        <v>0</v>
      </c>
      <c r="B197" s="4">
        <f>'Raw Data'!C198*0.025</f>
        <v>0</v>
      </c>
      <c r="C197" s="4">
        <f t="shared" si="9"/>
        <v>0</v>
      </c>
      <c r="D197" s="4">
        <f>'Raw Data'!D198*0.025</f>
        <v>0</v>
      </c>
      <c r="E197" s="4">
        <f t="shared" si="10"/>
        <v>0</v>
      </c>
      <c r="F197" s="4">
        <f>'Raw Data'!E198*0.001648</f>
        <v>0</v>
      </c>
      <c r="G197" s="4">
        <f>'Raw Data'!F198*0.001648</f>
        <v>0</v>
      </c>
      <c r="H197" s="4">
        <f>'Raw Data'!G198*6*0.000128176</f>
        <v>0</v>
      </c>
      <c r="I197" s="4">
        <f>'Raw Data'!H198*0.000732435</f>
        <v>0</v>
      </c>
      <c r="J197" s="4">
        <f t="shared" si="11"/>
        <v>0</v>
      </c>
      <c r="K197" s="36">
        <f>IF(('Raw Data'!I198-16384)/32768&lt;0,0,('Raw Data'!I198-16384)/32768)</f>
        <v>0</v>
      </c>
      <c r="L197" s="4">
        <f>IF(('Raw Data'!J198-12010)/45.6=-263.377192982456,0,('Raw Data'!J198-12010)/45.6)</f>
        <v>0</v>
      </c>
      <c r="M197" s="16">
        <f>'Raw Data'!N198*2^-8</f>
        <v>0</v>
      </c>
      <c r="N197" s="16">
        <f>'Raw Data'!O198*2^-8</f>
        <v>0</v>
      </c>
      <c r="O197" s="17" t="str">
        <f>IF(BITWISE_AND('Raw Data'!$K198, 8192),"X","")</f>
        <v/>
      </c>
      <c r="P197" s="17" t="str">
        <f>IF(BITWISE_AND('Raw Data'!$K198, 2048),"X","")</f>
        <v/>
      </c>
      <c r="Q197" s="17" t="str">
        <f>IF(BITWISE_AND('Raw Data'!$K198, 64),"X","")</f>
        <v/>
      </c>
      <c r="R197" s="18" t="str">
        <f>IF(BITWISE_AND('Raw Data'!$L198, 1024),"X","")</f>
        <v/>
      </c>
      <c r="S197" s="18" t="str">
        <f>IF(BITWISE_AND('Raw Data'!$L198, 512),"X","")</f>
        <v/>
      </c>
      <c r="T197" s="18" t="str">
        <f>IF(BITWISE_AND('Raw Data'!$L198, 256),"X","")</f>
        <v/>
      </c>
      <c r="U197" s="18" t="str">
        <f>IF(BITWISE_AND('Raw Data'!$L198, 64),"X","")</f>
        <v/>
      </c>
      <c r="V197" s="18" t="str">
        <f>IF(BITWISE_AND('Raw Data'!$L198, 2),"X","")</f>
        <v/>
      </c>
      <c r="W197" s="18" t="str">
        <f>IF(BITWISE_AND('Raw Data'!$L198, 1),"X","")</f>
        <v/>
      </c>
      <c r="X197" s="19" t="str">
        <f>IF(BITWISE_AND('Raw Data'!M198, 1),"Bat Voltage", IF(BITWISE_AND('Raw Data'!M198, 2), "Charge Current", IF(BITWISE_AND('Raw Data'!M198, 4),"Input Ilim", IF(BITWISE_AND('Raw Data'!M198, 8), "Input UV", "none"))))</f>
        <v>none</v>
      </c>
    </row>
    <row r="198" spans="1:24" x14ac:dyDescent="0.2">
      <c r="A198" s="15">
        <f>A197+TIME(0,0,'Raw Data'!B198)</f>
        <v>0</v>
      </c>
      <c r="B198" s="4">
        <f>'Raw Data'!C199*0.025</f>
        <v>0</v>
      </c>
      <c r="C198" s="4">
        <f t="shared" si="9"/>
        <v>0</v>
      </c>
      <c r="D198" s="4">
        <f>'Raw Data'!D199*0.025</f>
        <v>0</v>
      </c>
      <c r="E198" s="4">
        <f t="shared" si="10"/>
        <v>0</v>
      </c>
      <c r="F198" s="4">
        <f>'Raw Data'!E199*0.001648</f>
        <v>0</v>
      </c>
      <c r="G198" s="4">
        <f>'Raw Data'!F199*0.001648</f>
        <v>0</v>
      </c>
      <c r="H198" s="4">
        <f>'Raw Data'!G199*6*0.000128176</f>
        <v>0</v>
      </c>
      <c r="I198" s="4">
        <f>'Raw Data'!H199*0.000732435</f>
        <v>0</v>
      </c>
      <c r="J198" s="4">
        <f t="shared" si="11"/>
        <v>0</v>
      </c>
      <c r="K198" s="36">
        <f>IF(('Raw Data'!I199-16384)/32768&lt;0,0,('Raw Data'!I199-16384)/32768)</f>
        <v>0</v>
      </c>
      <c r="L198" s="4">
        <f>IF(('Raw Data'!J199-12010)/45.6=-263.377192982456,0,('Raw Data'!J199-12010)/45.6)</f>
        <v>0</v>
      </c>
      <c r="M198" s="16">
        <f>'Raw Data'!N199*2^-8</f>
        <v>0</v>
      </c>
      <c r="N198" s="16">
        <f>'Raw Data'!O199*2^-8</f>
        <v>0</v>
      </c>
      <c r="O198" s="17" t="str">
        <f>IF(BITWISE_AND('Raw Data'!$K199, 8192),"X","")</f>
        <v/>
      </c>
      <c r="P198" s="17" t="str">
        <f>IF(BITWISE_AND('Raw Data'!$K199, 2048),"X","")</f>
        <v/>
      </c>
      <c r="Q198" s="17" t="str">
        <f>IF(BITWISE_AND('Raw Data'!$K199, 64),"X","")</f>
        <v/>
      </c>
      <c r="R198" s="18" t="str">
        <f>IF(BITWISE_AND('Raw Data'!$L199, 1024),"X","")</f>
        <v/>
      </c>
      <c r="S198" s="18" t="str">
        <f>IF(BITWISE_AND('Raw Data'!$L199, 512),"X","")</f>
        <v/>
      </c>
      <c r="T198" s="18" t="str">
        <f>IF(BITWISE_AND('Raw Data'!$L199, 256),"X","")</f>
        <v/>
      </c>
      <c r="U198" s="18" t="str">
        <f>IF(BITWISE_AND('Raw Data'!$L199, 64),"X","")</f>
        <v/>
      </c>
      <c r="V198" s="18" t="str">
        <f>IF(BITWISE_AND('Raw Data'!$L199, 2),"X","")</f>
        <v/>
      </c>
      <c r="W198" s="18" t="str">
        <f>IF(BITWISE_AND('Raw Data'!$L199, 1),"X","")</f>
        <v/>
      </c>
      <c r="X198" s="19" t="str">
        <f>IF(BITWISE_AND('Raw Data'!M199, 1),"Bat Voltage", IF(BITWISE_AND('Raw Data'!M199, 2), "Charge Current", IF(BITWISE_AND('Raw Data'!M199, 4),"Input Ilim", IF(BITWISE_AND('Raw Data'!M199, 8), "Input UV", "none"))))</f>
        <v>none</v>
      </c>
    </row>
    <row r="199" spans="1:24" x14ac:dyDescent="0.2">
      <c r="A199" s="15">
        <f>A198+TIME(0,0,'Raw Data'!B199)</f>
        <v>0</v>
      </c>
      <c r="B199" s="4">
        <f>'Raw Data'!C200*0.025</f>
        <v>0</v>
      </c>
      <c r="C199" s="4">
        <f t="shared" si="9"/>
        <v>0</v>
      </c>
      <c r="D199" s="4">
        <f>'Raw Data'!D200*0.025</f>
        <v>0</v>
      </c>
      <c r="E199" s="4">
        <f t="shared" si="10"/>
        <v>0</v>
      </c>
      <c r="F199" s="4">
        <f>'Raw Data'!E200*0.001648</f>
        <v>0</v>
      </c>
      <c r="G199" s="4">
        <f>'Raw Data'!F200*0.001648</f>
        <v>0</v>
      </c>
      <c r="H199" s="4">
        <f>'Raw Data'!G200*6*0.000128176</f>
        <v>0</v>
      </c>
      <c r="I199" s="4">
        <f>'Raw Data'!H200*0.000732435</f>
        <v>0</v>
      </c>
      <c r="J199" s="4">
        <f t="shared" si="11"/>
        <v>0</v>
      </c>
      <c r="K199" s="36">
        <f>IF(('Raw Data'!I200-16384)/32768&lt;0,0,('Raw Data'!I200-16384)/32768)</f>
        <v>0</v>
      </c>
      <c r="L199" s="4">
        <f>IF(('Raw Data'!J200-12010)/45.6=-263.377192982456,0,('Raw Data'!J200-12010)/45.6)</f>
        <v>0</v>
      </c>
      <c r="M199" s="16">
        <f>'Raw Data'!N200*2^-8</f>
        <v>0</v>
      </c>
      <c r="N199" s="16">
        <f>'Raw Data'!O200*2^-8</f>
        <v>0</v>
      </c>
      <c r="O199" s="17" t="str">
        <f>IF(BITWISE_AND('Raw Data'!$K200, 8192),"X","")</f>
        <v/>
      </c>
      <c r="P199" s="17" t="str">
        <f>IF(BITWISE_AND('Raw Data'!$K200, 2048),"X","")</f>
        <v/>
      </c>
      <c r="Q199" s="17" t="str">
        <f>IF(BITWISE_AND('Raw Data'!$K200, 64),"X","")</f>
        <v/>
      </c>
      <c r="R199" s="18" t="str">
        <f>IF(BITWISE_AND('Raw Data'!$L200, 1024),"X","")</f>
        <v/>
      </c>
      <c r="S199" s="18" t="str">
        <f>IF(BITWISE_AND('Raw Data'!$L200, 512),"X","")</f>
        <v/>
      </c>
      <c r="T199" s="18" t="str">
        <f>IF(BITWISE_AND('Raw Data'!$L200, 256),"X","")</f>
        <v/>
      </c>
      <c r="U199" s="18" t="str">
        <f>IF(BITWISE_AND('Raw Data'!$L200, 64),"X","")</f>
        <v/>
      </c>
      <c r="V199" s="18" t="str">
        <f>IF(BITWISE_AND('Raw Data'!$L200, 2),"X","")</f>
        <v/>
      </c>
      <c r="W199" s="18" t="str">
        <f>IF(BITWISE_AND('Raw Data'!$L200, 1),"X","")</f>
        <v/>
      </c>
      <c r="X199" s="19" t="str">
        <f>IF(BITWISE_AND('Raw Data'!M200, 1),"Bat Voltage", IF(BITWISE_AND('Raw Data'!M200, 2), "Charge Current", IF(BITWISE_AND('Raw Data'!M200, 4),"Input Ilim", IF(BITWISE_AND('Raw Data'!M200, 8), "Input UV", "none"))))</f>
        <v>none</v>
      </c>
    </row>
    <row r="200" spans="1:24" x14ac:dyDescent="0.2">
      <c r="A200" s="15">
        <f>A199+TIME(0,0,'Raw Data'!B200)</f>
        <v>0</v>
      </c>
      <c r="B200" s="4">
        <f>'Raw Data'!C201*0.025</f>
        <v>0</v>
      </c>
      <c r="C200" s="4">
        <f t="shared" si="9"/>
        <v>0</v>
      </c>
      <c r="D200" s="4">
        <f>'Raw Data'!D201*0.025</f>
        <v>0</v>
      </c>
      <c r="E200" s="4">
        <f t="shared" si="10"/>
        <v>0</v>
      </c>
      <c r="F200" s="4">
        <f>'Raw Data'!E201*0.001648</f>
        <v>0</v>
      </c>
      <c r="G200" s="4">
        <f>'Raw Data'!F201*0.001648</f>
        <v>0</v>
      </c>
      <c r="H200" s="4">
        <f>'Raw Data'!G201*6*0.000128176</f>
        <v>0</v>
      </c>
      <c r="I200" s="4">
        <f>'Raw Data'!H201*0.000732435</f>
        <v>0</v>
      </c>
      <c r="J200" s="4">
        <f t="shared" si="11"/>
        <v>0</v>
      </c>
      <c r="K200" s="36">
        <f>IF(('Raw Data'!I201-16384)/32768&lt;0,0,('Raw Data'!I201-16384)/32768)</f>
        <v>0</v>
      </c>
      <c r="L200" s="4">
        <f>IF(('Raw Data'!J201-12010)/45.6=-263.377192982456,0,('Raw Data'!J201-12010)/45.6)</f>
        <v>0</v>
      </c>
      <c r="M200" s="16">
        <f>'Raw Data'!N201*2^-8</f>
        <v>0</v>
      </c>
      <c r="N200" s="16">
        <f>'Raw Data'!O201*2^-8</f>
        <v>0</v>
      </c>
      <c r="O200" s="17" t="str">
        <f>IF(BITWISE_AND('Raw Data'!$K201, 8192),"X","")</f>
        <v/>
      </c>
      <c r="P200" s="17" t="str">
        <f>IF(BITWISE_AND('Raw Data'!$K201, 2048),"X","")</f>
        <v/>
      </c>
      <c r="Q200" s="17" t="str">
        <f>IF(BITWISE_AND('Raw Data'!$K201, 64),"X","")</f>
        <v/>
      </c>
      <c r="R200" s="18" t="str">
        <f>IF(BITWISE_AND('Raw Data'!$L201, 1024),"X","")</f>
        <v/>
      </c>
      <c r="S200" s="18" t="str">
        <f>IF(BITWISE_AND('Raw Data'!$L201, 512),"X","")</f>
        <v/>
      </c>
      <c r="T200" s="18" t="str">
        <f>IF(BITWISE_AND('Raw Data'!$L201, 256),"X","")</f>
        <v/>
      </c>
      <c r="U200" s="18" t="str">
        <f>IF(BITWISE_AND('Raw Data'!$L201, 64),"X","")</f>
        <v/>
      </c>
      <c r="V200" s="18" t="str">
        <f>IF(BITWISE_AND('Raw Data'!$L201, 2),"X","")</f>
        <v/>
      </c>
      <c r="W200" s="18" t="str">
        <f>IF(BITWISE_AND('Raw Data'!$L201, 1),"X","")</f>
        <v/>
      </c>
      <c r="X200" s="19" t="str">
        <f>IF(BITWISE_AND('Raw Data'!M201, 1),"Bat Voltage", IF(BITWISE_AND('Raw Data'!M201, 2), "Charge Current", IF(BITWISE_AND('Raw Data'!M201, 4),"Input Ilim", IF(BITWISE_AND('Raw Data'!M201, 8), "Input UV", "none"))))</f>
        <v>none</v>
      </c>
    </row>
    <row r="201" spans="1:24" x14ac:dyDescent="0.2">
      <c r="A201" s="15">
        <f>A200+TIME(0,0,'Raw Data'!B201)</f>
        <v>0</v>
      </c>
      <c r="B201" s="4">
        <f>'Raw Data'!C202*0.025</f>
        <v>0</v>
      </c>
      <c r="C201" s="4">
        <f t="shared" si="9"/>
        <v>0</v>
      </c>
      <c r="D201" s="4">
        <f>'Raw Data'!D202*0.025</f>
        <v>0</v>
      </c>
      <c r="E201" s="4">
        <f t="shared" si="10"/>
        <v>0</v>
      </c>
      <c r="F201" s="4">
        <f>'Raw Data'!E202*0.001648</f>
        <v>0</v>
      </c>
      <c r="G201" s="4">
        <f>'Raw Data'!F202*0.001648</f>
        <v>0</v>
      </c>
      <c r="H201" s="4">
        <f>'Raw Data'!G202*6*0.000128176</f>
        <v>0</v>
      </c>
      <c r="I201" s="4">
        <f>'Raw Data'!H202*0.000732435</f>
        <v>0</v>
      </c>
      <c r="J201" s="4">
        <f t="shared" si="11"/>
        <v>0</v>
      </c>
      <c r="K201" s="36">
        <f>IF(('Raw Data'!I202-16384)/32768&lt;0,0,('Raw Data'!I202-16384)/32768)</f>
        <v>0</v>
      </c>
      <c r="L201" s="4">
        <f>IF(('Raw Data'!J202-12010)/45.6=-263.377192982456,0,('Raw Data'!J202-12010)/45.6)</f>
        <v>0</v>
      </c>
      <c r="M201" s="16">
        <f>'Raw Data'!N202*2^-8</f>
        <v>0</v>
      </c>
      <c r="N201" s="16">
        <f>'Raw Data'!O202*2^-8</f>
        <v>0</v>
      </c>
      <c r="O201" s="17" t="str">
        <f>IF(BITWISE_AND('Raw Data'!$K202, 8192),"X","")</f>
        <v/>
      </c>
      <c r="P201" s="17" t="str">
        <f>IF(BITWISE_AND('Raw Data'!$K202, 2048),"X","")</f>
        <v/>
      </c>
      <c r="Q201" s="17" t="str">
        <f>IF(BITWISE_AND('Raw Data'!$K202, 64),"X","")</f>
        <v/>
      </c>
      <c r="R201" s="18" t="str">
        <f>IF(BITWISE_AND('Raw Data'!$L202, 1024),"X","")</f>
        <v/>
      </c>
      <c r="S201" s="18" t="str">
        <f>IF(BITWISE_AND('Raw Data'!$L202, 512),"X","")</f>
        <v/>
      </c>
      <c r="T201" s="18" t="str">
        <f>IF(BITWISE_AND('Raw Data'!$L202, 256),"X","")</f>
        <v/>
      </c>
      <c r="U201" s="18" t="str">
        <f>IF(BITWISE_AND('Raw Data'!$L202, 64),"X","")</f>
        <v/>
      </c>
      <c r="V201" s="18" t="str">
        <f>IF(BITWISE_AND('Raw Data'!$L202, 2),"X","")</f>
        <v/>
      </c>
      <c r="W201" s="18" t="str">
        <f>IF(BITWISE_AND('Raw Data'!$L202, 1),"X","")</f>
        <v/>
      </c>
      <c r="X201" s="19" t="str">
        <f>IF(BITWISE_AND('Raw Data'!M202, 1),"Bat Voltage", IF(BITWISE_AND('Raw Data'!M202, 2), "Charge Current", IF(BITWISE_AND('Raw Data'!M202, 4),"Input Ilim", IF(BITWISE_AND('Raw Data'!M202, 8), "Input UV", "none"))))</f>
        <v>none</v>
      </c>
    </row>
    <row r="202" spans="1:24" x14ac:dyDescent="0.2">
      <c r="A202" s="15">
        <f>A201+TIME(0,0,'Raw Data'!B202)</f>
        <v>0</v>
      </c>
      <c r="B202" s="4">
        <f>'Raw Data'!C203*0.025</f>
        <v>0</v>
      </c>
      <c r="C202" s="4">
        <f t="shared" si="9"/>
        <v>0</v>
      </c>
      <c r="D202" s="4">
        <f>'Raw Data'!D203*0.025</f>
        <v>0</v>
      </c>
      <c r="E202" s="4">
        <f t="shared" si="10"/>
        <v>0</v>
      </c>
      <c r="F202" s="4">
        <f>'Raw Data'!E203*0.001648</f>
        <v>0</v>
      </c>
      <c r="G202" s="4">
        <f>'Raw Data'!F203*0.001648</f>
        <v>0</v>
      </c>
      <c r="H202" s="4">
        <f>'Raw Data'!G203*6*0.000128176</f>
        <v>0</v>
      </c>
      <c r="I202" s="4">
        <f>'Raw Data'!H203*0.000732435</f>
        <v>0</v>
      </c>
      <c r="J202" s="4">
        <f t="shared" si="11"/>
        <v>0</v>
      </c>
      <c r="K202" s="36">
        <f>IF(('Raw Data'!I203-16384)/32768&lt;0,0,('Raw Data'!I203-16384)/32768)</f>
        <v>0</v>
      </c>
      <c r="L202" s="4">
        <f>IF(('Raw Data'!J203-12010)/45.6=-263.377192982456,0,('Raw Data'!J203-12010)/45.6)</f>
        <v>0</v>
      </c>
      <c r="M202" s="16">
        <f>'Raw Data'!N203*2^-8</f>
        <v>0</v>
      </c>
      <c r="N202" s="16">
        <f>'Raw Data'!O203*2^-8</f>
        <v>0</v>
      </c>
      <c r="O202" s="17" t="str">
        <f>IF(BITWISE_AND('Raw Data'!$K203, 8192),"X","")</f>
        <v/>
      </c>
      <c r="P202" s="17" t="str">
        <f>IF(BITWISE_AND('Raw Data'!$K203, 2048),"X","")</f>
        <v/>
      </c>
      <c r="Q202" s="17" t="str">
        <f>IF(BITWISE_AND('Raw Data'!$K203, 64),"X","")</f>
        <v/>
      </c>
      <c r="R202" s="18" t="str">
        <f>IF(BITWISE_AND('Raw Data'!$L203, 1024),"X","")</f>
        <v/>
      </c>
      <c r="S202" s="18" t="str">
        <f>IF(BITWISE_AND('Raw Data'!$L203, 512),"X","")</f>
        <v/>
      </c>
      <c r="T202" s="18" t="str">
        <f>IF(BITWISE_AND('Raw Data'!$L203, 256),"X","")</f>
        <v/>
      </c>
      <c r="U202" s="18" t="str">
        <f>IF(BITWISE_AND('Raw Data'!$L203, 64),"X","")</f>
        <v/>
      </c>
      <c r="V202" s="18" t="str">
        <f>IF(BITWISE_AND('Raw Data'!$L203, 2),"X","")</f>
        <v/>
      </c>
      <c r="W202" s="18" t="str">
        <f>IF(BITWISE_AND('Raw Data'!$L203, 1),"X","")</f>
        <v/>
      </c>
      <c r="X202" s="19" t="str">
        <f>IF(BITWISE_AND('Raw Data'!M203, 1),"Bat Voltage", IF(BITWISE_AND('Raw Data'!M203, 2), "Charge Current", IF(BITWISE_AND('Raw Data'!M203, 4),"Input Ilim", IF(BITWISE_AND('Raw Data'!M203, 8), "Input UV", "none"))))</f>
        <v>none</v>
      </c>
    </row>
    <row r="203" spans="1:24" x14ac:dyDescent="0.2">
      <c r="A203" s="15">
        <f>A202+TIME(0,0,'Raw Data'!B203)</f>
        <v>0</v>
      </c>
      <c r="B203" s="4">
        <f>'Raw Data'!C204*0.025</f>
        <v>0</v>
      </c>
      <c r="C203" s="4">
        <f t="shared" si="9"/>
        <v>0</v>
      </c>
      <c r="D203" s="4">
        <f>'Raw Data'!D204*0.025</f>
        <v>0</v>
      </c>
      <c r="E203" s="4">
        <f t="shared" si="10"/>
        <v>0</v>
      </c>
      <c r="F203" s="4">
        <f>'Raw Data'!E204*0.001648</f>
        <v>0</v>
      </c>
      <c r="G203" s="4">
        <f>'Raw Data'!F204*0.001648</f>
        <v>0</v>
      </c>
      <c r="H203" s="4">
        <f>'Raw Data'!G204*6*0.000128176</f>
        <v>0</v>
      </c>
      <c r="I203" s="4">
        <f>'Raw Data'!H204*0.000732435</f>
        <v>0</v>
      </c>
      <c r="J203" s="4">
        <f t="shared" si="11"/>
        <v>0</v>
      </c>
      <c r="K203" s="36">
        <f>IF(('Raw Data'!I204-16384)/32768&lt;0,0,('Raw Data'!I204-16384)/32768)</f>
        <v>0</v>
      </c>
      <c r="L203" s="4">
        <f>IF(('Raw Data'!J204-12010)/45.6=-263.377192982456,0,('Raw Data'!J204-12010)/45.6)</f>
        <v>0</v>
      </c>
      <c r="M203" s="16">
        <f>'Raw Data'!N204*2^-8</f>
        <v>0</v>
      </c>
      <c r="N203" s="16">
        <f>'Raw Data'!O204*2^-8</f>
        <v>0</v>
      </c>
      <c r="O203" s="17" t="str">
        <f>IF(BITWISE_AND('Raw Data'!$K204, 8192),"X","")</f>
        <v/>
      </c>
      <c r="P203" s="17" t="str">
        <f>IF(BITWISE_AND('Raw Data'!$K204, 2048),"X","")</f>
        <v/>
      </c>
      <c r="Q203" s="17" t="str">
        <f>IF(BITWISE_AND('Raw Data'!$K204, 64),"X","")</f>
        <v/>
      </c>
      <c r="R203" s="18" t="str">
        <f>IF(BITWISE_AND('Raw Data'!$L204, 1024),"X","")</f>
        <v/>
      </c>
      <c r="S203" s="18" t="str">
        <f>IF(BITWISE_AND('Raw Data'!$L204, 512),"X","")</f>
        <v/>
      </c>
      <c r="T203" s="18" t="str">
        <f>IF(BITWISE_AND('Raw Data'!$L204, 256),"X","")</f>
        <v/>
      </c>
      <c r="U203" s="18" t="str">
        <f>IF(BITWISE_AND('Raw Data'!$L204, 64),"X","")</f>
        <v/>
      </c>
      <c r="V203" s="18" t="str">
        <f>IF(BITWISE_AND('Raw Data'!$L204, 2),"X","")</f>
        <v/>
      </c>
      <c r="W203" s="18" t="str">
        <f>IF(BITWISE_AND('Raw Data'!$L204, 1),"X","")</f>
        <v/>
      </c>
      <c r="X203" s="19" t="str">
        <f>IF(BITWISE_AND('Raw Data'!M204, 1),"Bat Voltage", IF(BITWISE_AND('Raw Data'!M204, 2), "Charge Current", IF(BITWISE_AND('Raw Data'!M204, 4),"Input Ilim", IF(BITWISE_AND('Raw Data'!M204, 8), "Input UV", "none"))))</f>
        <v>none</v>
      </c>
    </row>
    <row r="204" spans="1:24" x14ac:dyDescent="0.2">
      <c r="A204" s="15">
        <f>A203+TIME(0,0,'Raw Data'!B204)</f>
        <v>0</v>
      </c>
      <c r="B204" s="4">
        <f>'Raw Data'!C205*0.025</f>
        <v>0</v>
      </c>
      <c r="C204" s="4">
        <f t="shared" si="9"/>
        <v>0</v>
      </c>
      <c r="D204" s="4">
        <f>'Raw Data'!D205*0.025</f>
        <v>0</v>
      </c>
      <c r="E204" s="4">
        <f t="shared" si="10"/>
        <v>0</v>
      </c>
      <c r="F204" s="4">
        <f>'Raw Data'!E205*0.001648</f>
        <v>0</v>
      </c>
      <c r="G204" s="4">
        <f>'Raw Data'!F205*0.001648</f>
        <v>0</v>
      </c>
      <c r="H204" s="4">
        <f>'Raw Data'!G205*6*0.000128176</f>
        <v>0</v>
      </c>
      <c r="I204" s="4">
        <f>'Raw Data'!H205*0.000732435</f>
        <v>0</v>
      </c>
      <c r="J204" s="4">
        <f t="shared" si="11"/>
        <v>0</v>
      </c>
      <c r="K204" s="36">
        <f>IF(('Raw Data'!I205-16384)/32768&lt;0,0,('Raw Data'!I205-16384)/32768)</f>
        <v>0</v>
      </c>
      <c r="L204" s="4">
        <f>IF(('Raw Data'!J205-12010)/45.6=-263.377192982456,0,('Raw Data'!J205-12010)/45.6)</f>
        <v>0</v>
      </c>
      <c r="M204" s="16">
        <f>'Raw Data'!N205*2^-8</f>
        <v>0</v>
      </c>
      <c r="N204" s="16">
        <f>'Raw Data'!O205*2^-8</f>
        <v>0</v>
      </c>
      <c r="O204" s="17" t="str">
        <f>IF(BITWISE_AND('Raw Data'!$K205, 8192),"X","")</f>
        <v/>
      </c>
      <c r="P204" s="17" t="str">
        <f>IF(BITWISE_AND('Raw Data'!$K205, 2048),"X","")</f>
        <v/>
      </c>
      <c r="Q204" s="17" t="str">
        <f>IF(BITWISE_AND('Raw Data'!$K205, 64),"X","")</f>
        <v/>
      </c>
      <c r="R204" s="18" t="str">
        <f>IF(BITWISE_AND('Raw Data'!$L205, 1024),"X","")</f>
        <v/>
      </c>
      <c r="S204" s="18" t="str">
        <f>IF(BITWISE_AND('Raw Data'!$L205, 512),"X","")</f>
        <v/>
      </c>
      <c r="T204" s="18" t="str">
        <f>IF(BITWISE_AND('Raw Data'!$L205, 256),"X","")</f>
        <v/>
      </c>
      <c r="U204" s="18" t="str">
        <f>IF(BITWISE_AND('Raw Data'!$L205, 64),"X","")</f>
        <v/>
      </c>
      <c r="V204" s="18" t="str">
        <f>IF(BITWISE_AND('Raw Data'!$L205, 2),"X","")</f>
        <v/>
      </c>
      <c r="W204" s="18" t="str">
        <f>IF(BITWISE_AND('Raw Data'!$L205, 1),"X","")</f>
        <v/>
      </c>
      <c r="X204" s="19" t="str">
        <f>IF(BITWISE_AND('Raw Data'!M205, 1),"Bat Voltage", IF(BITWISE_AND('Raw Data'!M205, 2), "Charge Current", IF(BITWISE_AND('Raw Data'!M205, 4),"Input Ilim", IF(BITWISE_AND('Raw Data'!M205, 8), "Input UV", "none"))))</f>
        <v>none</v>
      </c>
    </row>
    <row r="205" spans="1:24" x14ac:dyDescent="0.2">
      <c r="A205" s="15">
        <f>A204+TIME(0,0,'Raw Data'!B205)</f>
        <v>0</v>
      </c>
      <c r="B205" s="4">
        <f>'Raw Data'!C206*0.025</f>
        <v>0</v>
      </c>
      <c r="C205" s="4">
        <f t="shared" si="9"/>
        <v>0</v>
      </c>
      <c r="D205" s="4">
        <f>'Raw Data'!D206*0.025</f>
        <v>0</v>
      </c>
      <c r="E205" s="4">
        <f t="shared" si="10"/>
        <v>0</v>
      </c>
      <c r="F205" s="4">
        <f>'Raw Data'!E206*0.001648</f>
        <v>0</v>
      </c>
      <c r="G205" s="4">
        <f>'Raw Data'!F206*0.001648</f>
        <v>0</v>
      </c>
      <c r="H205" s="4">
        <f>'Raw Data'!G206*6*0.000128176</f>
        <v>0</v>
      </c>
      <c r="I205" s="4">
        <f>'Raw Data'!H206*0.000732435</f>
        <v>0</v>
      </c>
      <c r="J205" s="4">
        <f t="shared" si="11"/>
        <v>0</v>
      </c>
      <c r="K205" s="36">
        <f>IF(('Raw Data'!I206-16384)/32768&lt;0,0,('Raw Data'!I206-16384)/32768)</f>
        <v>0</v>
      </c>
      <c r="L205" s="4">
        <f>IF(('Raw Data'!J206-12010)/45.6=-263.377192982456,0,('Raw Data'!J206-12010)/45.6)</f>
        <v>0</v>
      </c>
      <c r="M205" s="16">
        <f>'Raw Data'!N206*2^-8</f>
        <v>0</v>
      </c>
      <c r="N205" s="16">
        <f>'Raw Data'!O206*2^-8</f>
        <v>0</v>
      </c>
      <c r="O205" s="17" t="str">
        <f>IF(BITWISE_AND('Raw Data'!$K206, 8192),"X","")</f>
        <v/>
      </c>
      <c r="P205" s="17" t="str">
        <f>IF(BITWISE_AND('Raw Data'!$K206, 2048),"X","")</f>
        <v/>
      </c>
      <c r="Q205" s="17" t="str">
        <f>IF(BITWISE_AND('Raw Data'!$K206, 64),"X","")</f>
        <v/>
      </c>
      <c r="R205" s="18" t="str">
        <f>IF(BITWISE_AND('Raw Data'!$L206, 1024),"X","")</f>
        <v/>
      </c>
      <c r="S205" s="18" t="str">
        <f>IF(BITWISE_AND('Raw Data'!$L206, 512),"X","")</f>
        <v/>
      </c>
      <c r="T205" s="18" t="str">
        <f>IF(BITWISE_AND('Raw Data'!$L206, 256),"X","")</f>
        <v/>
      </c>
      <c r="U205" s="18" t="str">
        <f>IF(BITWISE_AND('Raw Data'!$L206, 64),"X","")</f>
        <v/>
      </c>
      <c r="V205" s="18" t="str">
        <f>IF(BITWISE_AND('Raw Data'!$L206, 2),"X","")</f>
        <v/>
      </c>
      <c r="W205" s="18" t="str">
        <f>IF(BITWISE_AND('Raw Data'!$L206, 1),"X","")</f>
        <v/>
      </c>
      <c r="X205" s="19" t="str">
        <f>IF(BITWISE_AND('Raw Data'!M206, 1),"Bat Voltage", IF(BITWISE_AND('Raw Data'!M206, 2), "Charge Current", IF(BITWISE_AND('Raw Data'!M206, 4),"Input Ilim", IF(BITWISE_AND('Raw Data'!M206, 8), "Input UV", "none"))))</f>
        <v>none</v>
      </c>
    </row>
    <row r="206" spans="1:24" x14ac:dyDescent="0.2">
      <c r="A206" s="15">
        <f>A205+TIME(0,0,'Raw Data'!B206)</f>
        <v>0</v>
      </c>
      <c r="B206" s="4">
        <f>'Raw Data'!C207*0.025</f>
        <v>0</v>
      </c>
      <c r="C206" s="4">
        <f t="shared" si="9"/>
        <v>0</v>
      </c>
      <c r="D206" s="4">
        <f>'Raw Data'!D207*0.025</f>
        <v>0</v>
      </c>
      <c r="E206" s="4">
        <f t="shared" si="10"/>
        <v>0</v>
      </c>
      <c r="F206" s="4">
        <f>'Raw Data'!E207*0.001648</f>
        <v>0</v>
      </c>
      <c r="G206" s="4">
        <f>'Raw Data'!F207*0.001648</f>
        <v>0</v>
      </c>
      <c r="H206" s="4">
        <f>'Raw Data'!G207*6*0.000128176</f>
        <v>0</v>
      </c>
      <c r="I206" s="4">
        <f>'Raw Data'!H207*0.000732435</f>
        <v>0</v>
      </c>
      <c r="J206" s="4">
        <f t="shared" si="11"/>
        <v>0</v>
      </c>
      <c r="K206" s="36">
        <f>IF(('Raw Data'!I207-16384)/32768&lt;0,0,('Raw Data'!I207-16384)/32768)</f>
        <v>0</v>
      </c>
      <c r="L206" s="4">
        <f>IF(('Raw Data'!J207-12010)/45.6=-263.377192982456,0,('Raw Data'!J207-12010)/45.6)</f>
        <v>0</v>
      </c>
      <c r="M206" s="16">
        <f>'Raw Data'!N207*2^-8</f>
        <v>0</v>
      </c>
      <c r="N206" s="16">
        <f>'Raw Data'!O207*2^-8</f>
        <v>0</v>
      </c>
      <c r="O206" s="17" t="str">
        <f>IF(BITWISE_AND('Raw Data'!$K207, 8192),"X","")</f>
        <v/>
      </c>
      <c r="P206" s="17" t="str">
        <f>IF(BITWISE_AND('Raw Data'!$K207, 2048),"X","")</f>
        <v/>
      </c>
      <c r="Q206" s="17" t="str">
        <f>IF(BITWISE_AND('Raw Data'!$K207, 64),"X","")</f>
        <v/>
      </c>
      <c r="R206" s="18" t="str">
        <f>IF(BITWISE_AND('Raw Data'!$L207, 1024),"X","")</f>
        <v/>
      </c>
      <c r="S206" s="18" t="str">
        <f>IF(BITWISE_AND('Raw Data'!$L207, 512),"X","")</f>
        <v/>
      </c>
      <c r="T206" s="18" t="str">
        <f>IF(BITWISE_AND('Raw Data'!$L207, 256),"X","")</f>
        <v/>
      </c>
      <c r="U206" s="18" t="str">
        <f>IF(BITWISE_AND('Raw Data'!$L207, 64),"X","")</f>
        <v/>
      </c>
      <c r="V206" s="18" t="str">
        <f>IF(BITWISE_AND('Raw Data'!$L207, 2),"X","")</f>
        <v/>
      </c>
      <c r="W206" s="18" t="str">
        <f>IF(BITWISE_AND('Raw Data'!$L207, 1),"X","")</f>
        <v/>
      </c>
      <c r="X206" s="19" t="str">
        <f>IF(BITWISE_AND('Raw Data'!M207, 1),"Bat Voltage", IF(BITWISE_AND('Raw Data'!M207, 2), "Charge Current", IF(BITWISE_AND('Raw Data'!M207, 4),"Input Ilim", IF(BITWISE_AND('Raw Data'!M207, 8), "Input UV", "none"))))</f>
        <v>none</v>
      </c>
    </row>
    <row r="207" spans="1:24" x14ac:dyDescent="0.2">
      <c r="A207" s="15">
        <f>A206+TIME(0,0,'Raw Data'!B207)</f>
        <v>0</v>
      </c>
      <c r="B207" s="4">
        <f>'Raw Data'!C208*0.025</f>
        <v>0</v>
      </c>
      <c r="C207" s="4">
        <f t="shared" si="9"/>
        <v>0</v>
      </c>
      <c r="D207" s="4">
        <f>'Raw Data'!D208*0.025</f>
        <v>0</v>
      </c>
      <c r="E207" s="4">
        <f t="shared" si="10"/>
        <v>0</v>
      </c>
      <c r="F207" s="4">
        <f>'Raw Data'!E208*0.001648</f>
        <v>0</v>
      </c>
      <c r="G207" s="4">
        <f>'Raw Data'!F208*0.001648</f>
        <v>0</v>
      </c>
      <c r="H207" s="4">
        <f>'Raw Data'!G208*6*0.000128176</f>
        <v>0</v>
      </c>
      <c r="I207" s="4">
        <f>'Raw Data'!H208*0.000732435</f>
        <v>0</v>
      </c>
      <c r="J207" s="4">
        <f t="shared" si="11"/>
        <v>0</v>
      </c>
      <c r="K207" s="36">
        <f>IF(('Raw Data'!I208-16384)/32768&lt;0,0,('Raw Data'!I208-16384)/32768)</f>
        <v>0</v>
      </c>
      <c r="L207" s="4">
        <f>IF(('Raw Data'!J208-12010)/45.6=-263.377192982456,0,('Raw Data'!J208-12010)/45.6)</f>
        <v>0</v>
      </c>
      <c r="M207" s="16">
        <f>'Raw Data'!N208*2^-8</f>
        <v>0</v>
      </c>
      <c r="N207" s="16">
        <f>'Raw Data'!O208*2^-8</f>
        <v>0</v>
      </c>
      <c r="O207" s="17" t="str">
        <f>IF(BITWISE_AND('Raw Data'!$K208, 8192),"X","")</f>
        <v/>
      </c>
      <c r="P207" s="17" t="str">
        <f>IF(BITWISE_AND('Raw Data'!$K208, 2048),"X","")</f>
        <v/>
      </c>
      <c r="Q207" s="17" t="str">
        <f>IF(BITWISE_AND('Raw Data'!$K208, 64),"X","")</f>
        <v/>
      </c>
      <c r="R207" s="18" t="str">
        <f>IF(BITWISE_AND('Raw Data'!$L208, 1024),"X","")</f>
        <v/>
      </c>
      <c r="S207" s="18" t="str">
        <f>IF(BITWISE_AND('Raw Data'!$L208, 512),"X","")</f>
        <v/>
      </c>
      <c r="T207" s="18" t="str">
        <f>IF(BITWISE_AND('Raw Data'!$L208, 256),"X","")</f>
        <v/>
      </c>
      <c r="U207" s="18" t="str">
        <f>IF(BITWISE_AND('Raw Data'!$L208, 64),"X","")</f>
        <v/>
      </c>
      <c r="V207" s="18" t="str">
        <f>IF(BITWISE_AND('Raw Data'!$L208, 2),"X","")</f>
        <v/>
      </c>
      <c r="W207" s="18" t="str">
        <f>IF(BITWISE_AND('Raw Data'!$L208, 1),"X","")</f>
        <v/>
      </c>
      <c r="X207" s="19" t="str">
        <f>IF(BITWISE_AND('Raw Data'!M208, 1),"Bat Voltage", IF(BITWISE_AND('Raw Data'!M208, 2), "Charge Current", IF(BITWISE_AND('Raw Data'!M208, 4),"Input Ilim", IF(BITWISE_AND('Raw Data'!M208, 8), "Input UV", "none"))))</f>
        <v>none</v>
      </c>
    </row>
    <row r="208" spans="1:24" x14ac:dyDescent="0.2">
      <c r="A208" s="15">
        <f>A207+TIME(0,0,'Raw Data'!B208)</f>
        <v>0</v>
      </c>
      <c r="B208" s="4">
        <f>'Raw Data'!C209*0.025</f>
        <v>0</v>
      </c>
      <c r="C208" s="4">
        <f t="shared" si="9"/>
        <v>0</v>
      </c>
      <c r="D208" s="4">
        <f>'Raw Data'!D209*0.025</f>
        <v>0</v>
      </c>
      <c r="E208" s="4">
        <f t="shared" si="10"/>
        <v>0</v>
      </c>
      <c r="F208" s="4">
        <f>'Raw Data'!E209*0.001648</f>
        <v>0</v>
      </c>
      <c r="G208" s="4">
        <f>'Raw Data'!F209*0.001648</f>
        <v>0</v>
      </c>
      <c r="H208" s="4">
        <f>'Raw Data'!G209*6*0.000128176</f>
        <v>0</v>
      </c>
      <c r="I208" s="4">
        <f>'Raw Data'!H209*0.000732435</f>
        <v>0</v>
      </c>
      <c r="J208" s="4">
        <f t="shared" si="11"/>
        <v>0</v>
      </c>
      <c r="K208" s="36">
        <f>IF(('Raw Data'!I209-16384)/32768&lt;0,0,('Raw Data'!I209-16384)/32768)</f>
        <v>0</v>
      </c>
      <c r="L208" s="4">
        <f>IF(('Raw Data'!J209-12010)/45.6=-263.377192982456,0,('Raw Data'!J209-12010)/45.6)</f>
        <v>0</v>
      </c>
      <c r="M208" s="16">
        <f>'Raw Data'!N209*2^-8</f>
        <v>0</v>
      </c>
      <c r="N208" s="16">
        <f>'Raw Data'!O209*2^-8</f>
        <v>0</v>
      </c>
      <c r="O208" s="17" t="str">
        <f>IF(BITWISE_AND('Raw Data'!$K209, 8192),"X","")</f>
        <v/>
      </c>
      <c r="P208" s="17" t="str">
        <f>IF(BITWISE_AND('Raw Data'!$K209, 2048),"X","")</f>
        <v/>
      </c>
      <c r="Q208" s="17" t="str">
        <f>IF(BITWISE_AND('Raw Data'!$K209, 64),"X","")</f>
        <v/>
      </c>
      <c r="R208" s="18" t="str">
        <f>IF(BITWISE_AND('Raw Data'!$L209, 1024),"X","")</f>
        <v/>
      </c>
      <c r="S208" s="18" t="str">
        <f>IF(BITWISE_AND('Raw Data'!$L209, 512),"X","")</f>
        <v/>
      </c>
      <c r="T208" s="18" t="str">
        <f>IF(BITWISE_AND('Raw Data'!$L209, 256),"X","")</f>
        <v/>
      </c>
      <c r="U208" s="18" t="str">
        <f>IF(BITWISE_AND('Raw Data'!$L209, 64),"X","")</f>
        <v/>
      </c>
      <c r="V208" s="18" t="str">
        <f>IF(BITWISE_AND('Raw Data'!$L209, 2),"X","")</f>
        <v/>
      </c>
      <c r="W208" s="18" t="str">
        <f>IF(BITWISE_AND('Raw Data'!$L209, 1),"X","")</f>
        <v/>
      </c>
      <c r="X208" s="19" t="str">
        <f>IF(BITWISE_AND('Raw Data'!M209, 1),"Bat Voltage", IF(BITWISE_AND('Raw Data'!M209, 2), "Charge Current", IF(BITWISE_AND('Raw Data'!M209, 4),"Input Ilim", IF(BITWISE_AND('Raw Data'!M209, 8), "Input UV", "none"))))</f>
        <v>none</v>
      </c>
    </row>
    <row r="209" spans="1:24" x14ac:dyDescent="0.2">
      <c r="A209" s="15">
        <f>A208+TIME(0,0,'Raw Data'!B209)</f>
        <v>0</v>
      </c>
      <c r="B209" s="4">
        <f>'Raw Data'!C210*0.025</f>
        <v>0</v>
      </c>
      <c r="C209" s="4">
        <f t="shared" si="9"/>
        <v>0</v>
      </c>
      <c r="D209" s="4">
        <f>'Raw Data'!D210*0.025</f>
        <v>0</v>
      </c>
      <c r="E209" s="4">
        <f t="shared" si="10"/>
        <v>0</v>
      </c>
      <c r="F209" s="4">
        <f>'Raw Data'!E210*0.001648</f>
        <v>0</v>
      </c>
      <c r="G209" s="4">
        <f>'Raw Data'!F210*0.001648</f>
        <v>0</v>
      </c>
      <c r="H209" s="4">
        <f>'Raw Data'!G210*6*0.000128176</f>
        <v>0</v>
      </c>
      <c r="I209" s="4">
        <f>'Raw Data'!H210*0.000732435</f>
        <v>0</v>
      </c>
      <c r="J209" s="4">
        <f t="shared" si="11"/>
        <v>0</v>
      </c>
      <c r="K209" s="36">
        <f>IF(('Raw Data'!I210-16384)/32768&lt;0,0,('Raw Data'!I210-16384)/32768)</f>
        <v>0</v>
      </c>
      <c r="L209" s="4">
        <f>IF(('Raw Data'!J210-12010)/45.6=-263.377192982456,0,('Raw Data'!J210-12010)/45.6)</f>
        <v>0</v>
      </c>
      <c r="M209" s="16">
        <f>'Raw Data'!N210*2^-8</f>
        <v>0</v>
      </c>
      <c r="N209" s="16">
        <f>'Raw Data'!O210*2^-8</f>
        <v>0</v>
      </c>
      <c r="O209" s="17" t="str">
        <f>IF(BITWISE_AND('Raw Data'!$K210, 8192),"X","")</f>
        <v/>
      </c>
      <c r="P209" s="17" t="str">
        <f>IF(BITWISE_AND('Raw Data'!$K210, 2048),"X","")</f>
        <v/>
      </c>
      <c r="Q209" s="17" t="str">
        <f>IF(BITWISE_AND('Raw Data'!$K210, 64),"X","")</f>
        <v/>
      </c>
      <c r="R209" s="18" t="str">
        <f>IF(BITWISE_AND('Raw Data'!$L210, 1024),"X","")</f>
        <v/>
      </c>
      <c r="S209" s="18" t="str">
        <f>IF(BITWISE_AND('Raw Data'!$L210, 512),"X","")</f>
        <v/>
      </c>
      <c r="T209" s="18" t="str">
        <f>IF(BITWISE_AND('Raw Data'!$L210, 256),"X","")</f>
        <v/>
      </c>
      <c r="U209" s="18" t="str">
        <f>IF(BITWISE_AND('Raw Data'!$L210, 64),"X","")</f>
        <v/>
      </c>
      <c r="V209" s="18" t="str">
        <f>IF(BITWISE_AND('Raw Data'!$L210, 2),"X","")</f>
        <v/>
      </c>
      <c r="W209" s="18" t="str">
        <f>IF(BITWISE_AND('Raw Data'!$L210, 1),"X","")</f>
        <v/>
      </c>
      <c r="X209" s="19" t="str">
        <f>IF(BITWISE_AND('Raw Data'!M210, 1),"Bat Voltage", IF(BITWISE_AND('Raw Data'!M210, 2), "Charge Current", IF(BITWISE_AND('Raw Data'!M210, 4),"Input Ilim", IF(BITWISE_AND('Raw Data'!M210, 8), "Input UV", "none"))))</f>
        <v>none</v>
      </c>
    </row>
    <row r="210" spans="1:24" x14ac:dyDescent="0.2">
      <c r="A210" s="15">
        <f>A209+TIME(0,0,'Raw Data'!B210)</f>
        <v>0</v>
      </c>
      <c r="B210" s="4">
        <f>'Raw Data'!C211*0.025</f>
        <v>0</v>
      </c>
      <c r="C210" s="4">
        <f t="shared" si="9"/>
        <v>0</v>
      </c>
      <c r="D210" s="4">
        <f>'Raw Data'!D211*0.025</f>
        <v>0</v>
      </c>
      <c r="E210" s="4">
        <f t="shared" si="10"/>
        <v>0</v>
      </c>
      <c r="F210" s="4">
        <f>'Raw Data'!E211*0.001648</f>
        <v>0</v>
      </c>
      <c r="G210" s="4">
        <f>'Raw Data'!F211*0.001648</f>
        <v>0</v>
      </c>
      <c r="H210" s="4">
        <f>'Raw Data'!G211*6*0.000128176</f>
        <v>0</v>
      </c>
      <c r="I210" s="4">
        <f>'Raw Data'!H211*0.000732435</f>
        <v>0</v>
      </c>
      <c r="J210" s="4">
        <f t="shared" si="11"/>
        <v>0</v>
      </c>
      <c r="K210" s="36">
        <f>IF(('Raw Data'!I211-16384)/32768&lt;0,0,('Raw Data'!I211-16384)/32768)</f>
        <v>0</v>
      </c>
      <c r="L210" s="4">
        <f>IF(('Raw Data'!J211-12010)/45.6=-263.377192982456,0,('Raw Data'!J211-12010)/45.6)</f>
        <v>0</v>
      </c>
      <c r="M210" s="16">
        <f>'Raw Data'!N211*2^-8</f>
        <v>0</v>
      </c>
      <c r="N210" s="16">
        <f>'Raw Data'!O211*2^-8</f>
        <v>0</v>
      </c>
      <c r="O210" s="17" t="str">
        <f>IF(BITWISE_AND('Raw Data'!$K211, 8192),"X","")</f>
        <v/>
      </c>
      <c r="P210" s="17" t="str">
        <f>IF(BITWISE_AND('Raw Data'!$K211, 2048),"X","")</f>
        <v/>
      </c>
      <c r="Q210" s="17" t="str">
        <f>IF(BITWISE_AND('Raw Data'!$K211, 64),"X","")</f>
        <v/>
      </c>
      <c r="R210" s="18" t="str">
        <f>IF(BITWISE_AND('Raw Data'!$L211, 1024),"X","")</f>
        <v/>
      </c>
      <c r="S210" s="18" t="str">
        <f>IF(BITWISE_AND('Raw Data'!$L211, 512),"X","")</f>
        <v/>
      </c>
      <c r="T210" s="18" t="str">
        <f>IF(BITWISE_AND('Raw Data'!$L211, 256),"X","")</f>
        <v/>
      </c>
      <c r="U210" s="18" t="str">
        <f>IF(BITWISE_AND('Raw Data'!$L211, 64),"X","")</f>
        <v/>
      </c>
      <c r="V210" s="18" t="str">
        <f>IF(BITWISE_AND('Raw Data'!$L211, 2),"X","")</f>
        <v/>
      </c>
      <c r="W210" s="18" t="str">
        <f>IF(BITWISE_AND('Raw Data'!$L211, 1),"X","")</f>
        <v/>
      </c>
      <c r="X210" s="19" t="str">
        <f>IF(BITWISE_AND('Raw Data'!M211, 1),"Bat Voltage", IF(BITWISE_AND('Raw Data'!M211, 2), "Charge Current", IF(BITWISE_AND('Raw Data'!M211, 4),"Input Ilim", IF(BITWISE_AND('Raw Data'!M211, 8), "Input UV", "none"))))</f>
        <v>none</v>
      </c>
    </row>
    <row r="211" spans="1:24" x14ac:dyDescent="0.2">
      <c r="A211" s="15">
        <f>A210+TIME(0,0,'Raw Data'!B211)</f>
        <v>0</v>
      </c>
      <c r="B211" s="4">
        <f>'Raw Data'!C212*0.025</f>
        <v>0</v>
      </c>
      <c r="C211" s="4">
        <f t="shared" si="9"/>
        <v>0</v>
      </c>
      <c r="D211" s="4">
        <f>'Raw Data'!D212*0.025</f>
        <v>0</v>
      </c>
      <c r="E211" s="4">
        <f t="shared" si="10"/>
        <v>0</v>
      </c>
      <c r="F211" s="4">
        <f>'Raw Data'!E212*0.001648</f>
        <v>0</v>
      </c>
      <c r="G211" s="4">
        <f>'Raw Data'!F212*0.001648</f>
        <v>0</v>
      </c>
      <c r="H211" s="4">
        <f>'Raw Data'!G212*6*0.000128176</f>
        <v>0</v>
      </c>
      <c r="I211" s="4">
        <f>'Raw Data'!H212*0.000732435</f>
        <v>0</v>
      </c>
      <c r="J211" s="4">
        <f t="shared" si="11"/>
        <v>0</v>
      </c>
      <c r="K211" s="36">
        <f>IF(('Raw Data'!I212-16384)/32768&lt;0,0,('Raw Data'!I212-16384)/32768)</f>
        <v>0</v>
      </c>
      <c r="L211" s="4">
        <f>IF(('Raw Data'!J212-12010)/45.6=-263.377192982456,0,('Raw Data'!J212-12010)/45.6)</f>
        <v>0</v>
      </c>
      <c r="M211" s="16">
        <f>'Raw Data'!N212*2^-8</f>
        <v>0</v>
      </c>
      <c r="N211" s="16">
        <f>'Raw Data'!O212*2^-8</f>
        <v>0</v>
      </c>
      <c r="O211" s="17" t="str">
        <f>IF(BITWISE_AND('Raw Data'!$K212, 8192),"X","")</f>
        <v/>
      </c>
      <c r="P211" s="17" t="str">
        <f>IF(BITWISE_AND('Raw Data'!$K212, 2048),"X","")</f>
        <v/>
      </c>
      <c r="Q211" s="17" t="str">
        <f>IF(BITWISE_AND('Raw Data'!$K212, 64),"X","")</f>
        <v/>
      </c>
      <c r="R211" s="18" t="str">
        <f>IF(BITWISE_AND('Raw Data'!$L212, 1024),"X","")</f>
        <v/>
      </c>
      <c r="S211" s="18" t="str">
        <f>IF(BITWISE_AND('Raw Data'!$L212, 512),"X","")</f>
        <v/>
      </c>
      <c r="T211" s="18" t="str">
        <f>IF(BITWISE_AND('Raw Data'!$L212, 256),"X","")</f>
        <v/>
      </c>
      <c r="U211" s="18" t="str">
        <f>IF(BITWISE_AND('Raw Data'!$L212, 64),"X","")</f>
        <v/>
      </c>
      <c r="V211" s="18" t="str">
        <f>IF(BITWISE_AND('Raw Data'!$L212, 2),"X","")</f>
        <v/>
      </c>
      <c r="W211" s="18" t="str">
        <f>IF(BITWISE_AND('Raw Data'!$L212, 1),"X","")</f>
        <v/>
      </c>
      <c r="X211" s="19" t="str">
        <f>IF(BITWISE_AND('Raw Data'!M212, 1),"Bat Voltage", IF(BITWISE_AND('Raw Data'!M212, 2), "Charge Current", IF(BITWISE_AND('Raw Data'!M212, 4),"Input Ilim", IF(BITWISE_AND('Raw Data'!M212, 8), "Input UV", "none"))))</f>
        <v>none</v>
      </c>
    </row>
    <row r="212" spans="1:24" x14ac:dyDescent="0.2">
      <c r="A212" s="15">
        <f>A211+TIME(0,0,'Raw Data'!B212)</f>
        <v>0</v>
      </c>
      <c r="B212" s="4">
        <f>'Raw Data'!C213*0.025</f>
        <v>0</v>
      </c>
      <c r="C212" s="4">
        <f t="shared" si="9"/>
        <v>0</v>
      </c>
      <c r="D212" s="4">
        <f>'Raw Data'!D213*0.025</f>
        <v>0</v>
      </c>
      <c r="E212" s="4">
        <f t="shared" si="10"/>
        <v>0</v>
      </c>
      <c r="F212" s="4">
        <f>'Raw Data'!E213*0.001648</f>
        <v>0</v>
      </c>
      <c r="G212" s="4">
        <f>'Raw Data'!F213*0.001648</f>
        <v>0</v>
      </c>
      <c r="H212" s="4">
        <f>'Raw Data'!G213*6*0.000128176</f>
        <v>0</v>
      </c>
      <c r="I212" s="4">
        <f>'Raw Data'!H213*0.000732435</f>
        <v>0</v>
      </c>
      <c r="J212" s="4">
        <f t="shared" si="11"/>
        <v>0</v>
      </c>
      <c r="K212" s="36">
        <f>IF(('Raw Data'!I213-16384)/32768&lt;0,0,('Raw Data'!I213-16384)/32768)</f>
        <v>0</v>
      </c>
      <c r="L212" s="4">
        <f>IF(('Raw Data'!J213-12010)/45.6=-263.377192982456,0,('Raw Data'!J213-12010)/45.6)</f>
        <v>0</v>
      </c>
      <c r="M212" s="16">
        <f>'Raw Data'!N213*2^-8</f>
        <v>0</v>
      </c>
      <c r="N212" s="16">
        <f>'Raw Data'!O213*2^-8</f>
        <v>0</v>
      </c>
      <c r="O212" s="17" t="str">
        <f>IF(BITWISE_AND('Raw Data'!$K213, 8192),"X","")</f>
        <v/>
      </c>
      <c r="P212" s="17" t="str">
        <f>IF(BITWISE_AND('Raw Data'!$K213, 2048),"X","")</f>
        <v/>
      </c>
      <c r="Q212" s="17" t="str">
        <f>IF(BITWISE_AND('Raw Data'!$K213, 64),"X","")</f>
        <v/>
      </c>
      <c r="R212" s="18" t="str">
        <f>IF(BITWISE_AND('Raw Data'!$L213, 1024),"X","")</f>
        <v/>
      </c>
      <c r="S212" s="18" t="str">
        <f>IF(BITWISE_AND('Raw Data'!$L213, 512),"X","")</f>
        <v/>
      </c>
      <c r="T212" s="18" t="str">
        <f>IF(BITWISE_AND('Raw Data'!$L213, 256),"X","")</f>
        <v/>
      </c>
      <c r="U212" s="18" t="str">
        <f>IF(BITWISE_AND('Raw Data'!$L213, 64),"X","")</f>
        <v/>
      </c>
      <c r="V212" s="18" t="str">
        <f>IF(BITWISE_AND('Raw Data'!$L213, 2),"X","")</f>
        <v/>
      </c>
      <c r="W212" s="18" t="str">
        <f>IF(BITWISE_AND('Raw Data'!$L213, 1),"X","")</f>
        <v/>
      </c>
      <c r="X212" s="19" t="str">
        <f>IF(BITWISE_AND('Raw Data'!M213, 1),"Bat Voltage", IF(BITWISE_AND('Raw Data'!M213, 2), "Charge Current", IF(BITWISE_AND('Raw Data'!M213, 4),"Input Ilim", IF(BITWISE_AND('Raw Data'!M213, 8), "Input UV", "none"))))</f>
        <v>none</v>
      </c>
    </row>
    <row r="213" spans="1:24" x14ac:dyDescent="0.2">
      <c r="A213" s="15">
        <f>A212+TIME(0,0,'Raw Data'!B213)</f>
        <v>0</v>
      </c>
      <c r="B213" s="4">
        <f>'Raw Data'!C214*0.025</f>
        <v>0</v>
      </c>
      <c r="C213" s="4">
        <f t="shared" ref="C213:C276" si="12">C212+B213/60</f>
        <v>0</v>
      </c>
      <c r="D213" s="4">
        <f>'Raw Data'!D214*0.025</f>
        <v>0</v>
      </c>
      <c r="E213" s="4">
        <f t="shared" ref="E213:E276" si="13">E212+D213/60</f>
        <v>0</v>
      </c>
      <c r="F213" s="4">
        <f>'Raw Data'!E214*0.001648</f>
        <v>0</v>
      </c>
      <c r="G213" s="4">
        <f>'Raw Data'!F214*0.001648</f>
        <v>0</v>
      </c>
      <c r="H213" s="4">
        <f>'Raw Data'!G214*6*0.000128176</f>
        <v>0</v>
      </c>
      <c r="I213" s="4">
        <f>'Raw Data'!H214*0.000732435</f>
        <v>0</v>
      </c>
      <c r="J213" s="4">
        <f t="shared" si="11"/>
        <v>0</v>
      </c>
      <c r="K213" s="36">
        <f>IF(('Raw Data'!I214-16384)/32768&lt;0,0,('Raw Data'!I214-16384)/32768)</f>
        <v>0</v>
      </c>
      <c r="L213" s="4">
        <f>IF(('Raw Data'!J214-12010)/45.6=-263.377192982456,0,('Raw Data'!J214-12010)/45.6)</f>
        <v>0</v>
      </c>
      <c r="M213" s="16">
        <f>'Raw Data'!N214*2^-8</f>
        <v>0</v>
      </c>
      <c r="N213" s="16">
        <f>'Raw Data'!O214*2^-8</f>
        <v>0</v>
      </c>
      <c r="O213" s="17" t="str">
        <f>IF(BITWISE_AND('Raw Data'!$K214, 8192),"X","")</f>
        <v/>
      </c>
      <c r="P213" s="17" t="str">
        <f>IF(BITWISE_AND('Raw Data'!$K214, 2048),"X","")</f>
        <v/>
      </c>
      <c r="Q213" s="17" t="str">
        <f>IF(BITWISE_AND('Raw Data'!$K214, 64),"X","")</f>
        <v/>
      </c>
      <c r="R213" s="18" t="str">
        <f>IF(BITWISE_AND('Raw Data'!$L214, 1024),"X","")</f>
        <v/>
      </c>
      <c r="S213" s="18" t="str">
        <f>IF(BITWISE_AND('Raw Data'!$L214, 512),"X","")</f>
        <v/>
      </c>
      <c r="T213" s="18" t="str">
        <f>IF(BITWISE_AND('Raw Data'!$L214, 256),"X","")</f>
        <v/>
      </c>
      <c r="U213" s="18" t="str">
        <f>IF(BITWISE_AND('Raw Data'!$L214, 64),"X","")</f>
        <v/>
      </c>
      <c r="V213" s="18" t="str">
        <f>IF(BITWISE_AND('Raw Data'!$L214, 2),"X","")</f>
        <v/>
      </c>
      <c r="W213" s="18" t="str">
        <f>IF(BITWISE_AND('Raw Data'!$L214, 1),"X","")</f>
        <v/>
      </c>
      <c r="X213" s="19" t="str">
        <f>IF(BITWISE_AND('Raw Data'!M214, 1),"Bat Voltage", IF(BITWISE_AND('Raw Data'!M214, 2), "Charge Current", IF(BITWISE_AND('Raw Data'!M214, 4),"Input Ilim", IF(BITWISE_AND('Raw Data'!M214, 8), "Input UV", "none"))))</f>
        <v>none</v>
      </c>
    </row>
    <row r="214" spans="1:24" x14ac:dyDescent="0.2">
      <c r="A214" s="15">
        <f>A213+TIME(0,0,'Raw Data'!B214)</f>
        <v>0</v>
      </c>
      <c r="B214" s="4">
        <f>'Raw Data'!C215*0.025</f>
        <v>0</v>
      </c>
      <c r="C214" s="4">
        <f t="shared" si="12"/>
        <v>0</v>
      </c>
      <c r="D214" s="4">
        <f>'Raw Data'!D215*0.025</f>
        <v>0</v>
      </c>
      <c r="E214" s="4">
        <f t="shared" si="13"/>
        <v>0</v>
      </c>
      <c r="F214" s="4">
        <f>'Raw Data'!E215*0.001648</f>
        <v>0</v>
      </c>
      <c r="G214" s="4">
        <f>'Raw Data'!F215*0.001648</f>
        <v>0</v>
      </c>
      <c r="H214" s="4">
        <f>'Raw Data'!G215*6*0.000128176</f>
        <v>0</v>
      </c>
      <c r="I214" s="4">
        <f>'Raw Data'!H215*0.000732435</f>
        <v>0</v>
      </c>
      <c r="J214" s="4">
        <f t="shared" si="11"/>
        <v>0</v>
      </c>
      <c r="K214" s="36">
        <f>IF(('Raw Data'!I215-16384)/32768&lt;0,0,('Raw Data'!I215-16384)/32768)</f>
        <v>0</v>
      </c>
      <c r="L214" s="4">
        <f>IF(('Raw Data'!J215-12010)/45.6=-263.377192982456,0,('Raw Data'!J215-12010)/45.6)</f>
        <v>0</v>
      </c>
      <c r="M214" s="16">
        <f>'Raw Data'!N215*2^-8</f>
        <v>0</v>
      </c>
      <c r="N214" s="16">
        <f>'Raw Data'!O215*2^-8</f>
        <v>0</v>
      </c>
      <c r="O214" s="17" t="str">
        <f>IF(BITWISE_AND('Raw Data'!$K215, 8192),"X","")</f>
        <v/>
      </c>
      <c r="P214" s="17" t="str">
        <f>IF(BITWISE_AND('Raw Data'!$K215, 2048),"X","")</f>
        <v/>
      </c>
      <c r="Q214" s="17" t="str">
        <f>IF(BITWISE_AND('Raw Data'!$K215, 64),"X","")</f>
        <v/>
      </c>
      <c r="R214" s="18" t="str">
        <f>IF(BITWISE_AND('Raw Data'!$L215, 1024),"X","")</f>
        <v/>
      </c>
      <c r="S214" s="18" t="str">
        <f>IF(BITWISE_AND('Raw Data'!$L215, 512),"X","")</f>
        <v/>
      </c>
      <c r="T214" s="18" t="str">
        <f>IF(BITWISE_AND('Raw Data'!$L215, 256),"X","")</f>
        <v/>
      </c>
      <c r="U214" s="18" t="str">
        <f>IF(BITWISE_AND('Raw Data'!$L215, 64),"X","")</f>
        <v/>
      </c>
      <c r="V214" s="18" t="str">
        <f>IF(BITWISE_AND('Raw Data'!$L215, 2),"X","")</f>
        <v/>
      </c>
      <c r="W214" s="18" t="str">
        <f>IF(BITWISE_AND('Raw Data'!$L215, 1),"X","")</f>
        <v/>
      </c>
      <c r="X214" s="19" t="str">
        <f>IF(BITWISE_AND('Raw Data'!M215, 1),"Bat Voltage", IF(BITWISE_AND('Raw Data'!M215, 2), "Charge Current", IF(BITWISE_AND('Raw Data'!M215, 4),"Input Ilim", IF(BITWISE_AND('Raw Data'!M215, 8), "Input UV", "none"))))</f>
        <v>none</v>
      </c>
    </row>
    <row r="215" spans="1:24" x14ac:dyDescent="0.2">
      <c r="A215" s="15">
        <f>A214+TIME(0,0,'Raw Data'!B215)</f>
        <v>0</v>
      </c>
      <c r="B215" s="4">
        <f>'Raw Data'!C216*0.025</f>
        <v>0</v>
      </c>
      <c r="C215" s="4">
        <f t="shared" si="12"/>
        <v>0</v>
      </c>
      <c r="D215" s="4">
        <f>'Raw Data'!D216*0.025</f>
        <v>0</v>
      </c>
      <c r="E215" s="4">
        <f t="shared" si="13"/>
        <v>0</v>
      </c>
      <c r="F215" s="4">
        <f>'Raw Data'!E216*0.001648</f>
        <v>0</v>
      </c>
      <c r="G215" s="4">
        <f>'Raw Data'!F216*0.001648</f>
        <v>0</v>
      </c>
      <c r="H215" s="4">
        <f>'Raw Data'!G216*6*0.000128176</f>
        <v>0</v>
      </c>
      <c r="I215" s="4">
        <f>'Raw Data'!H216*0.000732435</f>
        <v>0</v>
      </c>
      <c r="J215" s="4">
        <f t="shared" si="11"/>
        <v>0</v>
      </c>
      <c r="K215" s="36">
        <f>IF(('Raw Data'!I216-16384)/32768&lt;0,0,('Raw Data'!I216-16384)/32768)</f>
        <v>0</v>
      </c>
      <c r="L215" s="4">
        <f>IF(('Raw Data'!J216-12010)/45.6=-263.377192982456,0,('Raw Data'!J216-12010)/45.6)</f>
        <v>0</v>
      </c>
      <c r="M215" s="16">
        <f>'Raw Data'!N216*2^-8</f>
        <v>0</v>
      </c>
      <c r="N215" s="16">
        <f>'Raw Data'!O216*2^-8</f>
        <v>0</v>
      </c>
      <c r="O215" s="17" t="str">
        <f>IF(BITWISE_AND('Raw Data'!$K216, 8192),"X","")</f>
        <v/>
      </c>
      <c r="P215" s="17" t="str">
        <f>IF(BITWISE_AND('Raw Data'!$K216, 2048),"X","")</f>
        <v/>
      </c>
      <c r="Q215" s="17" t="str">
        <f>IF(BITWISE_AND('Raw Data'!$K216, 64),"X","")</f>
        <v/>
      </c>
      <c r="R215" s="18" t="str">
        <f>IF(BITWISE_AND('Raw Data'!$L216, 1024),"X","")</f>
        <v/>
      </c>
      <c r="S215" s="18" t="str">
        <f>IF(BITWISE_AND('Raw Data'!$L216, 512),"X","")</f>
        <v/>
      </c>
      <c r="T215" s="18" t="str">
        <f>IF(BITWISE_AND('Raw Data'!$L216, 256),"X","")</f>
        <v/>
      </c>
      <c r="U215" s="18" t="str">
        <f>IF(BITWISE_AND('Raw Data'!$L216, 64),"X","")</f>
        <v/>
      </c>
      <c r="V215" s="18" t="str">
        <f>IF(BITWISE_AND('Raw Data'!$L216, 2),"X","")</f>
        <v/>
      </c>
      <c r="W215" s="18" t="str">
        <f>IF(BITWISE_AND('Raw Data'!$L216, 1),"X","")</f>
        <v/>
      </c>
      <c r="X215" s="19" t="str">
        <f>IF(BITWISE_AND('Raw Data'!M216, 1),"Bat Voltage", IF(BITWISE_AND('Raw Data'!M216, 2), "Charge Current", IF(BITWISE_AND('Raw Data'!M216, 4),"Input Ilim", IF(BITWISE_AND('Raw Data'!M216, 8), "Input UV", "none"))))</f>
        <v>none</v>
      </c>
    </row>
    <row r="216" spans="1:24" x14ac:dyDescent="0.2">
      <c r="A216" s="15">
        <f>A215+TIME(0,0,'Raw Data'!B216)</f>
        <v>0</v>
      </c>
      <c r="B216" s="4">
        <f>'Raw Data'!C217*0.025</f>
        <v>0</v>
      </c>
      <c r="C216" s="4">
        <f t="shared" si="12"/>
        <v>0</v>
      </c>
      <c r="D216" s="4">
        <f>'Raw Data'!D217*0.025</f>
        <v>0</v>
      </c>
      <c r="E216" s="4">
        <f t="shared" si="13"/>
        <v>0</v>
      </c>
      <c r="F216" s="4">
        <f>'Raw Data'!E217*0.001648</f>
        <v>0</v>
      </c>
      <c r="G216" s="4">
        <f>'Raw Data'!F217*0.001648</f>
        <v>0</v>
      </c>
      <c r="H216" s="4">
        <f>'Raw Data'!G217*6*0.000128176</f>
        <v>0</v>
      </c>
      <c r="I216" s="4">
        <f>'Raw Data'!H217*0.000732435</f>
        <v>0</v>
      </c>
      <c r="J216" s="4">
        <f t="shared" si="11"/>
        <v>0</v>
      </c>
      <c r="K216" s="36">
        <f>IF(('Raw Data'!I217-16384)/32768&lt;0,0,('Raw Data'!I217-16384)/32768)</f>
        <v>0</v>
      </c>
      <c r="L216" s="4">
        <f>IF(('Raw Data'!J217-12010)/45.6=-263.377192982456,0,('Raw Data'!J217-12010)/45.6)</f>
        <v>0</v>
      </c>
      <c r="M216" s="16">
        <f>'Raw Data'!N217*2^-8</f>
        <v>0</v>
      </c>
      <c r="N216" s="16">
        <f>'Raw Data'!O217*2^-8</f>
        <v>0</v>
      </c>
      <c r="O216" s="17" t="str">
        <f>IF(BITWISE_AND('Raw Data'!$K217, 8192),"X","")</f>
        <v/>
      </c>
      <c r="P216" s="17" t="str">
        <f>IF(BITWISE_AND('Raw Data'!$K217, 2048),"X","")</f>
        <v/>
      </c>
      <c r="Q216" s="17" t="str">
        <f>IF(BITWISE_AND('Raw Data'!$K217, 64),"X","")</f>
        <v/>
      </c>
      <c r="R216" s="18" t="str">
        <f>IF(BITWISE_AND('Raw Data'!$L217, 1024),"X","")</f>
        <v/>
      </c>
      <c r="S216" s="18" t="str">
        <f>IF(BITWISE_AND('Raw Data'!$L217, 512),"X","")</f>
        <v/>
      </c>
      <c r="T216" s="18" t="str">
        <f>IF(BITWISE_AND('Raw Data'!$L217, 256),"X","")</f>
        <v/>
      </c>
      <c r="U216" s="18" t="str">
        <f>IF(BITWISE_AND('Raw Data'!$L217, 64),"X","")</f>
        <v/>
      </c>
      <c r="V216" s="18" t="str">
        <f>IF(BITWISE_AND('Raw Data'!$L217, 2),"X","")</f>
        <v/>
      </c>
      <c r="W216" s="18" t="str">
        <f>IF(BITWISE_AND('Raw Data'!$L217, 1),"X","")</f>
        <v/>
      </c>
      <c r="X216" s="19" t="str">
        <f>IF(BITWISE_AND('Raw Data'!M217, 1),"Bat Voltage", IF(BITWISE_AND('Raw Data'!M217, 2), "Charge Current", IF(BITWISE_AND('Raw Data'!M217, 4),"Input Ilim", IF(BITWISE_AND('Raw Data'!M217, 8), "Input UV", "none"))))</f>
        <v>none</v>
      </c>
    </row>
    <row r="217" spans="1:24" x14ac:dyDescent="0.2">
      <c r="A217" s="15">
        <f>A216+TIME(0,0,'Raw Data'!B217)</f>
        <v>0</v>
      </c>
      <c r="B217" s="4">
        <f>'Raw Data'!C218*0.025</f>
        <v>0</v>
      </c>
      <c r="C217" s="4">
        <f t="shared" si="12"/>
        <v>0</v>
      </c>
      <c r="D217" s="4">
        <f>'Raw Data'!D218*0.025</f>
        <v>0</v>
      </c>
      <c r="E217" s="4">
        <f t="shared" si="13"/>
        <v>0</v>
      </c>
      <c r="F217" s="4">
        <f>'Raw Data'!E218*0.001648</f>
        <v>0</v>
      </c>
      <c r="G217" s="4">
        <f>'Raw Data'!F218*0.001648</f>
        <v>0</v>
      </c>
      <c r="H217" s="4">
        <f>'Raw Data'!G218*6*0.000128176</f>
        <v>0</v>
      </c>
      <c r="I217" s="4">
        <f>'Raw Data'!H218*0.000732435</f>
        <v>0</v>
      </c>
      <c r="J217" s="4">
        <f t="shared" si="11"/>
        <v>0</v>
      </c>
      <c r="K217" s="36">
        <f>IF(('Raw Data'!I218-16384)/32768&lt;0,0,('Raw Data'!I218-16384)/32768)</f>
        <v>0</v>
      </c>
      <c r="L217" s="4">
        <f>IF(('Raw Data'!J218-12010)/45.6=-263.377192982456,0,('Raw Data'!J218-12010)/45.6)</f>
        <v>0</v>
      </c>
      <c r="M217" s="16">
        <f>'Raw Data'!N218*2^-8</f>
        <v>0</v>
      </c>
      <c r="N217" s="16">
        <f>'Raw Data'!O218*2^-8</f>
        <v>0</v>
      </c>
      <c r="O217" s="17" t="str">
        <f>IF(BITWISE_AND('Raw Data'!$K218, 8192),"X","")</f>
        <v/>
      </c>
      <c r="P217" s="17" t="str">
        <f>IF(BITWISE_AND('Raw Data'!$K218, 2048),"X","")</f>
        <v/>
      </c>
      <c r="Q217" s="17" t="str">
        <f>IF(BITWISE_AND('Raw Data'!$K218, 64),"X","")</f>
        <v/>
      </c>
      <c r="R217" s="18" t="str">
        <f>IF(BITWISE_AND('Raw Data'!$L218, 1024),"X","")</f>
        <v/>
      </c>
      <c r="S217" s="18" t="str">
        <f>IF(BITWISE_AND('Raw Data'!$L218, 512),"X","")</f>
        <v/>
      </c>
      <c r="T217" s="18" t="str">
        <f>IF(BITWISE_AND('Raw Data'!$L218, 256),"X","")</f>
        <v/>
      </c>
      <c r="U217" s="18" t="str">
        <f>IF(BITWISE_AND('Raw Data'!$L218, 64),"X","")</f>
        <v/>
      </c>
      <c r="V217" s="18" t="str">
        <f>IF(BITWISE_AND('Raw Data'!$L218, 2),"X","")</f>
        <v/>
      </c>
      <c r="W217" s="18" t="str">
        <f>IF(BITWISE_AND('Raw Data'!$L218, 1),"X","")</f>
        <v/>
      </c>
      <c r="X217" s="19" t="str">
        <f>IF(BITWISE_AND('Raw Data'!M218, 1),"Bat Voltage", IF(BITWISE_AND('Raw Data'!M218, 2), "Charge Current", IF(BITWISE_AND('Raw Data'!M218, 4),"Input Ilim", IF(BITWISE_AND('Raw Data'!M218, 8), "Input UV", "none"))))</f>
        <v>none</v>
      </c>
    </row>
    <row r="218" spans="1:24" x14ac:dyDescent="0.2">
      <c r="A218" s="15">
        <f>A217+TIME(0,0,'Raw Data'!B218)</f>
        <v>0</v>
      </c>
      <c r="B218" s="4">
        <f>'Raw Data'!C219*0.025</f>
        <v>0</v>
      </c>
      <c r="C218" s="4">
        <f t="shared" si="12"/>
        <v>0</v>
      </c>
      <c r="D218" s="4">
        <f>'Raw Data'!D219*0.025</f>
        <v>0</v>
      </c>
      <c r="E218" s="4">
        <f t="shared" si="13"/>
        <v>0</v>
      </c>
      <c r="F218" s="4">
        <f>'Raw Data'!E219*0.001648</f>
        <v>0</v>
      </c>
      <c r="G218" s="4">
        <f>'Raw Data'!F219*0.001648</f>
        <v>0</v>
      </c>
      <c r="H218" s="4">
        <f>'Raw Data'!G219*6*0.000128176</f>
        <v>0</v>
      </c>
      <c r="I218" s="4">
        <f>'Raw Data'!H219*0.000732435</f>
        <v>0</v>
      </c>
      <c r="J218" s="4">
        <f t="shared" si="11"/>
        <v>0</v>
      </c>
      <c r="K218" s="36">
        <f>IF(('Raw Data'!I219-16384)/32768&lt;0,0,('Raw Data'!I219-16384)/32768)</f>
        <v>0</v>
      </c>
      <c r="L218" s="4">
        <f>IF(('Raw Data'!J219-12010)/45.6=-263.377192982456,0,('Raw Data'!J219-12010)/45.6)</f>
        <v>0</v>
      </c>
      <c r="M218" s="16">
        <f>'Raw Data'!N219*2^-8</f>
        <v>0</v>
      </c>
      <c r="N218" s="16">
        <f>'Raw Data'!O219*2^-8</f>
        <v>0</v>
      </c>
      <c r="O218" s="17" t="str">
        <f>IF(BITWISE_AND('Raw Data'!$K219, 8192),"X","")</f>
        <v/>
      </c>
      <c r="P218" s="17" t="str">
        <f>IF(BITWISE_AND('Raw Data'!$K219, 2048),"X","")</f>
        <v/>
      </c>
      <c r="Q218" s="17" t="str">
        <f>IF(BITWISE_AND('Raw Data'!$K219, 64),"X","")</f>
        <v/>
      </c>
      <c r="R218" s="18" t="str">
        <f>IF(BITWISE_AND('Raw Data'!$L219, 1024),"X","")</f>
        <v/>
      </c>
      <c r="S218" s="18" t="str">
        <f>IF(BITWISE_AND('Raw Data'!$L219, 512),"X","")</f>
        <v/>
      </c>
      <c r="T218" s="18" t="str">
        <f>IF(BITWISE_AND('Raw Data'!$L219, 256),"X","")</f>
        <v/>
      </c>
      <c r="U218" s="18" t="str">
        <f>IF(BITWISE_AND('Raw Data'!$L219, 64),"X","")</f>
        <v/>
      </c>
      <c r="V218" s="18" t="str">
        <f>IF(BITWISE_AND('Raw Data'!$L219, 2),"X","")</f>
        <v/>
      </c>
      <c r="W218" s="18" t="str">
        <f>IF(BITWISE_AND('Raw Data'!$L219, 1),"X","")</f>
        <v/>
      </c>
      <c r="X218" s="19" t="str">
        <f>IF(BITWISE_AND('Raw Data'!M219, 1),"Bat Voltage", IF(BITWISE_AND('Raw Data'!M219, 2), "Charge Current", IF(BITWISE_AND('Raw Data'!M219, 4),"Input Ilim", IF(BITWISE_AND('Raw Data'!M219, 8), "Input UV", "none"))))</f>
        <v>none</v>
      </c>
    </row>
    <row r="219" spans="1:24" x14ac:dyDescent="0.2">
      <c r="A219" s="15">
        <f>A218+TIME(0,0,'Raw Data'!B219)</f>
        <v>0</v>
      </c>
      <c r="B219" s="4">
        <f>'Raw Data'!C220*0.025</f>
        <v>0</v>
      </c>
      <c r="C219" s="4">
        <f t="shared" si="12"/>
        <v>0</v>
      </c>
      <c r="D219" s="4">
        <f>'Raw Data'!D220*0.025</f>
        <v>0</v>
      </c>
      <c r="E219" s="4">
        <f t="shared" si="13"/>
        <v>0</v>
      </c>
      <c r="F219" s="4">
        <f>'Raw Data'!E220*0.001648</f>
        <v>0</v>
      </c>
      <c r="G219" s="4">
        <f>'Raw Data'!F220*0.001648</f>
        <v>0</v>
      </c>
      <c r="H219" s="4">
        <f>'Raw Data'!G220*6*0.000128176</f>
        <v>0</v>
      </c>
      <c r="I219" s="4">
        <f>'Raw Data'!H220*0.000732435</f>
        <v>0</v>
      </c>
      <c r="J219" s="4">
        <f t="shared" si="11"/>
        <v>0</v>
      </c>
      <c r="K219" s="36">
        <f>IF(('Raw Data'!I220-16384)/32768&lt;0,0,('Raw Data'!I220-16384)/32768)</f>
        <v>0</v>
      </c>
      <c r="L219" s="4">
        <f>IF(('Raw Data'!J220-12010)/45.6=-263.377192982456,0,('Raw Data'!J220-12010)/45.6)</f>
        <v>0</v>
      </c>
      <c r="M219" s="16">
        <f>'Raw Data'!N220*2^-8</f>
        <v>0</v>
      </c>
      <c r="N219" s="16">
        <f>'Raw Data'!O220*2^-8</f>
        <v>0</v>
      </c>
      <c r="O219" s="17" t="str">
        <f>IF(BITWISE_AND('Raw Data'!$K220, 8192),"X","")</f>
        <v/>
      </c>
      <c r="P219" s="17" t="str">
        <f>IF(BITWISE_AND('Raw Data'!$K220, 2048),"X","")</f>
        <v/>
      </c>
      <c r="Q219" s="17" t="str">
        <f>IF(BITWISE_AND('Raw Data'!$K220, 64),"X","")</f>
        <v/>
      </c>
      <c r="R219" s="18" t="str">
        <f>IF(BITWISE_AND('Raw Data'!$L220, 1024),"X","")</f>
        <v/>
      </c>
      <c r="S219" s="18" t="str">
        <f>IF(BITWISE_AND('Raw Data'!$L220, 512),"X","")</f>
        <v/>
      </c>
      <c r="T219" s="18" t="str">
        <f>IF(BITWISE_AND('Raw Data'!$L220, 256),"X","")</f>
        <v/>
      </c>
      <c r="U219" s="18" t="str">
        <f>IF(BITWISE_AND('Raw Data'!$L220, 64),"X","")</f>
        <v/>
      </c>
      <c r="V219" s="18" t="str">
        <f>IF(BITWISE_AND('Raw Data'!$L220, 2),"X","")</f>
        <v/>
      </c>
      <c r="W219" s="18" t="str">
        <f>IF(BITWISE_AND('Raw Data'!$L220, 1),"X","")</f>
        <v/>
      </c>
      <c r="X219" s="19" t="str">
        <f>IF(BITWISE_AND('Raw Data'!M220, 1),"Bat Voltage", IF(BITWISE_AND('Raw Data'!M220, 2), "Charge Current", IF(BITWISE_AND('Raw Data'!M220, 4),"Input Ilim", IF(BITWISE_AND('Raw Data'!M220, 8), "Input UV", "none"))))</f>
        <v>none</v>
      </c>
    </row>
    <row r="220" spans="1:24" x14ac:dyDescent="0.2">
      <c r="A220" s="15">
        <f>A219+TIME(0,0,'Raw Data'!B220)</f>
        <v>0</v>
      </c>
      <c r="B220" s="4">
        <f>'Raw Data'!C221*0.025</f>
        <v>0</v>
      </c>
      <c r="C220" s="4">
        <f t="shared" si="12"/>
        <v>0</v>
      </c>
      <c r="D220" s="4">
        <f>'Raw Data'!D221*0.025</f>
        <v>0</v>
      </c>
      <c r="E220" s="4">
        <f t="shared" si="13"/>
        <v>0</v>
      </c>
      <c r="F220" s="4">
        <f>'Raw Data'!E221*0.001648</f>
        <v>0</v>
      </c>
      <c r="G220" s="4">
        <f>'Raw Data'!F221*0.001648</f>
        <v>0</v>
      </c>
      <c r="H220" s="4">
        <f>'Raw Data'!G221*6*0.000128176</f>
        <v>0</v>
      </c>
      <c r="I220" s="4">
        <f>'Raw Data'!H221*0.000732435</f>
        <v>0</v>
      </c>
      <c r="J220" s="4">
        <f t="shared" si="11"/>
        <v>0</v>
      </c>
      <c r="K220" s="36">
        <f>IF(('Raw Data'!I221-16384)/32768&lt;0,0,('Raw Data'!I221-16384)/32768)</f>
        <v>0</v>
      </c>
      <c r="L220" s="4">
        <f>IF(('Raw Data'!J221-12010)/45.6=-263.377192982456,0,('Raw Data'!J221-12010)/45.6)</f>
        <v>0</v>
      </c>
      <c r="M220" s="16">
        <f>'Raw Data'!N221*2^-8</f>
        <v>0</v>
      </c>
      <c r="N220" s="16">
        <f>'Raw Data'!O221*2^-8</f>
        <v>0</v>
      </c>
      <c r="O220" s="17" t="str">
        <f>IF(BITWISE_AND('Raw Data'!$K221, 8192),"X","")</f>
        <v/>
      </c>
      <c r="P220" s="17" t="str">
        <f>IF(BITWISE_AND('Raw Data'!$K221, 2048),"X","")</f>
        <v/>
      </c>
      <c r="Q220" s="17" t="str">
        <f>IF(BITWISE_AND('Raw Data'!$K221, 64),"X","")</f>
        <v/>
      </c>
      <c r="R220" s="18" t="str">
        <f>IF(BITWISE_AND('Raw Data'!$L221, 1024),"X","")</f>
        <v/>
      </c>
      <c r="S220" s="18" t="str">
        <f>IF(BITWISE_AND('Raw Data'!$L221, 512),"X","")</f>
        <v/>
      </c>
      <c r="T220" s="18" t="str">
        <f>IF(BITWISE_AND('Raw Data'!$L221, 256),"X","")</f>
        <v/>
      </c>
      <c r="U220" s="18" t="str">
        <f>IF(BITWISE_AND('Raw Data'!$L221, 64),"X","")</f>
        <v/>
      </c>
      <c r="V220" s="18" t="str">
        <f>IF(BITWISE_AND('Raw Data'!$L221, 2),"X","")</f>
        <v/>
      </c>
      <c r="W220" s="18" t="str">
        <f>IF(BITWISE_AND('Raw Data'!$L221, 1),"X","")</f>
        <v/>
      </c>
      <c r="X220" s="19" t="str">
        <f>IF(BITWISE_AND('Raw Data'!M221, 1),"Bat Voltage", IF(BITWISE_AND('Raw Data'!M221, 2), "Charge Current", IF(BITWISE_AND('Raw Data'!M221, 4),"Input Ilim", IF(BITWISE_AND('Raw Data'!M221, 8), "Input UV", "none"))))</f>
        <v>none</v>
      </c>
    </row>
    <row r="221" spans="1:24" x14ac:dyDescent="0.2">
      <c r="A221" s="15">
        <f>A220+TIME(0,0,'Raw Data'!B221)</f>
        <v>0</v>
      </c>
      <c r="B221" s="4">
        <f>'Raw Data'!C222*0.025</f>
        <v>0</v>
      </c>
      <c r="C221" s="4">
        <f t="shared" si="12"/>
        <v>0</v>
      </c>
      <c r="D221" s="4">
        <f>'Raw Data'!D222*0.025</f>
        <v>0</v>
      </c>
      <c r="E221" s="4">
        <f t="shared" si="13"/>
        <v>0</v>
      </c>
      <c r="F221" s="4">
        <f>'Raw Data'!E222*0.001648</f>
        <v>0</v>
      </c>
      <c r="G221" s="4">
        <f>'Raw Data'!F222*0.001648</f>
        <v>0</v>
      </c>
      <c r="H221" s="4">
        <f>'Raw Data'!G222*6*0.000128176</f>
        <v>0</v>
      </c>
      <c r="I221" s="4">
        <f>'Raw Data'!H222*0.000732435</f>
        <v>0</v>
      </c>
      <c r="J221" s="4">
        <f t="shared" si="11"/>
        <v>0</v>
      </c>
      <c r="K221" s="36">
        <f>IF(('Raw Data'!I222-16384)/32768&lt;0,0,('Raw Data'!I222-16384)/32768)</f>
        <v>0</v>
      </c>
      <c r="L221" s="4">
        <f>IF(('Raw Data'!J222-12010)/45.6=-263.377192982456,0,('Raw Data'!J222-12010)/45.6)</f>
        <v>0</v>
      </c>
      <c r="M221" s="16">
        <f>'Raw Data'!N222*2^-8</f>
        <v>0</v>
      </c>
      <c r="N221" s="16">
        <f>'Raw Data'!O222*2^-8</f>
        <v>0</v>
      </c>
      <c r="O221" s="17" t="str">
        <f>IF(BITWISE_AND('Raw Data'!$K222, 8192),"X","")</f>
        <v/>
      </c>
      <c r="P221" s="17" t="str">
        <f>IF(BITWISE_AND('Raw Data'!$K222, 2048),"X","")</f>
        <v/>
      </c>
      <c r="Q221" s="17" t="str">
        <f>IF(BITWISE_AND('Raw Data'!$K222, 64),"X","")</f>
        <v/>
      </c>
      <c r="R221" s="18" t="str">
        <f>IF(BITWISE_AND('Raw Data'!$L222, 1024),"X","")</f>
        <v/>
      </c>
      <c r="S221" s="18" t="str">
        <f>IF(BITWISE_AND('Raw Data'!$L222, 512),"X","")</f>
        <v/>
      </c>
      <c r="T221" s="18" t="str">
        <f>IF(BITWISE_AND('Raw Data'!$L222, 256),"X","")</f>
        <v/>
      </c>
      <c r="U221" s="18" t="str">
        <f>IF(BITWISE_AND('Raw Data'!$L222, 64),"X","")</f>
        <v/>
      </c>
      <c r="V221" s="18" t="str">
        <f>IF(BITWISE_AND('Raw Data'!$L222, 2),"X","")</f>
        <v/>
      </c>
      <c r="W221" s="18" t="str">
        <f>IF(BITWISE_AND('Raw Data'!$L222, 1),"X","")</f>
        <v/>
      </c>
      <c r="X221" s="19" t="str">
        <f>IF(BITWISE_AND('Raw Data'!M222, 1),"Bat Voltage", IF(BITWISE_AND('Raw Data'!M222, 2), "Charge Current", IF(BITWISE_AND('Raw Data'!M222, 4),"Input Ilim", IF(BITWISE_AND('Raw Data'!M222, 8), "Input UV", "none"))))</f>
        <v>none</v>
      </c>
    </row>
    <row r="222" spans="1:24" x14ac:dyDescent="0.2">
      <c r="A222" s="15">
        <f>A221+TIME(0,0,'Raw Data'!B222)</f>
        <v>0</v>
      </c>
      <c r="B222" s="4">
        <f>'Raw Data'!C223*0.025</f>
        <v>0</v>
      </c>
      <c r="C222" s="4">
        <f t="shared" si="12"/>
        <v>0</v>
      </c>
      <c r="D222" s="4">
        <f>'Raw Data'!D223*0.025</f>
        <v>0</v>
      </c>
      <c r="E222" s="4">
        <f t="shared" si="13"/>
        <v>0</v>
      </c>
      <c r="F222" s="4">
        <f>'Raw Data'!E223*0.001648</f>
        <v>0</v>
      </c>
      <c r="G222" s="4">
        <f>'Raw Data'!F223*0.001648</f>
        <v>0</v>
      </c>
      <c r="H222" s="4">
        <f>'Raw Data'!G223*6*0.000128176</f>
        <v>0</v>
      </c>
      <c r="I222" s="4">
        <f>'Raw Data'!H223*0.000732435</f>
        <v>0</v>
      </c>
      <c r="J222" s="4">
        <f t="shared" si="11"/>
        <v>0</v>
      </c>
      <c r="K222" s="36">
        <f>IF(('Raw Data'!I223-16384)/32768&lt;0,0,('Raw Data'!I223-16384)/32768)</f>
        <v>0</v>
      </c>
      <c r="L222" s="4">
        <f>IF(('Raw Data'!J223-12010)/45.6=-263.377192982456,0,('Raw Data'!J223-12010)/45.6)</f>
        <v>0</v>
      </c>
      <c r="M222" s="16">
        <f>'Raw Data'!N223*2^-8</f>
        <v>0</v>
      </c>
      <c r="N222" s="16">
        <f>'Raw Data'!O223*2^-8</f>
        <v>0</v>
      </c>
      <c r="O222" s="17" t="str">
        <f>IF(BITWISE_AND('Raw Data'!$K223, 8192),"X","")</f>
        <v/>
      </c>
      <c r="P222" s="17" t="str">
        <f>IF(BITWISE_AND('Raw Data'!$K223, 2048),"X","")</f>
        <v/>
      </c>
      <c r="Q222" s="17" t="str">
        <f>IF(BITWISE_AND('Raw Data'!$K223, 64),"X","")</f>
        <v/>
      </c>
      <c r="R222" s="18" t="str">
        <f>IF(BITWISE_AND('Raw Data'!$L223, 1024),"X","")</f>
        <v/>
      </c>
      <c r="S222" s="18" t="str">
        <f>IF(BITWISE_AND('Raw Data'!$L223, 512),"X","")</f>
        <v/>
      </c>
      <c r="T222" s="18" t="str">
        <f>IF(BITWISE_AND('Raw Data'!$L223, 256),"X","")</f>
        <v/>
      </c>
      <c r="U222" s="18" t="str">
        <f>IF(BITWISE_AND('Raw Data'!$L223, 64),"X","")</f>
        <v/>
      </c>
      <c r="V222" s="18" t="str">
        <f>IF(BITWISE_AND('Raw Data'!$L223, 2),"X","")</f>
        <v/>
      </c>
      <c r="W222" s="18" t="str">
        <f>IF(BITWISE_AND('Raw Data'!$L223, 1),"X","")</f>
        <v/>
      </c>
      <c r="X222" s="19" t="str">
        <f>IF(BITWISE_AND('Raw Data'!M223, 1),"Bat Voltage", IF(BITWISE_AND('Raw Data'!M223, 2), "Charge Current", IF(BITWISE_AND('Raw Data'!M223, 4),"Input Ilim", IF(BITWISE_AND('Raw Data'!M223, 8), "Input UV", "none"))))</f>
        <v>none</v>
      </c>
    </row>
    <row r="223" spans="1:24" x14ac:dyDescent="0.2">
      <c r="A223" s="15">
        <f>A222+TIME(0,0,'Raw Data'!B223)</f>
        <v>0</v>
      </c>
      <c r="B223" s="4">
        <f>'Raw Data'!C224*0.025</f>
        <v>0</v>
      </c>
      <c r="C223" s="4">
        <f t="shared" si="12"/>
        <v>0</v>
      </c>
      <c r="D223" s="4">
        <f>'Raw Data'!D224*0.025</f>
        <v>0</v>
      </c>
      <c r="E223" s="4">
        <f t="shared" si="13"/>
        <v>0</v>
      </c>
      <c r="F223" s="4">
        <f>'Raw Data'!E224*0.001648</f>
        <v>0</v>
      </c>
      <c r="G223" s="4">
        <f>'Raw Data'!F224*0.001648</f>
        <v>0</v>
      </c>
      <c r="H223" s="4">
        <f>'Raw Data'!G224*6*0.000128176</f>
        <v>0</v>
      </c>
      <c r="I223" s="4">
        <f>'Raw Data'!H224*0.000732435</f>
        <v>0</v>
      </c>
      <c r="J223" s="4">
        <f t="shared" si="11"/>
        <v>0</v>
      </c>
      <c r="K223" s="36">
        <f>IF(('Raw Data'!I224-16384)/32768&lt;0,0,('Raw Data'!I224-16384)/32768)</f>
        <v>0</v>
      </c>
      <c r="L223" s="4">
        <f>IF(('Raw Data'!J224-12010)/45.6=-263.377192982456,0,('Raw Data'!J224-12010)/45.6)</f>
        <v>0</v>
      </c>
      <c r="M223" s="16">
        <f>'Raw Data'!N224*2^-8</f>
        <v>0</v>
      </c>
      <c r="N223" s="16">
        <f>'Raw Data'!O224*2^-8</f>
        <v>0</v>
      </c>
      <c r="O223" s="17" t="str">
        <f>IF(BITWISE_AND('Raw Data'!$K224, 8192),"X","")</f>
        <v/>
      </c>
      <c r="P223" s="17" t="str">
        <f>IF(BITWISE_AND('Raw Data'!$K224, 2048),"X","")</f>
        <v/>
      </c>
      <c r="Q223" s="17" t="str">
        <f>IF(BITWISE_AND('Raw Data'!$K224, 64),"X","")</f>
        <v/>
      </c>
      <c r="R223" s="18" t="str">
        <f>IF(BITWISE_AND('Raw Data'!$L224, 1024),"X","")</f>
        <v/>
      </c>
      <c r="S223" s="18" t="str">
        <f>IF(BITWISE_AND('Raw Data'!$L224, 512),"X","")</f>
        <v/>
      </c>
      <c r="T223" s="18" t="str">
        <f>IF(BITWISE_AND('Raw Data'!$L224, 256),"X","")</f>
        <v/>
      </c>
      <c r="U223" s="18" t="str">
        <f>IF(BITWISE_AND('Raw Data'!$L224, 64),"X","")</f>
        <v/>
      </c>
      <c r="V223" s="18" t="str">
        <f>IF(BITWISE_AND('Raw Data'!$L224, 2),"X","")</f>
        <v/>
      </c>
      <c r="W223" s="18" t="str">
        <f>IF(BITWISE_AND('Raw Data'!$L224, 1),"X","")</f>
        <v/>
      </c>
      <c r="X223" s="19" t="str">
        <f>IF(BITWISE_AND('Raw Data'!M224, 1),"Bat Voltage", IF(BITWISE_AND('Raw Data'!M224, 2), "Charge Current", IF(BITWISE_AND('Raw Data'!M224, 4),"Input Ilim", IF(BITWISE_AND('Raw Data'!M224, 8), "Input UV", "none"))))</f>
        <v>none</v>
      </c>
    </row>
    <row r="224" spans="1:24" x14ac:dyDescent="0.2">
      <c r="A224" s="15">
        <f>A223+TIME(0,0,'Raw Data'!B224)</f>
        <v>0</v>
      </c>
      <c r="B224" s="4">
        <f>'Raw Data'!C225*0.025</f>
        <v>0</v>
      </c>
      <c r="C224" s="4">
        <f t="shared" si="12"/>
        <v>0</v>
      </c>
      <c r="D224" s="4">
        <f>'Raw Data'!D225*0.025</f>
        <v>0</v>
      </c>
      <c r="E224" s="4">
        <f t="shared" si="13"/>
        <v>0</v>
      </c>
      <c r="F224" s="4">
        <f>'Raw Data'!E225*0.001648</f>
        <v>0</v>
      </c>
      <c r="G224" s="4">
        <f>'Raw Data'!F225*0.001648</f>
        <v>0</v>
      </c>
      <c r="H224" s="4">
        <f>'Raw Data'!G225*6*0.000128176</f>
        <v>0</v>
      </c>
      <c r="I224" s="4">
        <f>'Raw Data'!H225*0.000732435</f>
        <v>0</v>
      </c>
      <c r="J224" s="4">
        <f t="shared" si="11"/>
        <v>0</v>
      </c>
      <c r="K224" s="36">
        <f>IF(('Raw Data'!I225-16384)/32768&lt;0,0,('Raw Data'!I225-16384)/32768)</f>
        <v>0</v>
      </c>
      <c r="L224" s="4">
        <f>IF(('Raw Data'!J225-12010)/45.6=-263.377192982456,0,('Raw Data'!J225-12010)/45.6)</f>
        <v>0</v>
      </c>
      <c r="M224" s="16">
        <f>'Raw Data'!N225*2^-8</f>
        <v>0</v>
      </c>
      <c r="N224" s="16">
        <f>'Raw Data'!O225*2^-8</f>
        <v>0</v>
      </c>
      <c r="O224" s="17" t="str">
        <f>IF(BITWISE_AND('Raw Data'!$K225, 8192),"X","")</f>
        <v/>
      </c>
      <c r="P224" s="17" t="str">
        <f>IF(BITWISE_AND('Raw Data'!$K225, 2048),"X","")</f>
        <v/>
      </c>
      <c r="Q224" s="17" t="str">
        <f>IF(BITWISE_AND('Raw Data'!$K225, 64),"X","")</f>
        <v/>
      </c>
      <c r="R224" s="18" t="str">
        <f>IF(BITWISE_AND('Raw Data'!$L225, 1024),"X","")</f>
        <v/>
      </c>
      <c r="S224" s="18" t="str">
        <f>IF(BITWISE_AND('Raw Data'!$L225, 512),"X","")</f>
        <v/>
      </c>
      <c r="T224" s="18" t="str">
        <f>IF(BITWISE_AND('Raw Data'!$L225, 256),"X","")</f>
        <v/>
      </c>
      <c r="U224" s="18" t="str">
        <f>IF(BITWISE_AND('Raw Data'!$L225, 64),"X","")</f>
        <v/>
      </c>
      <c r="V224" s="18" t="str">
        <f>IF(BITWISE_AND('Raw Data'!$L225, 2),"X","")</f>
        <v/>
      </c>
      <c r="W224" s="18" t="str">
        <f>IF(BITWISE_AND('Raw Data'!$L225, 1),"X","")</f>
        <v/>
      </c>
      <c r="X224" s="19" t="str">
        <f>IF(BITWISE_AND('Raw Data'!M225, 1),"Bat Voltage", IF(BITWISE_AND('Raw Data'!M225, 2), "Charge Current", IF(BITWISE_AND('Raw Data'!M225, 4),"Input Ilim", IF(BITWISE_AND('Raw Data'!M225, 8), "Input UV", "none"))))</f>
        <v>none</v>
      </c>
    </row>
    <row r="225" spans="1:24" x14ac:dyDescent="0.2">
      <c r="A225" s="15">
        <f>A224+TIME(0,0,'Raw Data'!B225)</f>
        <v>0</v>
      </c>
      <c r="B225" s="4">
        <f>'Raw Data'!C226*0.025</f>
        <v>0</v>
      </c>
      <c r="C225" s="4">
        <f t="shared" si="12"/>
        <v>0</v>
      </c>
      <c r="D225" s="4">
        <f>'Raw Data'!D226*0.025</f>
        <v>0</v>
      </c>
      <c r="E225" s="4">
        <f t="shared" si="13"/>
        <v>0</v>
      </c>
      <c r="F225" s="4">
        <f>'Raw Data'!E226*0.001648</f>
        <v>0</v>
      </c>
      <c r="G225" s="4">
        <f>'Raw Data'!F226*0.001648</f>
        <v>0</v>
      </c>
      <c r="H225" s="4">
        <f>'Raw Data'!G226*6*0.000128176</f>
        <v>0</v>
      </c>
      <c r="I225" s="4">
        <f>'Raw Data'!H226*0.000732435</f>
        <v>0</v>
      </c>
      <c r="J225" s="4">
        <f t="shared" si="11"/>
        <v>0</v>
      </c>
      <c r="K225" s="36">
        <f>IF(('Raw Data'!I226-16384)/32768&lt;0,0,('Raw Data'!I226-16384)/32768)</f>
        <v>0</v>
      </c>
      <c r="L225" s="4">
        <f>IF(('Raw Data'!J226-12010)/45.6=-263.377192982456,0,('Raw Data'!J226-12010)/45.6)</f>
        <v>0</v>
      </c>
      <c r="M225" s="16">
        <f>'Raw Data'!N226*2^-8</f>
        <v>0</v>
      </c>
      <c r="N225" s="16">
        <f>'Raw Data'!O226*2^-8</f>
        <v>0</v>
      </c>
      <c r="O225" s="17" t="str">
        <f>IF(BITWISE_AND('Raw Data'!$K226, 8192),"X","")</f>
        <v/>
      </c>
      <c r="P225" s="17" t="str">
        <f>IF(BITWISE_AND('Raw Data'!$K226, 2048),"X","")</f>
        <v/>
      </c>
      <c r="Q225" s="17" t="str">
        <f>IF(BITWISE_AND('Raw Data'!$K226, 64),"X","")</f>
        <v/>
      </c>
      <c r="R225" s="18" t="str">
        <f>IF(BITWISE_AND('Raw Data'!$L226, 1024),"X","")</f>
        <v/>
      </c>
      <c r="S225" s="18" t="str">
        <f>IF(BITWISE_AND('Raw Data'!$L226, 512),"X","")</f>
        <v/>
      </c>
      <c r="T225" s="18" t="str">
        <f>IF(BITWISE_AND('Raw Data'!$L226, 256),"X","")</f>
        <v/>
      </c>
      <c r="U225" s="18" t="str">
        <f>IF(BITWISE_AND('Raw Data'!$L226, 64),"X","")</f>
        <v/>
      </c>
      <c r="V225" s="18" t="str">
        <f>IF(BITWISE_AND('Raw Data'!$L226, 2),"X","")</f>
        <v/>
      </c>
      <c r="W225" s="18" t="str">
        <f>IF(BITWISE_AND('Raw Data'!$L226, 1),"X","")</f>
        <v/>
      </c>
      <c r="X225" s="19" t="str">
        <f>IF(BITWISE_AND('Raw Data'!M226, 1),"Bat Voltage", IF(BITWISE_AND('Raw Data'!M226, 2), "Charge Current", IF(BITWISE_AND('Raw Data'!M226, 4),"Input Ilim", IF(BITWISE_AND('Raw Data'!M226, 8), "Input UV", "none"))))</f>
        <v>none</v>
      </c>
    </row>
    <row r="226" spans="1:24" x14ac:dyDescent="0.2">
      <c r="A226" s="15">
        <f>A225+TIME(0,0,'Raw Data'!B226)</f>
        <v>0</v>
      </c>
      <c r="B226" s="4">
        <f>'Raw Data'!C227*0.025</f>
        <v>0</v>
      </c>
      <c r="C226" s="4">
        <f t="shared" si="12"/>
        <v>0</v>
      </c>
      <c r="D226" s="4">
        <f>'Raw Data'!D227*0.025</f>
        <v>0</v>
      </c>
      <c r="E226" s="4">
        <f t="shared" si="13"/>
        <v>0</v>
      </c>
      <c r="F226" s="4">
        <f>'Raw Data'!E227*0.001648</f>
        <v>0</v>
      </c>
      <c r="G226" s="4">
        <f>'Raw Data'!F227*0.001648</f>
        <v>0</v>
      </c>
      <c r="H226" s="4">
        <f>'Raw Data'!G227*6*0.000128176</f>
        <v>0</v>
      </c>
      <c r="I226" s="4">
        <f>'Raw Data'!H227*0.000732435</f>
        <v>0</v>
      </c>
      <c r="J226" s="4">
        <f t="shared" si="11"/>
        <v>0</v>
      </c>
      <c r="K226" s="36">
        <f>IF(('Raw Data'!I227-16384)/32768&lt;0,0,('Raw Data'!I227-16384)/32768)</f>
        <v>0</v>
      </c>
      <c r="L226" s="4">
        <f>IF(('Raw Data'!J227-12010)/45.6=-263.377192982456,0,('Raw Data'!J227-12010)/45.6)</f>
        <v>0</v>
      </c>
      <c r="M226" s="16">
        <f>'Raw Data'!N227*2^-8</f>
        <v>0</v>
      </c>
      <c r="N226" s="16">
        <f>'Raw Data'!O227*2^-8</f>
        <v>0</v>
      </c>
      <c r="O226" s="17" t="str">
        <f>IF(BITWISE_AND('Raw Data'!$K227, 8192),"X","")</f>
        <v/>
      </c>
      <c r="P226" s="17" t="str">
        <f>IF(BITWISE_AND('Raw Data'!$K227, 2048),"X","")</f>
        <v/>
      </c>
      <c r="Q226" s="17" t="str">
        <f>IF(BITWISE_AND('Raw Data'!$K227, 64),"X","")</f>
        <v/>
      </c>
      <c r="R226" s="18" t="str">
        <f>IF(BITWISE_AND('Raw Data'!$L227, 1024),"X","")</f>
        <v/>
      </c>
      <c r="S226" s="18" t="str">
        <f>IF(BITWISE_AND('Raw Data'!$L227, 512),"X","")</f>
        <v/>
      </c>
      <c r="T226" s="18" t="str">
        <f>IF(BITWISE_AND('Raw Data'!$L227, 256),"X","")</f>
        <v/>
      </c>
      <c r="U226" s="18" t="str">
        <f>IF(BITWISE_AND('Raw Data'!$L227, 64),"X","")</f>
        <v/>
      </c>
      <c r="V226" s="18" t="str">
        <f>IF(BITWISE_AND('Raw Data'!$L227, 2),"X","")</f>
        <v/>
      </c>
      <c r="W226" s="18" t="str">
        <f>IF(BITWISE_AND('Raw Data'!$L227, 1),"X","")</f>
        <v/>
      </c>
      <c r="X226" s="19" t="str">
        <f>IF(BITWISE_AND('Raw Data'!M227, 1),"Bat Voltage", IF(BITWISE_AND('Raw Data'!M227, 2), "Charge Current", IF(BITWISE_AND('Raw Data'!M227, 4),"Input Ilim", IF(BITWISE_AND('Raw Data'!M227, 8), "Input UV", "none"))))</f>
        <v>none</v>
      </c>
    </row>
    <row r="227" spans="1:24" x14ac:dyDescent="0.2">
      <c r="A227" s="15">
        <f>A226+TIME(0,0,'Raw Data'!B227)</f>
        <v>0</v>
      </c>
      <c r="B227" s="4">
        <f>'Raw Data'!C228*0.025</f>
        <v>0</v>
      </c>
      <c r="C227" s="4">
        <f t="shared" si="12"/>
        <v>0</v>
      </c>
      <c r="D227" s="4">
        <f>'Raw Data'!D228*0.025</f>
        <v>0</v>
      </c>
      <c r="E227" s="4">
        <f t="shared" si="13"/>
        <v>0</v>
      </c>
      <c r="F227" s="4">
        <f>'Raw Data'!E228*0.001648</f>
        <v>0</v>
      </c>
      <c r="G227" s="4">
        <f>'Raw Data'!F228*0.001648</f>
        <v>0</v>
      </c>
      <c r="H227" s="4">
        <f>'Raw Data'!G228*6*0.000128176</f>
        <v>0</v>
      </c>
      <c r="I227" s="4">
        <f>'Raw Data'!H228*0.000732435</f>
        <v>0</v>
      </c>
      <c r="J227" s="4">
        <f t="shared" si="11"/>
        <v>0</v>
      </c>
      <c r="K227" s="36">
        <f>IF(('Raw Data'!I228-16384)/32768&lt;0,0,('Raw Data'!I228-16384)/32768)</f>
        <v>0</v>
      </c>
      <c r="L227" s="4">
        <f>IF(('Raw Data'!J228-12010)/45.6=-263.377192982456,0,('Raw Data'!J228-12010)/45.6)</f>
        <v>0</v>
      </c>
      <c r="M227" s="16">
        <f>'Raw Data'!N228*2^-8</f>
        <v>0</v>
      </c>
      <c r="N227" s="16">
        <f>'Raw Data'!O228*2^-8</f>
        <v>0</v>
      </c>
      <c r="O227" s="17" t="str">
        <f>IF(BITWISE_AND('Raw Data'!$K228, 8192),"X","")</f>
        <v/>
      </c>
      <c r="P227" s="17" t="str">
        <f>IF(BITWISE_AND('Raw Data'!$K228, 2048),"X","")</f>
        <v/>
      </c>
      <c r="Q227" s="17" t="str">
        <f>IF(BITWISE_AND('Raw Data'!$K228, 64),"X","")</f>
        <v/>
      </c>
      <c r="R227" s="18" t="str">
        <f>IF(BITWISE_AND('Raw Data'!$L228, 1024),"X","")</f>
        <v/>
      </c>
      <c r="S227" s="18" t="str">
        <f>IF(BITWISE_AND('Raw Data'!$L228, 512),"X","")</f>
        <v/>
      </c>
      <c r="T227" s="18" t="str">
        <f>IF(BITWISE_AND('Raw Data'!$L228, 256),"X","")</f>
        <v/>
      </c>
      <c r="U227" s="18" t="str">
        <f>IF(BITWISE_AND('Raw Data'!$L228, 64),"X","")</f>
        <v/>
      </c>
      <c r="V227" s="18" t="str">
        <f>IF(BITWISE_AND('Raw Data'!$L228, 2),"X","")</f>
        <v/>
      </c>
      <c r="W227" s="18" t="str">
        <f>IF(BITWISE_AND('Raw Data'!$L228, 1),"X","")</f>
        <v/>
      </c>
      <c r="X227" s="19" t="str">
        <f>IF(BITWISE_AND('Raw Data'!M228, 1),"Bat Voltage", IF(BITWISE_AND('Raw Data'!M228, 2), "Charge Current", IF(BITWISE_AND('Raw Data'!M228, 4),"Input Ilim", IF(BITWISE_AND('Raw Data'!M228, 8), "Input UV", "none"))))</f>
        <v>none</v>
      </c>
    </row>
    <row r="228" spans="1:24" x14ac:dyDescent="0.2">
      <c r="A228" s="15">
        <f>A227+TIME(0,0,'Raw Data'!B228)</f>
        <v>0</v>
      </c>
      <c r="B228" s="4">
        <f>'Raw Data'!C229*0.025</f>
        <v>0</v>
      </c>
      <c r="C228" s="4">
        <f t="shared" si="12"/>
        <v>0</v>
      </c>
      <c r="D228" s="4">
        <f>'Raw Data'!D229*0.025</f>
        <v>0</v>
      </c>
      <c r="E228" s="4">
        <f t="shared" si="13"/>
        <v>0</v>
      </c>
      <c r="F228" s="4">
        <f>'Raw Data'!E229*0.001648</f>
        <v>0</v>
      </c>
      <c r="G228" s="4">
        <f>'Raw Data'!F229*0.001648</f>
        <v>0</v>
      </c>
      <c r="H228" s="4">
        <f>'Raw Data'!G229*6*0.000128176</f>
        <v>0</v>
      </c>
      <c r="I228" s="4">
        <f>'Raw Data'!H229*0.000732435</f>
        <v>0</v>
      </c>
      <c r="J228" s="4">
        <f t="shared" si="11"/>
        <v>0</v>
      </c>
      <c r="K228" s="36">
        <f>IF(('Raw Data'!I229-16384)/32768&lt;0,0,('Raw Data'!I229-16384)/32768)</f>
        <v>0</v>
      </c>
      <c r="L228" s="4">
        <f>IF(('Raw Data'!J229-12010)/45.6=-263.377192982456,0,('Raw Data'!J229-12010)/45.6)</f>
        <v>0</v>
      </c>
      <c r="M228" s="16">
        <f>'Raw Data'!N229*2^-8</f>
        <v>0</v>
      </c>
      <c r="N228" s="16">
        <f>'Raw Data'!O229*2^-8</f>
        <v>0</v>
      </c>
      <c r="O228" s="17" t="str">
        <f>IF(BITWISE_AND('Raw Data'!$K229, 8192),"X","")</f>
        <v/>
      </c>
      <c r="P228" s="17" t="str">
        <f>IF(BITWISE_AND('Raw Data'!$K229, 2048),"X","")</f>
        <v/>
      </c>
      <c r="Q228" s="17" t="str">
        <f>IF(BITWISE_AND('Raw Data'!$K229, 64),"X","")</f>
        <v/>
      </c>
      <c r="R228" s="18" t="str">
        <f>IF(BITWISE_AND('Raw Data'!$L229, 1024),"X","")</f>
        <v/>
      </c>
      <c r="S228" s="18" t="str">
        <f>IF(BITWISE_AND('Raw Data'!$L229, 512),"X","")</f>
        <v/>
      </c>
      <c r="T228" s="18" t="str">
        <f>IF(BITWISE_AND('Raw Data'!$L229, 256),"X","")</f>
        <v/>
      </c>
      <c r="U228" s="18" t="str">
        <f>IF(BITWISE_AND('Raw Data'!$L229, 64),"X","")</f>
        <v/>
      </c>
      <c r="V228" s="18" t="str">
        <f>IF(BITWISE_AND('Raw Data'!$L229, 2),"X","")</f>
        <v/>
      </c>
      <c r="W228" s="18" t="str">
        <f>IF(BITWISE_AND('Raw Data'!$L229, 1),"X","")</f>
        <v/>
      </c>
      <c r="X228" s="19" t="str">
        <f>IF(BITWISE_AND('Raw Data'!M229, 1),"Bat Voltage", IF(BITWISE_AND('Raw Data'!M229, 2), "Charge Current", IF(BITWISE_AND('Raw Data'!M229, 4),"Input Ilim", IF(BITWISE_AND('Raw Data'!M229, 8), "Input UV", "none"))))</f>
        <v>none</v>
      </c>
    </row>
    <row r="229" spans="1:24" x14ac:dyDescent="0.2">
      <c r="A229" s="15">
        <f>A228+TIME(0,0,'Raw Data'!B229)</f>
        <v>0</v>
      </c>
      <c r="B229" s="4">
        <f>'Raw Data'!C230*0.025</f>
        <v>0</v>
      </c>
      <c r="C229" s="4">
        <f t="shared" si="12"/>
        <v>0</v>
      </c>
      <c r="D229" s="4">
        <f>'Raw Data'!D230*0.025</f>
        <v>0</v>
      </c>
      <c r="E229" s="4">
        <f t="shared" si="13"/>
        <v>0</v>
      </c>
      <c r="F229" s="4">
        <f>'Raw Data'!E230*0.001648</f>
        <v>0</v>
      </c>
      <c r="G229" s="4">
        <f>'Raw Data'!F230*0.001648</f>
        <v>0</v>
      </c>
      <c r="H229" s="4">
        <f>'Raw Data'!G230*6*0.000128176</f>
        <v>0</v>
      </c>
      <c r="I229" s="4">
        <f>'Raw Data'!H230*0.000732435</f>
        <v>0</v>
      </c>
      <c r="J229" s="4">
        <f t="shared" si="11"/>
        <v>0</v>
      </c>
      <c r="K229" s="36">
        <f>IF(('Raw Data'!I230-16384)/32768&lt;0,0,('Raw Data'!I230-16384)/32768)</f>
        <v>0</v>
      </c>
      <c r="L229" s="4">
        <f>IF(('Raw Data'!J230-12010)/45.6=-263.377192982456,0,('Raw Data'!J230-12010)/45.6)</f>
        <v>0</v>
      </c>
      <c r="M229" s="16">
        <f>'Raw Data'!N230*2^-8</f>
        <v>0</v>
      </c>
      <c r="N229" s="16">
        <f>'Raw Data'!O230*2^-8</f>
        <v>0</v>
      </c>
      <c r="O229" s="17" t="str">
        <f>IF(BITWISE_AND('Raw Data'!$K230, 8192),"X","")</f>
        <v/>
      </c>
      <c r="P229" s="17" t="str">
        <f>IF(BITWISE_AND('Raw Data'!$K230, 2048),"X","")</f>
        <v/>
      </c>
      <c r="Q229" s="17" t="str">
        <f>IF(BITWISE_AND('Raw Data'!$K230, 64),"X","")</f>
        <v/>
      </c>
      <c r="R229" s="18" t="str">
        <f>IF(BITWISE_AND('Raw Data'!$L230, 1024),"X","")</f>
        <v/>
      </c>
      <c r="S229" s="18" t="str">
        <f>IF(BITWISE_AND('Raw Data'!$L230, 512),"X","")</f>
        <v/>
      </c>
      <c r="T229" s="18" t="str">
        <f>IF(BITWISE_AND('Raw Data'!$L230, 256),"X","")</f>
        <v/>
      </c>
      <c r="U229" s="18" t="str">
        <f>IF(BITWISE_AND('Raw Data'!$L230, 64),"X","")</f>
        <v/>
      </c>
      <c r="V229" s="18" t="str">
        <f>IF(BITWISE_AND('Raw Data'!$L230, 2),"X","")</f>
        <v/>
      </c>
      <c r="W229" s="18" t="str">
        <f>IF(BITWISE_AND('Raw Data'!$L230, 1),"X","")</f>
        <v/>
      </c>
      <c r="X229" s="19" t="str">
        <f>IF(BITWISE_AND('Raw Data'!M230, 1),"Bat Voltage", IF(BITWISE_AND('Raw Data'!M230, 2), "Charge Current", IF(BITWISE_AND('Raw Data'!M230, 4),"Input Ilim", IF(BITWISE_AND('Raw Data'!M230, 8), "Input UV", "none"))))</f>
        <v>none</v>
      </c>
    </row>
    <row r="230" spans="1:24" x14ac:dyDescent="0.2">
      <c r="A230" s="15">
        <f>A229+TIME(0,0,'Raw Data'!B230)</f>
        <v>0</v>
      </c>
      <c r="B230" s="4">
        <f>'Raw Data'!C231*0.025</f>
        <v>0</v>
      </c>
      <c r="C230" s="4">
        <f t="shared" si="12"/>
        <v>0</v>
      </c>
      <c r="D230" s="4">
        <f>'Raw Data'!D231*0.025</f>
        <v>0</v>
      </c>
      <c r="E230" s="4">
        <f t="shared" si="13"/>
        <v>0</v>
      </c>
      <c r="F230" s="4">
        <f>'Raw Data'!E231*0.001648</f>
        <v>0</v>
      </c>
      <c r="G230" s="4">
        <f>'Raw Data'!F231*0.001648</f>
        <v>0</v>
      </c>
      <c r="H230" s="4">
        <f>'Raw Data'!G231*6*0.000128176</f>
        <v>0</v>
      </c>
      <c r="I230" s="4">
        <f>'Raw Data'!H231*0.000732435</f>
        <v>0</v>
      </c>
      <c r="J230" s="4">
        <f t="shared" si="11"/>
        <v>0</v>
      </c>
      <c r="K230" s="36">
        <f>IF(('Raw Data'!I231-16384)/32768&lt;0,0,('Raw Data'!I231-16384)/32768)</f>
        <v>0</v>
      </c>
      <c r="L230" s="4">
        <f>IF(('Raw Data'!J231-12010)/45.6=-263.377192982456,0,('Raw Data'!J231-12010)/45.6)</f>
        <v>0</v>
      </c>
      <c r="M230" s="16">
        <f>'Raw Data'!N231*2^-8</f>
        <v>0</v>
      </c>
      <c r="N230" s="16">
        <f>'Raw Data'!O231*2^-8</f>
        <v>0</v>
      </c>
      <c r="O230" s="17" t="str">
        <f>IF(BITWISE_AND('Raw Data'!$K231, 8192),"X","")</f>
        <v/>
      </c>
      <c r="P230" s="17" t="str">
        <f>IF(BITWISE_AND('Raw Data'!$K231, 2048),"X","")</f>
        <v/>
      </c>
      <c r="Q230" s="17" t="str">
        <f>IF(BITWISE_AND('Raw Data'!$K231, 64),"X","")</f>
        <v/>
      </c>
      <c r="R230" s="18" t="str">
        <f>IF(BITWISE_AND('Raw Data'!$L231, 1024),"X","")</f>
        <v/>
      </c>
      <c r="S230" s="18" t="str">
        <f>IF(BITWISE_AND('Raw Data'!$L231, 512),"X","")</f>
        <v/>
      </c>
      <c r="T230" s="18" t="str">
        <f>IF(BITWISE_AND('Raw Data'!$L231, 256),"X","")</f>
        <v/>
      </c>
      <c r="U230" s="18" t="str">
        <f>IF(BITWISE_AND('Raw Data'!$L231, 64),"X","")</f>
        <v/>
      </c>
      <c r="V230" s="18" t="str">
        <f>IF(BITWISE_AND('Raw Data'!$L231, 2),"X","")</f>
        <v/>
      </c>
      <c r="W230" s="18" t="str">
        <f>IF(BITWISE_AND('Raw Data'!$L231, 1),"X","")</f>
        <v/>
      </c>
      <c r="X230" s="19" t="str">
        <f>IF(BITWISE_AND('Raw Data'!M231, 1),"Bat Voltage", IF(BITWISE_AND('Raw Data'!M231, 2), "Charge Current", IF(BITWISE_AND('Raw Data'!M231, 4),"Input Ilim", IF(BITWISE_AND('Raw Data'!M231, 8), "Input UV", "none"))))</f>
        <v>none</v>
      </c>
    </row>
    <row r="231" spans="1:24" x14ac:dyDescent="0.2">
      <c r="A231" s="15">
        <f>A230+TIME(0,0,'Raw Data'!B231)</f>
        <v>0</v>
      </c>
      <c r="B231" s="4">
        <f>'Raw Data'!C232*0.025</f>
        <v>0</v>
      </c>
      <c r="C231" s="4">
        <f t="shared" si="12"/>
        <v>0</v>
      </c>
      <c r="D231" s="4">
        <f>'Raw Data'!D232*0.025</f>
        <v>0</v>
      </c>
      <c r="E231" s="4">
        <f t="shared" si="13"/>
        <v>0</v>
      </c>
      <c r="F231" s="4">
        <f>'Raw Data'!E232*0.001648</f>
        <v>0</v>
      </c>
      <c r="G231" s="4">
        <f>'Raw Data'!F232*0.001648</f>
        <v>0</v>
      </c>
      <c r="H231" s="4">
        <f>'Raw Data'!G232*6*0.000128176</f>
        <v>0</v>
      </c>
      <c r="I231" s="4">
        <f>'Raw Data'!H232*0.000732435</f>
        <v>0</v>
      </c>
      <c r="J231" s="4">
        <f t="shared" si="11"/>
        <v>0</v>
      </c>
      <c r="K231" s="36">
        <f>IF(('Raw Data'!I232-16384)/32768&lt;0,0,('Raw Data'!I232-16384)/32768)</f>
        <v>0</v>
      </c>
      <c r="L231" s="4">
        <f>IF(('Raw Data'!J232-12010)/45.6=-263.377192982456,0,('Raw Data'!J232-12010)/45.6)</f>
        <v>0</v>
      </c>
      <c r="M231" s="16">
        <f>'Raw Data'!N232*2^-8</f>
        <v>0</v>
      </c>
      <c r="N231" s="16">
        <f>'Raw Data'!O232*2^-8</f>
        <v>0</v>
      </c>
      <c r="O231" s="17" t="str">
        <f>IF(BITWISE_AND('Raw Data'!$K232, 8192),"X","")</f>
        <v/>
      </c>
      <c r="P231" s="17" t="str">
        <f>IF(BITWISE_AND('Raw Data'!$K232, 2048),"X","")</f>
        <v/>
      </c>
      <c r="Q231" s="17" t="str">
        <f>IF(BITWISE_AND('Raw Data'!$K232, 64),"X","")</f>
        <v/>
      </c>
      <c r="R231" s="18" t="str">
        <f>IF(BITWISE_AND('Raw Data'!$L232, 1024),"X","")</f>
        <v/>
      </c>
      <c r="S231" s="18" t="str">
        <f>IF(BITWISE_AND('Raw Data'!$L232, 512),"X","")</f>
        <v/>
      </c>
      <c r="T231" s="18" t="str">
        <f>IF(BITWISE_AND('Raw Data'!$L232, 256),"X","")</f>
        <v/>
      </c>
      <c r="U231" s="18" t="str">
        <f>IF(BITWISE_AND('Raw Data'!$L232, 64),"X","")</f>
        <v/>
      </c>
      <c r="V231" s="18" t="str">
        <f>IF(BITWISE_AND('Raw Data'!$L232, 2),"X","")</f>
        <v/>
      </c>
      <c r="W231" s="18" t="str">
        <f>IF(BITWISE_AND('Raw Data'!$L232, 1),"X","")</f>
        <v/>
      </c>
      <c r="X231" s="19" t="str">
        <f>IF(BITWISE_AND('Raw Data'!M232, 1),"Bat Voltage", IF(BITWISE_AND('Raw Data'!M232, 2), "Charge Current", IF(BITWISE_AND('Raw Data'!M232, 4),"Input Ilim", IF(BITWISE_AND('Raw Data'!M232, 8), "Input UV", "none"))))</f>
        <v>none</v>
      </c>
    </row>
    <row r="232" spans="1:24" x14ac:dyDescent="0.2">
      <c r="A232" s="15">
        <f>A231+TIME(0,0,'Raw Data'!B232)</f>
        <v>0</v>
      </c>
      <c r="B232" s="4">
        <f>'Raw Data'!C233*0.025</f>
        <v>0</v>
      </c>
      <c r="C232" s="4">
        <f t="shared" si="12"/>
        <v>0</v>
      </c>
      <c r="D232" s="4">
        <f>'Raw Data'!D233*0.025</f>
        <v>0</v>
      </c>
      <c r="E232" s="4">
        <f t="shared" si="13"/>
        <v>0</v>
      </c>
      <c r="F232" s="4">
        <f>'Raw Data'!E233*0.001648</f>
        <v>0</v>
      </c>
      <c r="G232" s="4">
        <f>'Raw Data'!F233*0.001648</f>
        <v>0</v>
      </c>
      <c r="H232" s="4">
        <f>'Raw Data'!G233*6*0.000128176</f>
        <v>0</v>
      </c>
      <c r="I232" s="4">
        <f>'Raw Data'!H233*0.000732435</f>
        <v>0</v>
      </c>
      <c r="J232" s="4">
        <f t="shared" si="11"/>
        <v>0</v>
      </c>
      <c r="K232" s="36">
        <f>IF(('Raw Data'!I233-16384)/32768&lt;0,0,('Raw Data'!I233-16384)/32768)</f>
        <v>0</v>
      </c>
      <c r="L232" s="4">
        <f>IF(('Raw Data'!J233-12010)/45.6=-263.377192982456,0,('Raw Data'!J233-12010)/45.6)</f>
        <v>0</v>
      </c>
      <c r="M232" s="16">
        <f>'Raw Data'!N233*2^-8</f>
        <v>0</v>
      </c>
      <c r="N232" s="16">
        <f>'Raw Data'!O233*2^-8</f>
        <v>0</v>
      </c>
      <c r="O232" s="17" t="str">
        <f>IF(BITWISE_AND('Raw Data'!$K233, 8192),"X","")</f>
        <v/>
      </c>
      <c r="P232" s="17" t="str">
        <f>IF(BITWISE_AND('Raw Data'!$K233, 2048),"X","")</f>
        <v/>
      </c>
      <c r="Q232" s="17" t="str">
        <f>IF(BITWISE_AND('Raw Data'!$K233, 64),"X","")</f>
        <v/>
      </c>
      <c r="R232" s="18" t="str">
        <f>IF(BITWISE_AND('Raw Data'!$L233, 1024),"X","")</f>
        <v/>
      </c>
      <c r="S232" s="18" t="str">
        <f>IF(BITWISE_AND('Raw Data'!$L233, 512),"X","")</f>
        <v/>
      </c>
      <c r="T232" s="18" t="str">
        <f>IF(BITWISE_AND('Raw Data'!$L233, 256),"X","")</f>
        <v/>
      </c>
      <c r="U232" s="18" t="str">
        <f>IF(BITWISE_AND('Raw Data'!$L233, 64),"X","")</f>
        <v/>
      </c>
      <c r="V232" s="18" t="str">
        <f>IF(BITWISE_AND('Raw Data'!$L233, 2),"X","")</f>
        <v/>
      </c>
      <c r="W232" s="18" t="str">
        <f>IF(BITWISE_AND('Raw Data'!$L233, 1),"X","")</f>
        <v/>
      </c>
      <c r="X232" s="19" t="str">
        <f>IF(BITWISE_AND('Raw Data'!M233, 1),"Bat Voltage", IF(BITWISE_AND('Raw Data'!M233, 2), "Charge Current", IF(BITWISE_AND('Raw Data'!M233, 4),"Input Ilim", IF(BITWISE_AND('Raw Data'!M233, 8), "Input UV", "none"))))</f>
        <v>none</v>
      </c>
    </row>
    <row r="233" spans="1:24" x14ac:dyDescent="0.2">
      <c r="A233" s="15">
        <f>A232+TIME(0,0,'Raw Data'!B233)</f>
        <v>0</v>
      </c>
      <c r="B233" s="4">
        <f>'Raw Data'!C234*0.025</f>
        <v>0</v>
      </c>
      <c r="C233" s="4">
        <f t="shared" si="12"/>
        <v>0</v>
      </c>
      <c r="D233" s="4">
        <f>'Raw Data'!D234*0.025</f>
        <v>0</v>
      </c>
      <c r="E233" s="4">
        <f t="shared" si="13"/>
        <v>0</v>
      </c>
      <c r="F233" s="4">
        <f>'Raw Data'!E234*0.001648</f>
        <v>0</v>
      </c>
      <c r="G233" s="4">
        <f>'Raw Data'!F234*0.001648</f>
        <v>0</v>
      </c>
      <c r="H233" s="4">
        <f>'Raw Data'!G234*6*0.000128176</f>
        <v>0</v>
      </c>
      <c r="I233" s="4">
        <f>'Raw Data'!H234*0.000732435</f>
        <v>0</v>
      </c>
      <c r="J233" s="4">
        <f t="shared" si="11"/>
        <v>0</v>
      </c>
      <c r="K233" s="36">
        <f>IF(('Raw Data'!I234-16384)/32768&lt;0,0,('Raw Data'!I234-16384)/32768)</f>
        <v>0</v>
      </c>
      <c r="L233" s="4">
        <f>IF(('Raw Data'!J234-12010)/45.6=-263.377192982456,0,('Raw Data'!J234-12010)/45.6)</f>
        <v>0</v>
      </c>
      <c r="M233" s="16">
        <f>'Raw Data'!N234*2^-8</f>
        <v>0</v>
      </c>
      <c r="N233" s="16">
        <f>'Raw Data'!O234*2^-8</f>
        <v>0</v>
      </c>
      <c r="O233" s="17" t="str">
        <f>IF(BITWISE_AND('Raw Data'!$K234, 8192),"X","")</f>
        <v/>
      </c>
      <c r="P233" s="17" t="str">
        <f>IF(BITWISE_AND('Raw Data'!$K234, 2048),"X","")</f>
        <v/>
      </c>
      <c r="Q233" s="17" t="str">
        <f>IF(BITWISE_AND('Raw Data'!$K234, 64),"X","")</f>
        <v/>
      </c>
      <c r="R233" s="18" t="str">
        <f>IF(BITWISE_AND('Raw Data'!$L234, 1024),"X","")</f>
        <v/>
      </c>
      <c r="S233" s="18" t="str">
        <f>IF(BITWISE_AND('Raw Data'!$L234, 512),"X","")</f>
        <v/>
      </c>
      <c r="T233" s="18" t="str">
        <f>IF(BITWISE_AND('Raw Data'!$L234, 256),"X","")</f>
        <v/>
      </c>
      <c r="U233" s="18" t="str">
        <f>IF(BITWISE_AND('Raw Data'!$L234, 64),"X","")</f>
        <v/>
      </c>
      <c r="V233" s="18" t="str">
        <f>IF(BITWISE_AND('Raw Data'!$L234, 2),"X","")</f>
        <v/>
      </c>
      <c r="W233" s="18" t="str">
        <f>IF(BITWISE_AND('Raw Data'!$L234, 1),"X","")</f>
        <v/>
      </c>
      <c r="X233" s="19" t="str">
        <f>IF(BITWISE_AND('Raw Data'!M234, 1),"Bat Voltage", IF(BITWISE_AND('Raw Data'!M234, 2), "Charge Current", IF(BITWISE_AND('Raw Data'!M234, 4),"Input Ilim", IF(BITWISE_AND('Raw Data'!M234, 8), "Input UV", "none"))))</f>
        <v>none</v>
      </c>
    </row>
    <row r="234" spans="1:24" x14ac:dyDescent="0.2">
      <c r="A234" s="15">
        <f>A233+TIME(0,0,'Raw Data'!B234)</f>
        <v>0</v>
      </c>
      <c r="B234" s="4">
        <f>'Raw Data'!C235*0.025</f>
        <v>0</v>
      </c>
      <c r="C234" s="4">
        <f t="shared" si="12"/>
        <v>0</v>
      </c>
      <c r="D234" s="4">
        <f>'Raw Data'!D235*0.025</f>
        <v>0</v>
      </c>
      <c r="E234" s="4">
        <f t="shared" si="13"/>
        <v>0</v>
      </c>
      <c r="F234" s="4">
        <f>'Raw Data'!E235*0.001648</f>
        <v>0</v>
      </c>
      <c r="G234" s="4">
        <f>'Raw Data'!F235*0.001648</f>
        <v>0</v>
      </c>
      <c r="H234" s="4">
        <f>'Raw Data'!G235*6*0.000128176</f>
        <v>0</v>
      </c>
      <c r="I234" s="4">
        <f>'Raw Data'!H235*0.000732435</f>
        <v>0</v>
      </c>
      <c r="J234" s="4">
        <f t="shared" si="11"/>
        <v>0</v>
      </c>
      <c r="K234" s="36">
        <f>IF(('Raw Data'!I235-16384)/32768&lt;0,0,('Raw Data'!I235-16384)/32768)</f>
        <v>0</v>
      </c>
      <c r="L234" s="4">
        <f>IF(('Raw Data'!J235-12010)/45.6=-263.377192982456,0,('Raw Data'!J235-12010)/45.6)</f>
        <v>0</v>
      </c>
      <c r="M234" s="16">
        <f>'Raw Data'!N235*2^-8</f>
        <v>0</v>
      </c>
      <c r="N234" s="16">
        <f>'Raw Data'!O235*2^-8</f>
        <v>0</v>
      </c>
      <c r="O234" s="17" t="str">
        <f>IF(BITWISE_AND('Raw Data'!$K235, 8192),"X","")</f>
        <v/>
      </c>
      <c r="P234" s="17" t="str">
        <f>IF(BITWISE_AND('Raw Data'!$K235, 2048),"X","")</f>
        <v/>
      </c>
      <c r="Q234" s="17" t="str">
        <f>IF(BITWISE_AND('Raw Data'!$K235, 64),"X","")</f>
        <v/>
      </c>
      <c r="R234" s="18" t="str">
        <f>IF(BITWISE_AND('Raw Data'!$L235, 1024),"X","")</f>
        <v/>
      </c>
      <c r="S234" s="18" t="str">
        <f>IF(BITWISE_AND('Raw Data'!$L235, 512),"X","")</f>
        <v/>
      </c>
      <c r="T234" s="18" t="str">
        <f>IF(BITWISE_AND('Raw Data'!$L235, 256),"X","")</f>
        <v/>
      </c>
      <c r="U234" s="18" t="str">
        <f>IF(BITWISE_AND('Raw Data'!$L235, 64),"X","")</f>
        <v/>
      </c>
      <c r="V234" s="18" t="str">
        <f>IF(BITWISE_AND('Raw Data'!$L235, 2),"X","")</f>
        <v/>
      </c>
      <c r="W234" s="18" t="str">
        <f>IF(BITWISE_AND('Raw Data'!$L235, 1),"X","")</f>
        <v/>
      </c>
      <c r="X234" s="19" t="str">
        <f>IF(BITWISE_AND('Raw Data'!M235, 1),"Bat Voltage", IF(BITWISE_AND('Raw Data'!M235, 2), "Charge Current", IF(BITWISE_AND('Raw Data'!M235, 4),"Input Ilim", IF(BITWISE_AND('Raw Data'!M235, 8), "Input UV", "none"))))</f>
        <v>none</v>
      </c>
    </row>
    <row r="235" spans="1:24" x14ac:dyDescent="0.2">
      <c r="A235" s="15">
        <f>A234+TIME(0,0,'Raw Data'!B235)</f>
        <v>0</v>
      </c>
      <c r="B235" s="4">
        <f>'Raw Data'!C236*0.025</f>
        <v>0</v>
      </c>
      <c r="C235" s="4">
        <f t="shared" si="12"/>
        <v>0</v>
      </c>
      <c r="D235" s="4">
        <f>'Raw Data'!D236*0.025</f>
        <v>0</v>
      </c>
      <c r="E235" s="4">
        <f t="shared" si="13"/>
        <v>0</v>
      </c>
      <c r="F235" s="4">
        <f>'Raw Data'!E236*0.001648</f>
        <v>0</v>
      </c>
      <c r="G235" s="4">
        <f>'Raw Data'!F236*0.001648</f>
        <v>0</v>
      </c>
      <c r="H235" s="4">
        <f>'Raw Data'!G236*6*0.000128176</f>
        <v>0</v>
      </c>
      <c r="I235" s="4">
        <f>'Raw Data'!H236*0.000732435</f>
        <v>0</v>
      </c>
      <c r="J235" s="4">
        <f t="shared" si="11"/>
        <v>0</v>
      </c>
      <c r="K235" s="36">
        <f>IF(('Raw Data'!I236-16384)/32768&lt;0,0,('Raw Data'!I236-16384)/32768)</f>
        <v>0</v>
      </c>
      <c r="L235" s="4">
        <f>IF(('Raw Data'!J236-12010)/45.6=-263.377192982456,0,('Raw Data'!J236-12010)/45.6)</f>
        <v>0</v>
      </c>
      <c r="M235" s="16">
        <f>'Raw Data'!N236*2^-8</f>
        <v>0</v>
      </c>
      <c r="N235" s="16">
        <f>'Raw Data'!O236*2^-8</f>
        <v>0</v>
      </c>
      <c r="O235" s="17" t="str">
        <f>IF(BITWISE_AND('Raw Data'!$K236, 8192),"X","")</f>
        <v/>
      </c>
      <c r="P235" s="17" t="str">
        <f>IF(BITWISE_AND('Raw Data'!$K236, 2048),"X","")</f>
        <v/>
      </c>
      <c r="Q235" s="17" t="str">
        <f>IF(BITWISE_AND('Raw Data'!$K236, 64),"X","")</f>
        <v/>
      </c>
      <c r="R235" s="18" t="str">
        <f>IF(BITWISE_AND('Raw Data'!$L236, 1024),"X","")</f>
        <v/>
      </c>
      <c r="S235" s="18" t="str">
        <f>IF(BITWISE_AND('Raw Data'!$L236, 512),"X","")</f>
        <v/>
      </c>
      <c r="T235" s="18" t="str">
        <f>IF(BITWISE_AND('Raw Data'!$L236, 256),"X","")</f>
        <v/>
      </c>
      <c r="U235" s="18" t="str">
        <f>IF(BITWISE_AND('Raw Data'!$L236, 64),"X","")</f>
        <v/>
      </c>
      <c r="V235" s="18" t="str">
        <f>IF(BITWISE_AND('Raw Data'!$L236, 2),"X","")</f>
        <v/>
      </c>
      <c r="W235" s="18" t="str">
        <f>IF(BITWISE_AND('Raw Data'!$L236, 1),"X","")</f>
        <v/>
      </c>
      <c r="X235" s="19" t="str">
        <f>IF(BITWISE_AND('Raw Data'!M236, 1),"Bat Voltage", IF(BITWISE_AND('Raw Data'!M236, 2), "Charge Current", IF(BITWISE_AND('Raw Data'!M236, 4),"Input Ilim", IF(BITWISE_AND('Raw Data'!M236, 8), "Input UV", "none"))))</f>
        <v>none</v>
      </c>
    </row>
    <row r="236" spans="1:24" x14ac:dyDescent="0.2">
      <c r="A236" s="15">
        <f>A235+TIME(0,0,'Raw Data'!B236)</f>
        <v>0</v>
      </c>
      <c r="B236" s="4">
        <f>'Raw Data'!C237*0.025</f>
        <v>0</v>
      </c>
      <c r="C236" s="4">
        <f t="shared" si="12"/>
        <v>0</v>
      </c>
      <c r="D236" s="4">
        <f>'Raw Data'!D237*0.025</f>
        <v>0</v>
      </c>
      <c r="E236" s="4">
        <f t="shared" si="13"/>
        <v>0</v>
      </c>
      <c r="F236" s="4">
        <f>'Raw Data'!E237*0.001648</f>
        <v>0</v>
      </c>
      <c r="G236" s="4">
        <f>'Raw Data'!F237*0.001648</f>
        <v>0</v>
      </c>
      <c r="H236" s="4">
        <f>'Raw Data'!G237*6*0.000128176</f>
        <v>0</v>
      </c>
      <c r="I236" s="4">
        <f>'Raw Data'!H237*0.000732435</f>
        <v>0</v>
      </c>
      <c r="J236" s="4">
        <f t="shared" si="11"/>
        <v>0</v>
      </c>
      <c r="K236" s="36">
        <f>IF(('Raw Data'!I237-16384)/32768&lt;0,0,('Raw Data'!I237-16384)/32768)</f>
        <v>0</v>
      </c>
      <c r="L236" s="4">
        <f>IF(('Raw Data'!J237-12010)/45.6=-263.377192982456,0,('Raw Data'!J237-12010)/45.6)</f>
        <v>0</v>
      </c>
      <c r="M236" s="16">
        <f>'Raw Data'!N237*2^-8</f>
        <v>0</v>
      </c>
      <c r="N236" s="16">
        <f>'Raw Data'!O237*2^-8</f>
        <v>0</v>
      </c>
      <c r="O236" s="17" t="str">
        <f>IF(BITWISE_AND('Raw Data'!$K237, 8192),"X","")</f>
        <v/>
      </c>
      <c r="P236" s="17" t="str">
        <f>IF(BITWISE_AND('Raw Data'!$K237, 2048),"X","")</f>
        <v/>
      </c>
      <c r="Q236" s="17" t="str">
        <f>IF(BITWISE_AND('Raw Data'!$K237, 64),"X","")</f>
        <v/>
      </c>
      <c r="R236" s="18" t="str">
        <f>IF(BITWISE_AND('Raw Data'!$L237, 1024),"X","")</f>
        <v/>
      </c>
      <c r="S236" s="18" t="str">
        <f>IF(BITWISE_AND('Raw Data'!$L237, 512),"X","")</f>
        <v/>
      </c>
      <c r="T236" s="18" t="str">
        <f>IF(BITWISE_AND('Raw Data'!$L237, 256),"X","")</f>
        <v/>
      </c>
      <c r="U236" s="18" t="str">
        <f>IF(BITWISE_AND('Raw Data'!$L237, 64),"X","")</f>
        <v/>
      </c>
      <c r="V236" s="18" t="str">
        <f>IF(BITWISE_AND('Raw Data'!$L237, 2),"X","")</f>
        <v/>
      </c>
      <c r="W236" s="18" t="str">
        <f>IF(BITWISE_AND('Raw Data'!$L237, 1),"X","")</f>
        <v/>
      </c>
      <c r="X236" s="19" t="str">
        <f>IF(BITWISE_AND('Raw Data'!M237, 1),"Bat Voltage", IF(BITWISE_AND('Raw Data'!M237, 2), "Charge Current", IF(BITWISE_AND('Raw Data'!M237, 4),"Input Ilim", IF(BITWISE_AND('Raw Data'!M237, 8), "Input UV", "none"))))</f>
        <v>none</v>
      </c>
    </row>
    <row r="237" spans="1:24" x14ac:dyDescent="0.2">
      <c r="A237" s="15">
        <f>A236+TIME(0,0,'Raw Data'!B237)</f>
        <v>0</v>
      </c>
      <c r="B237" s="4">
        <f>'Raw Data'!C238*0.025</f>
        <v>0</v>
      </c>
      <c r="C237" s="4">
        <f t="shared" si="12"/>
        <v>0</v>
      </c>
      <c r="D237" s="4">
        <f>'Raw Data'!D238*0.025</f>
        <v>0</v>
      </c>
      <c r="E237" s="4">
        <f t="shared" si="13"/>
        <v>0</v>
      </c>
      <c r="F237" s="4">
        <f>'Raw Data'!E238*0.001648</f>
        <v>0</v>
      </c>
      <c r="G237" s="4">
        <f>'Raw Data'!F238*0.001648</f>
        <v>0</v>
      </c>
      <c r="H237" s="4">
        <f>'Raw Data'!G238*6*0.000128176</f>
        <v>0</v>
      </c>
      <c r="I237" s="4">
        <f>'Raw Data'!H238*0.000732435</f>
        <v>0</v>
      </c>
      <c r="J237" s="4">
        <f t="shared" si="11"/>
        <v>0</v>
      </c>
      <c r="K237" s="36">
        <f>IF(('Raw Data'!I238-16384)/32768&lt;0,0,('Raw Data'!I238-16384)/32768)</f>
        <v>0</v>
      </c>
      <c r="L237" s="4">
        <f>IF(('Raw Data'!J238-12010)/45.6=-263.377192982456,0,('Raw Data'!J238-12010)/45.6)</f>
        <v>0</v>
      </c>
      <c r="M237" s="16">
        <f>'Raw Data'!N238*2^-8</f>
        <v>0</v>
      </c>
      <c r="N237" s="16">
        <f>'Raw Data'!O238*2^-8</f>
        <v>0</v>
      </c>
      <c r="O237" s="17" t="str">
        <f>IF(BITWISE_AND('Raw Data'!$K238, 8192),"X","")</f>
        <v/>
      </c>
      <c r="P237" s="17" t="str">
        <f>IF(BITWISE_AND('Raw Data'!$K238, 2048),"X","")</f>
        <v/>
      </c>
      <c r="Q237" s="17" t="str">
        <f>IF(BITWISE_AND('Raw Data'!$K238, 64),"X","")</f>
        <v/>
      </c>
      <c r="R237" s="18" t="str">
        <f>IF(BITWISE_AND('Raw Data'!$L238, 1024),"X","")</f>
        <v/>
      </c>
      <c r="S237" s="18" t="str">
        <f>IF(BITWISE_AND('Raw Data'!$L238, 512),"X","")</f>
        <v/>
      </c>
      <c r="T237" s="18" t="str">
        <f>IF(BITWISE_AND('Raw Data'!$L238, 256),"X","")</f>
        <v/>
      </c>
      <c r="U237" s="18" t="str">
        <f>IF(BITWISE_AND('Raw Data'!$L238, 64),"X","")</f>
        <v/>
      </c>
      <c r="V237" s="18" t="str">
        <f>IF(BITWISE_AND('Raw Data'!$L238, 2),"X","")</f>
        <v/>
      </c>
      <c r="W237" s="18" t="str">
        <f>IF(BITWISE_AND('Raw Data'!$L238, 1),"X","")</f>
        <v/>
      </c>
      <c r="X237" s="19" t="str">
        <f>IF(BITWISE_AND('Raw Data'!M238, 1),"Bat Voltage", IF(BITWISE_AND('Raw Data'!M238, 2), "Charge Current", IF(BITWISE_AND('Raw Data'!M238, 4),"Input Ilim", IF(BITWISE_AND('Raw Data'!M238, 8), "Input UV", "none"))))</f>
        <v>none</v>
      </c>
    </row>
    <row r="238" spans="1:24" x14ac:dyDescent="0.2">
      <c r="A238" s="15">
        <f>A237+TIME(0,0,'Raw Data'!B238)</f>
        <v>0</v>
      </c>
      <c r="B238" s="4">
        <f>'Raw Data'!C239*0.025</f>
        <v>0</v>
      </c>
      <c r="C238" s="4">
        <f t="shared" si="12"/>
        <v>0</v>
      </c>
      <c r="D238" s="4">
        <f>'Raw Data'!D239*0.025</f>
        <v>0</v>
      </c>
      <c r="E238" s="4">
        <f t="shared" si="13"/>
        <v>0</v>
      </c>
      <c r="F238" s="4">
        <f>'Raw Data'!E239*0.001648</f>
        <v>0</v>
      </c>
      <c r="G238" s="4">
        <f>'Raw Data'!F239*0.001648</f>
        <v>0</v>
      </c>
      <c r="H238" s="4">
        <f>'Raw Data'!G239*6*0.000128176</f>
        <v>0</v>
      </c>
      <c r="I238" s="4">
        <f>'Raw Data'!H239*0.000732435</f>
        <v>0</v>
      </c>
      <c r="J238" s="4">
        <f t="shared" si="11"/>
        <v>0</v>
      </c>
      <c r="K238" s="36">
        <f>IF(('Raw Data'!I239-16384)/32768&lt;0,0,('Raw Data'!I239-16384)/32768)</f>
        <v>0</v>
      </c>
      <c r="L238" s="4">
        <f>IF(('Raw Data'!J239-12010)/45.6=-263.377192982456,0,('Raw Data'!J239-12010)/45.6)</f>
        <v>0</v>
      </c>
      <c r="M238" s="16">
        <f>'Raw Data'!N239*2^-8</f>
        <v>0</v>
      </c>
      <c r="N238" s="16">
        <f>'Raw Data'!O239*2^-8</f>
        <v>0</v>
      </c>
      <c r="O238" s="17" t="str">
        <f>IF(BITWISE_AND('Raw Data'!$K239, 8192),"X","")</f>
        <v/>
      </c>
      <c r="P238" s="17" t="str">
        <f>IF(BITWISE_AND('Raw Data'!$K239, 2048),"X","")</f>
        <v/>
      </c>
      <c r="Q238" s="17" t="str">
        <f>IF(BITWISE_AND('Raw Data'!$K239, 64),"X","")</f>
        <v/>
      </c>
      <c r="R238" s="18" t="str">
        <f>IF(BITWISE_AND('Raw Data'!$L239, 1024),"X","")</f>
        <v/>
      </c>
      <c r="S238" s="18" t="str">
        <f>IF(BITWISE_AND('Raw Data'!$L239, 512),"X","")</f>
        <v/>
      </c>
      <c r="T238" s="18" t="str">
        <f>IF(BITWISE_AND('Raw Data'!$L239, 256),"X","")</f>
        <v/>
      </c>
      <c r="U238" s="18" t="str">
        <f>IF(BITWISE_AND('Raw Data'!$L239, 64),"X","")</f>
        <v/>
      </c>
      <c r="V238" s="18" t="str">
        <f>IF(BITWISE_AND('Raw Data'!$L239, 2),"X","")</f>
        <v/>
      </c>
      <c r="W238" s="18" t="str">
        <f>IF(BITWISE_AND('Raw Data'!$L239, 1),"X","")</f>
        <v/>
      </c>
      <c r="X238" s="19" t="str">
        <f>IF(BITWISE_AND('Raw Data'!M239, 1),"Bat Voltage", IF(BITWISE_AND('Raw Data'!M239, 2), "Charge Current", IF(BITWISE_AND('Raw Data'!M239, 4),"Input Ilim", IF(BITWISE_AND('Raw Data'!M239, 8), "Input UV", "none"))))</f>
        <v>none</v>
      </c>
    </row>
    <row r="239" spans="1:24" x14ac:dyDescent="0.2">
      <c r="A239" s="15">
        <f>A238+TIME(0,0,'Raw Data'!B239)</f>
        <v>0</v>
      </c>
      <c r="B239" s="4">
        <f>'Raw Data'!C240*0.025</f>
        <v>0</v>
      </c>
      <c r="C239" s="4">
        <f t="shared" si="12"/>
        <v>0</v>
      </c>
      <c r="D239" s="4">
        <f>'Raw Data'!D240*0.025</f>
        <v>0</v>
      </c>
      <c r="E239" s="4">
        <f t="shared" si="13"/>
        <v>0</v>
      </c>
      <c r="F239" s="4">
        <f>'Raw Data'!E240*0.001648</f>
        <v>0</v>
      </c>
      <c r="G239" s="4">
        <f>'Raw Data'!F240*0.001648</f>
        <v>0</v>
      </c>
      <c r="H239" s="4">
        <f>'Raw Data'!G240*6*0.000128176</f>
        <v>0</v>
      </c>
      <c r="I239" s="4">
        <f>'Raw Data'!H240*0.000732435</f>
        <v>0</v>
      </c>
      <c r="J239" s="4">
        <f t="shared" si="11"/>
        <v>0</v>
      </c>
      <c r="K239" s="36">
        <f>IF(('Raw Data'!I240-16384)/32768&lt;0,0,('Raw Data'!I240-16384)/32768)</f>
        <v>0</v>
      </c>
      <c r="L239" s="4">
        <f>IF(('Raw Data'!J240-12010)/45.6=-263.377192982456,0,('Raw Data'!J240-12010)/45.6)</f>
        <v>0</v>
      </c>
      <c r="M239" s="16">
        <f>'Raw Data'!N240*2^-8</f>
        <v>0</v>
      </c>
      <c r="N239" s="16">
        <f>'Raw Data'!O240*2^-8</f>
        <v>0</v>
      </c>
      <c r="O239" s="17" t="str">
        <f>IF(BITWISE_AND('Raw Data'!$K240, 8192),"X","")</f>
        <v/>
      </c>
      <c r="P239" s="17" t="str">
        <f>IF(BITWISE_AND('Raw Data'!$K240, 2048),"X","")</f>
        <v/>
      </c>
      <c r="Q239" s="17" t="str">
        <f>IF(BITWISE_AND('Raw Data'!$K240, 64),"X","")</f>
        <v/>
      </c>
      <c r="R239" s="18" t="str">
        <f>IF(BITWISE_AND('Raw Data'!$L240, 1024),"X","")</f>
        <v/>
      </c>
      <c r="S239" s="18" t="str">
        <f>IF(BITWISE_AND('Raw Data'!$L240, 512),"X","")</f>
        <v/>
      </c>
      <c r="T239" s="18" t="str">
        <f>IF(BITWISE_AND('Raw Data'!$L240, 256),"X","")</f>
        <v/>
      </c>
      <c r="U239" s="18" t="str">
        <f>IF(BITWISE_AND('Raw Data'!$L240, 64),"X","")</f>
        <v/>
      </c>
      <c r="V239" s="18" t="str">
        <f>IF(BITWISE_AND('Raw Data'!$L240, 2),"X","")</f>
        <v/>
      </c>
      <c r="W239" s="18" t="str">
        <f>IF(BITWISE_AND('Raw Data'!$L240, 1),"X","")</f>
        <v/>
      </c>
      <c r="X239" s="19" t="str">
        <f>IF(BITWISE_AND('Raw Data'!M240, 1),"Bat Voltage", IF(BITWISE_AND('Raw Data'!M240, 2), "Charge Current", IF(BITWISE_AND('Raw Data'!M240, 4),"Input Ilim", IF(BITWISE_AND('Raw Data'!M240, 8), "Input UV", "none"))))</f>
        <v>none</v>
      </c>
    </row>
    <row r="240" spans="1:24" x14ac:dyDescent="0.2">
      <c r="A240" s="15">
        <f>A239+TIME(0,0,'Raw Data'!B240)</f>
        <v>0</v>
      </c>
      <c r="B240" s="4">
        <f>'Raw Data'!C241*0.025</f>
        <v>0</v>
      </c>
      <c r="C240" s="4">
        <f t="shared" si="12"/>
        <v>0</v>
      </c>
      <c r="D240" s="4">
        <f>'Raw Data'!D241*0.025</f>
        <v>0</v>
      </c>
      <c r="E240" s="4">
        <f t="shared" si="13"/>
        <v>0</v>
      </c>
      <c r="F240" s="4">
        <f>'Raw Data'!E241*0.001648</f>
        <v>0</v>
      </c>
      <c r="G240" s="4">
        <f>'Raw Data'!F241*0.001648</f>
        <v>0</v>
      </c>
      <c r="H240" s="4">
        <f>'Raw Data'!G241*6*0.000128176</f>
        <v>0</v>
      </c>
      <c r="I240" s="4">
        <f>'Raw Data'!H241*0.000732435</f>
        <v>0</v>
      </c>
      <c r="J240" s="4">
        <f t="shared" si="11"/>
        <v>0</v>
      </c>
      <c r="K240" s="36">
        <f>IF(('Raw Data'!I241-16384)/32768&lt;0,0,('Raw Data'!I241-16384)/32768)</f>
        <v>0</v>
      </c>
      <c r="L240" s="4">
        <f>IF(('Raw Data'!J241-12010)/45.6=-263.377192982456,0,('Raw Data'!J241-12010)/45.6)</f>
        <v>0</v>
      </c>
      <c r="M240" s="16">
        <f>'Raw Data'!N241*2^-8</f>
        <v>0</v>
      </c>
      <c r="N240" s="16">
        <f>'Raw Data'!O241*2^-8</f>
        <v>0</v>
      </c>
      <c r="O240" s="17" t="str">
        <f>IF(BITWISE_AND('Raw Data'!$K241, 8192),"X","")</f>
        <v/>
      </c>
      <c r="P240" s="17" t="str">
        <f>IF(BITWISE_AND('Raw Data'!$K241, 2048),"X","")</f>
        <v/>
      </c>
      <c r="Q240" s="17" t="str">
        <f>IF(BITWISE_AND('Raw Data'!$K241, 64),"X","")</f>
        <v/>
      </c>
      <c r="R240" s="18" t="str">
        <f>IF(BITWISE_AND('Raw Data'!$L241, 1024),"X","")</f>
        <v/>
      </c>
      <c r="S240" s="18" t="str">
        <f>IF(BITWISE_AND('Raw Data'!$L241, 512),"X","")</f>
        <v/>
      </c>
      <c r="T240" s="18" t="str">
        <f>IF(BITWISE_AND('Raw Data'!$L241, 256),"X","")</f>
        <v/>
      </c>
      <c r="U240" s="18" t="str">
        <f>IF(BITWISE_AND('Raw Data'!$L241, 64),"X","")</f>
        <v/>
      </c>
      <c r="V240" s="18" t="str">
        <f>IF(BITWISE_AND('Raw Data'!$L241, 2),"X","")</f>
        <v/>
      </c>
      <c r="W240" s="18" t="str">
        <f>IF(BITWISE_AND('Raw Data'!$L241, 1),"X","")</f>
        <v/>
      </c>
      <c r="X240" s="19" t="str">
        <f>IF(BITWISE_AND('Raw Data'!M241, 1),"Bat Voltage", IF(BITWISE_AND('Raw Data'!M241, 2), "Charge Current", IF(BITWISE_AND('Raw Data'!M241, 4),"Input Ilim", IF(BITWISE_AND('Raw Data'!M241, 8), "Input UV", "none"))))</f>
        <v>none</v>
      </c>
    </row>
    <row r="241" spans="1:24" x14ac:dyDescent="0.2">
      <c r="A241" s="15">
        <f>A240+TIME(0,0,'Raw Data'!B241)</f>
        <v>0</v>
      </c>
      <c r="B241" s="4">
        <f>'Raw Data'!C242*0.025</f>
        <v>0</v>
      </c>
      <c r="C241" s="4">
        <f t="shared" si="12"/>
        <v>0</v>
      </c>
      <c r="D241" s="4">
        <f>'Raw Data'!D242*0.025</f>
        <v>0</v>
      </c>
      <c r="E241" s="4">
        <f t="shared" si="13"/>
        <v>0</v>
      </c>
      <c r="F241" s="4">
        <f>'Raw Data'!E242*0.001648</f>
        <v>0</v>
      </c>
      <c r="G241" s="4">
        <f>'Raw Data'!F242*0.001648</f>
        <v>0</v>
      </c>
      <c r="H241" s="4">
        <f>'Raw Data'!G242*6*0.000128176</f>
        <v>0</v>
      </c>
      <c r="I241" s="4">
        <f>'Raw Data'!H242*0.000732435</f>
        <v>0</v>
      </c>
      <c r="J241" s="4">
        <f t="shared" si="11"/>
        <v>0</v>
      </c>
      <c r="K241" s="36">
        <f>IF(('Raw Data'!I242-16384)/32768&lt;0,0,('Raw Data'!I242-16384)/32768)</f>
        <v>0</v>
      </c>
      <c r="L241" s="4">
        <f>IF(('Raw Data'!J242-12010)/45.6=-263.377192982456,0,('Raw Data'!J242-12010)/45.6)</f>
        <v>0</v>
      </c>
      <c r="M241" s="16">
        <f>'Raw Data'!N242*2^-8</f>
        <v>0</v>
      </c>
      <c r="N241" s="16">
        <f>'Raw Data'!O242*2^-8</f>
        <v>0</v>
      </c>
      <c r="O241" s="17" t="str">
        <f>IF(BITWISE_AND('Raw Data'!$K242, 8192),"X","")</f>
        <v/>
      </c>
      <c r="P241" s="17" t="str">
        <f>IF(BITWISE_AND('Raw Data'!$K242, 2048),"X","")</f>
        <v/>
      </c>
      <c r="Q241" s="17" t="str">
        <f>IF(BITWISE_AND('Raw Data'!$K242, 64),"X","")</f>
        <v/>
      </c>
      <c r="R241" s="18" t="str">
        <f>IF(BITWISE_AND('Raw Data'!$L242, 1024),"X","")</f>
        <v/>
      </c>
      <c r="S241" s="18" t="str">
        <f>IF(BITWISE_AND('Raw Data'!$L242, 512),"X","")</f>
        <v/>
      </c>
      <c r="T241" s="18" t="str">
        <f>IF(BITWISE_AND('Raw Data'!$L242, 256),"X","")</f>
        <v/>
      </c>
      <c r="U241" s="18" t="str">
        <f>IF(BITWISE_AND('Raw Data'!$L242, 64),"X","")</f>
        <v/>
      </c>
      <c r="V241" s="18" t="str">
        <f>IF(BITWISE_AND('Raw Data'!$L242, 2),"X","")</f>
        <v/>
      </c>
      <c r="W241" s="18" t="str">
        <f>IF(BITWISE_AND('Raw Data'!$L242, 1),"X","")</f>
        <v/>
      </c>
      <c r="X241" s="19" t="str">
        <f>IF(BITWISE_AND('Raw Data'!M242, 1),"Bat Voltage", IF(BITWISE_AND('Raw Data'!M242, 2), "Charge Current", IF(BITWISE_AND('Raw Data'!M242, 4),"Input Ilim", IF(BITWISE_AND('Raw Data'!M242, 8), "Input UV", "none"))))</f>
        <v>none</v>
      </c>
    </row>
    <row r="242" spans="1:24" x14ac:dyDescent="0.2">
      <c r="A242" s="15">
        <f>A241+TIME(0,0,'Raw Data'!B242)</f>
        <v>0</v>
      </c>
      <c r="B242" s="4">
        <f>'Raw Data'!C243*0.025</f>
        <v>0</v>
      </c>
      <c r="C242" s="4">
        <f t="shared" si="12"/>
        <v>0</v>
      </c>
      <c r="D242" s="4">
        <f>'Raw Data'!D243*0.025</f>
        <v>0</v>
      </c>
      <c r="E242" s="4">
        <f t="shared" si="13"/>
        <v>0</v>
      </c>
      <c r="F242" s="4">
        <f>'Raw Data'!E243*0.001648</f>
        <v>0</v>
      </c>
      <c r="G242" s="4">
        <f>'Raw Data'!F243*0.001648</f>
        <v>0</v>
      </c>
      <c r="H242" s="4">
        <f>'Raw Data'!G243*6*0.000128176</f>
        <v>0</v>
      </c>
      <c r="I242" s="4">
        <f>'Raw Data'!H243*0.000732435</f>
        <v>0</v>
      </c>
      <c r="J242" s="4">
        <f t="shared" si="11"/>
        <v>0</v>
      </c>
      <c r="K242" s="36">
        <f>IF(('Raw Data'!I243-16384)/32768&lt;0,0,('Raw Data'!I243-16384)/32768)</f>
        <v>0</v>
      </c>
      <c r="L242" s="4">
        <f>IF(('Raw Data'!J243-12010)/45.6=-263.377192982456,0,('Raw Data'!J243-12010)/45.6)</f>
        <v>0</v>
      </c>
      <c r="M242" s="16">
        <f>'Raw Data'!N243*2^-8</f>
        <v>0</v>
      </c>
      <c r="N242" s="16">
        <f>'Raw Data'!O243*2^-8</f>
        <v>0</v>
      </c>
      <c r="O242" s="17" t="str">
        <f>IF(BITWISE_AND('Raw Data'!$K243, 8192),"X","")</f>
        <v/>
      </c>
      <c r="P242" s="17" t="str">
        <f>IF(BITWISE_AND('Raw Data'!$K243, 2048),"X","")</f>
        <v/>
      </c>
      <c r="Q242" s="17" t="str">
        <f>IF(BITWISE_AND('Raw Data'!$K243, 64),"X","")</f>
        <v/>
      </c>
      <c r="R242" s="18" t="str">
        <f>IF(BITWISE_AND('Raw Data'!$L243, 1024),"X","")</f>
        <v/>
      </c>
      <c r="S242" s="18" t="str">
        <f>IF(BITWISE_AND('Raw Data'!$L243, 512),"X","")</f>
        <v/>
      </c>
      <c r="T242" s="18" t="str">
        <f>IF(BITWISE_AND('Raw Data'!$L243, 256),"X","")</f>
        <v/>
      </c>
      <c r="U242" s="18" t="str">
        <f>IF(BITWISE_AND('Raw Data'!$L243, 64),"X","")</f>
        <v/>
      </c>
      <c r="V242" s="18" t="str">
        <f>IF(BITWISE_AND('Raw Data'!$L243, 2),"X","")</f>
        <v/>
      </c>
      <c r="W242" s="18" t="str">
        <f>IF(BITWISE_AND('Raw Data'!$L243, 1),"X","")</f>
        <v/>
      </c>
      <c r="X242" s="19" t="str">
        <f>IF(BITWISE_AND('Raw Data'!M243, 1),"Bat Voltage", IF(BITWISE_AND('Raw Data'!M243, 2), "Charge Current", IF(BITWISE_AND('Raw Data'!M243, 4),"Input Ilim", IF(BITWISE_AND('Raw Data'!M243, 8), "Input UV", "none"))))</f>
        <v>none</v>
      </c>
    </row>
    <row r="243" spans="1:24" x14ac:dyDescent="0.2">
      <c r="A243" s="15">
        <f>A242+TIME(0,0,'Raw Data'!B243)</f>
        <v>0</v>
      </c>
      <c r="B243" s="4">
        <f>'Raw Data'!C244*0.025</f>
        <v>0</v>
      </c>
      <c r="C243" s="4">
        <f t="shared" si="12"/>
        <v>0</v>
      </c>
      <c r="D243" s="4">
        <f>'Raw Data'!D244*0.025</f>
        <v>0</v>
      </c>
      <c r="E243" s="4">
        <f t="shared" si="13"/>
        <v>0</v>
      </c>
      <c r="F243" s="4">
        <f>'Raw Data'!E244*0.001648</f>
        <v>0</v>
      </c>
      <c r="G243" s="4">
        <f>'Raw Data'!F244*0.001648</f>
        <v>0</v>
      </c>
      <c r="H243" s="4">
        <f>'Raw Data'!G244*6*0.000128176</f>
        <v>0</v>
      </c>
      <c r="I243" s="4">
        <f>'Raw Data'!H244*0.000732435</f>
        <v>0</v>
      </c>
      <c r="J243" s="4">
        <f t="shared" si="11"/>
        <v>0</v>
      </c>
      <c r="K243" s="36">
        <f>IF(('Raw Data'!I244-16384)/32768&lt;0,0,('Raw Data'!I244-16384)/32768)</f>
        <v>0</v>
      </c>
      <c r="L243" s="4">
        <f>IF(('Raw Data'!J244-12010)/45.6=-263.377192982456,0,('Raw Data'!J244-12010)/45.6)</f>
        <v>0</v>
      </c>
      <c r="M243" s="16">
        <f>'Raw Data'!N244*2^-8</f>
        <v>0</v>
      </c>
      <c r="N243" s="16">
        <f>'Raw Data'!O244*2^-8</f>
        <v>0</v>
      </c>
      <c r="O243" s="17" t="str">
        <f>IF(BITWISE_AND('Raw Data'!$K244, 8192),"X","")</f>
        <v/>
      </c>
      <c r="P243" s="17" t="str">
        <f>IF(BITWISE_AND('Raw Data'!$K244, 2048),"X","")</f>
        <v/>
      </c>
      <c r="Q243" s="17" t="str">
        <f>IF(BITWISE_AND('Raw Data'!$K244, 64),"X","")</f>
        <v/>
      </c>
      <c r="R243" s="18" t="str">
        <f>IF(BITWISE_AND('Raw Data'!$L244, 1024),"X","")</f>
        <v/>
      </c>
      <c r="S243" s="18" t="str">
        <f>IF(BITWISE_AND('Raw Data'!$L244, 512),"X","")</f>
        <v/>
      </c>
      <c r="T243" s="18" t="str">
        <f>IF(BITWISE_AND('Raw Data'!$L244, 256),"X","")</f>
        <v/>
      </c>
      <c r="U243" s="18" t="str">
        <f>IF(BITWISE_AND('Raw Data'!$L244, 64),"X","")</f>
        <v/>
      </c>
      <c r="V243" s="18" t="str">
        <f>IF(BITWISE_AND('Raw Data'!$L244, 2),"X","")</f>
        <v/>
      </c>
      <c r="W243" s="18" t="str">
        <f>IF(BITWISE_AND('Raw Data'!$L244, 1),"X","")</f>
        <v/>
      </c>
      <c r="X243" s="19" t="str">
        <f>IF(BITWISE_AND('Raw Data'!M244, 1),"Bat Voltage", IF(BITWISE_AND('Raw Data'!M244, 2), "Charge Current", IF(BITWISE_AND('Raw Data'!M244, 4),"Input Ilim", IF(BITWISE_AND('Raw Data'!M244, 8), "Input UV", "none"))))</f>
        <v>none</v>
      </c>
    </row>
    <row r="244" spans="1:24" x14ac:dyDescent="0.2">
      <c r="A244" s="15">
        <f>A243+TIME(0,0,'Raw Data'!B244)</f>
        <v>0</v>
      </c>
      <c r="B244" s="4">
        <f>'Raw Data'!C245*0.025</f>
        <v>0</v>
      </c>
      <c r="C244" s="4">
        <f t="shared" si="12"/>
        <v>0</v>
      </c>
      <c r="D244" s="4">
        <f>'Raw Data'!D245*0.025</f>
        <v>0</v>
      </c>
      <c r="E244" s="4">
        <f t="shared" si="13"/>
        <v>0</v>
      </c>
      <c r="F244" s="4">
        <f>'Raw Data'!E245*0.001648</f>
        <v>0</v>
      </c>
      <c r="G244" s="4">
        <f>'Raw Data'!F245*0.001648</f>
        <v>0</v>
      </c>
      <c r="H244" s="4">
        <f>'Raw Data'!G245*6*0.000128176</f>
        <v>0</v>
      </c>
      <c r="I244" s="4">
        <f>'Raw Data'!H245*0.000732435</f>
        <v>0</v>
      </c>
      <c r="J244" s="4">
        <f t="shared" si="11"/>
        <v>0</v>
      </c>
      <c r="K244" s="36">
        <f>IF(('Raw Data'!I245-16384)/32768&lt;0,0,('Raw Data'!I245-16384)/32768)</f>
        <v>0</v>
      </c>
      <c r="L244" s="4">
        <f>IF(('Raw Data'!J245-12010)/45.6=-263.377192982456,0,('Raw Data'!J245-12010)/45.6)</f>
        <v>0</v>
      </c>
      <c r="M244" s="16">
        <f>'Raw Data'!N245*2^-8</f>
        <v>0</v>
      </c>
      <c r="N244" s="16">
        <f>'Raw Data'!O245*2^-8</f>
        <v>0</v>
      </c>
      <c r="O244" s="17" t="str">
        <f>IF(BITWISE_AND('Raw Data'!$K245, 8192),"X","")</f>
        <v/>
      </c>
      <c r="P244" s="17" t="str">
        <f>IF(BITWISE_AND('Raw Data'!$K245, 2048),"X","")</f>
        <v/>
      </c>
      <c r="Q244" s="17" t="str">
        <f>IF(BITWISE_AND('Raw Data'!$K245, 64),"X","")</f>
        <v/>
      </c>
      <c r="R244" s="18" t="str">
        <f>IF(BITWISE_AND('Raw Data'!$L245, 1024),"X","")</f>
        <v/>
      </c>
      <c r="S244" s="18" t="str">
        <f>IF(BITWISE_AND('Raw Data'!$L245, 512),"X","")</f>
        <v/>
      </c>
      <c r="T244" s="18" t="str">
        <f>IF(BITWISE_AND('Raw Data'!$L245, 256),"X","")</f>
        <v/>
      </c>
      <c r="U244" s="18" t="str">
        <f>IF(BITWISE_AND('Raw Data'!$L245, 64),"X","")</f>
        <v/>
      </c>
      <c r="V244" s="18" t="str">
        <f>IF(BITWISE_AND('Raw Data'!$L245, 2),"X","")</f>
        <v/>
      </c>
      <c r="W244" s="18" t="str">
        <f>IF(BITWISE_AND('Raw Data'!$L245, 1),"X","")</f>
        <v/>
      </c>
      <c r="X244" s="19" t="str">
        <f>IF(BITWISE_AND('Raw Data'!M245, 1),"Bat Voltage", IF(BITWISE_AND('Raw Data'!M245, 2), "Charge Current", IF(BITWISE_AND('Raw Data'!M245, 4),"Input Ilim", IF(BITWISE_AND('Raw Data'!M245, 8), "Input UV", "none"))))</f>
        <v>none</v>
      </c>
    </row>
    <row r="245" spans="1:24" x14ac:dyDescent="0.2">
      <c r="A245" s="15">
        <f>A244+TIME(0,0,'Raw Data'!B245)</f>
        <v>0</v>
      </c>
      <c r="B245" s="4">
        <f>'Raw Data'!C246*0.025</f>
        <v>0</v>
      </c>
      <c r="C245" s="4">
        <f t="shared" si="12"/>
        <v>0</v>
      </c>
      <c r="D245" s="4">
        <f>'Raw Data'!D246*0.025</f>
        <v>0</v>
      </c>
      <c r="E245" s="4">
        <f t="shared" si="13"/>
        <v>0</v>
      </c>
      <c r="F245" s="4">
        <f>'Raw Data'!E246*0.001648</f>
        <v>0</v>
      </c>
      <c r="G245" s="4">
        <f>'Raw Data'!F246*0.001648</f>
        <v>0</v>
      </c>
      <c r="H245" s="4">
        <f>'Raw Data'!G246*6*0.000128176</f>
        <v>0</v>
      </c>
      <c r="I245" s="4">
        <f>'Raw Data'!H246*0.000732435</f>
        <v>0</v>
      </c>
      <c r="J245" s="4">
        <f t="shared" si="11"/>
        <v>0</v>
      </c>
      <c r="K245" s="36">
        <f>IF(('Raw Data'!I246-16384)/32768&lt;0,0,('Raw Data'!I246-16384)/32768)</f>
        <v>0</v>
      </c>
      <c r="L245" s="4">
        <f>IF(('Raw Data'!J246-12010)/45.6=-263.377192982456,0,('Raw Data'!J246-12010)/45.6)</f>
        <v>0</v>
      </c>
      <c r="M245" s="16">
        <f>'Raw Data'!N246*2^-8</f>
        <v>0</v>
      </c>
      <c r="N245" s="16">
        <f>'Raw Data'!O246*2^-8</f>
        <v>0</v>
      </c>
      <c r="O245" s="17" t="str">
        <f>IF(BITWISE_AND('Raw Data'!$K246, 8192),"X","")</f>
        <v/>
      </c>
      <c r="P245" s="17" t="str">
        <f>IF(BITWISE_AND('Raw Data'!$K246, 2048),"X","")</f>
        <v/>
      </c>
      <c r="Q245" s="17" t="str">
        <f>IF(BITWISE_AND('Raw Data'!$K246, 64),"X","")</f>
        <v/>
      </c>
      <c r="R245" s="18" t="str">
        <f>IF(BITWISE_AND('Raw Data'!$L246, 1024),"X","")</f>
        <v/>
      </c>
      <c r="S245" s="18" t="str">
        <f>IF(BITWISE_AND('Raw Data'!$L246, 512),"X","")</f>
        <v/>
      </c>
      <c r="T245" s="18" t="str">
        <f>IF(BITWISE_AND('Raw Data'!$L246, 256),"X","")</f>
        <v/>
      </c>
      <c r="U245" s="18" t="str">
        <f>IF(BITWISE_AND('Raw Data'!$L246, 64),"X","")</f>
        <v/>
      </c>
      <c r="V245" s="18" t="str">
        <f>IF(BITWISE_AND('Raw Data'!$L246, 2),"X","")</f>
        <v/>
      </c>
      <c r="W245" s="18" t="str">
        <f>IF(BITWISE_AND('Raw Data'!$L246, 1),"X","")</f>
        <v/>
      </c>
      <c r="X245" s="19" t="str">
        <f>IF(BITWISE_AND('Raw Data'!M246, 1),"Bat Voltage", IF(BITWISE_AND('Raw Data'!M246, 2), "Charge Current", IF(BITWISE_AND('Raw Data'!M246, 4),"Input Ilim", IF(BITWISE_AND('Raw Data'!M246, 8), "Input UV", "none"))))</f>
        <v>none</v>
      </c>
    </row>
    <row r="246" spans="1:24" x14ac:dyDescent="0.2">
      <c r="A246" s="15">
        <f>A245+TIME(0,0,'Raw Data'!B246)</f>
        <v>0</v>
      </c>
      <c r="B246" s="4">
        <f>'Raw Data'!C247*0.025</f>
        <v>0</v>
      </c>
      <c r="C246" s="4">
        <f t="shared" si="12"/>
        <v>0</v>
      </c>
      <c r="D246" s="4">
        <f>'Raw Data'!D247*0.025</f>
        <v>0</v>
      </c>
      <c r="E246" s="4">
        <f t="shared" si="13"/>
        <v>0</v>
      </c>
      <c r="F246" s="4">
        <f>'Raw Data'!E247*0.001648</f>
        <v>0</v>
      </c>
      <c r="G246" s="4">
        <f>'Raw Data'!F247*0.001648</f>
        <v>0</v>
      </c>
      <c r="H246" s="4">
        <f>'Raw Data'!G247*6*0.000128176</f>
        <v>0</v>
      </c>
      <c r="I246" s="4">
        <f>'Raw Data'!H247*0.000732435</f>
        <v>0</v>
      </c>
      <c r="J246" s="4">
        <f t="shared" si="11"/>
        <v>0</v>
      </c>
      <c r="K246" s="36">
        <f>IF(('Raw Data'!I247-16384)/32768&lt;0,0,('Raw Data'!I247-16384)/32768)</f>
        <v>0</v>
      </c>
      <c r="L246" s="4">
        <f>IF(('Raw Data'!J247-12010)/45.6=-263.377192982456,0,('Raw Data'!J247-12010)/45.6)</f>
        <v>0</v>
      </c>
      <c r="M246" s="16">
        <f>'Raw Data'!N247*2^-8</f>
        <v>0</v>
      </c>
      <c r="N246" s="16">
        <f>'Raw Data'!O247*2^-8</f>
        <v>0</v>
      </c>
      <c r="O246" s="17" t="str">
        <f>IF(BITWISE_AND('Raw Data'!$K247, 8192),"X","")</f>
        <v/>
      </c>
      <c r="P246" s="17" t="str">
        <f>IF(BITWISE_AND('Raw Data'!$K247, 2048),"X","")</f>
        <v/>
      </c>
      <c r="Q246" s="17" t="str">
        <f>IF(BITWISE_AND('Raw Data'!$K247, 64),"X","")</f>
        <v/>
      </c>
      <c r="R246" s="18" t="str">
        <f>IF(BITWISE_AND('Raw Data'!$L247, 1024),"X","")</f>
        <v/>
      </c>
      <c r="S246" s="18" t="str">
        <f>IF(BITWISE_AND('Raw Data'!$L247, 512),"X","")</f>
        <v/>
      </c>
      <c r="T246" s="18" t="str">
        <f>IF(BITWISE_AND('Raw Data'!$L247, 256),"X","")</f>
        <v/>
      </c>
      <c r="U246" s="18" t="str">
        <f>IF(BITWISE_AND('Raw Data'!$L247, 64),"X","")</f>
        <v/>
      </c>
      <c r="V246" s="18" t="str">
        <f>IF(BITWISE_AND('Raw Data'!$L247, 2),"X","")</f>
        <v/>
      </c>
      <c r="W246" s="18" t="str">
        <f>IF(BITWISE_AND('Raw Data'!$L247, 1),"X","")</f>
        <v/>
      </c>
      <c r="X246" s="19" t="str">
        <f>IF(BITWISE_AND('Raw Data'!M247, 1),"Bat Voltage", IF(BITWISE_AND('Raw Data'!M247, 2), "Charge Current", IF(BITWISE_AND('Raw Data'!M247, 4),"Input Ilim", IF(BITWISE_AND('Raw Data'!M247, 8), "Input UV", "none"))))</f>
        <v>none</v>
      </c>
    </row>
    <row r="247" spans="1:24" x14ac:dyDescent="0.2">
      <c r="A247" s="15">
        <f>A246+TIME(0,0,'Raw Data'!B247)</f>
        <v>0</v>
      </c>
      <c r="B247" s="4">
        <f>'Raw Data'!C248*0.025</f>
        <v>0</v>
      </c>
      <c r="C247" s="4">
        <f t="shared" si="12"/>
        <v>0</v>
      </c>
      <c r="D247" s="4">
        <f>'Raw Data'!D248*0.025</f>
        <v>0</v>
      </c>
      <c r="E247" s="4">
        <f t="shared" si="13"/>
        <v>0</v>
      </c>
      <c r="F247" s="4">
        <f>'Raw Data'!E248*0.001648</f>
        <v>0</v>
      </c>
      <c r="G247" s="4">
        <f>'Raw Data'!F248*0.001648</f>
        <v>0</v>
      </c>
      <c r="H247" s="4">
        <f>'Raw Data'!G248*6*0.000128176</f>
        <v>0</v>
      </c>
      <c r="I247" s="4">
        <f>'Raw Data'!H248*0.000732435</f>
        <v>0</v>
      </c>
      <c r="J247" s="4">
        <f t="shared" si="11"/>
        <v>0</v>
      </c>
      <c r="K247" s="36">
        <f>IF(('Raw Data'!I248-16384)/32768&lt;0,0,('Raw Data'!I248-16384)/32768)</f>
        <v>0</v>
      </c>
      <c r="L247" s="4">
        <f>IF(('Raw Data'!J248-12010)/45.6=-263.377192982456,0,('Raw Data'!J248-12010)/45.6)</f>
        <v>0</v>
      </c>
      <c r="M247" s="16">
        <f>'Raw Data'!N248*2^-8</f>
        <v>0</v>
      </c>
      <c r="N247" s="16">
        <f>'Raw Data'!O248*2^-8</f>
        <v>0</v>
      </c>
      <c r="O247" s="17" t="str">
        <f>IF(BITWISE_AND('Raw Data'!$K248, 8192),"X","")</f>
        <v/>
      </c>
      <c r="P247" s="17" t="str">
        <f>IF(BITWISE_AND('Raw Data'!$K248, 2048),"X","")</f>
        <v/>
      </c>
      <c r="Q247" s="17" t="str">
        <f>IF(BITWISE_AND('Raw Data'!$K248, 64),"X","")</f>
        <v/>
      </c>
      <c r="R247" s="18" t="str">
        <f>IF(BITWISE_AND('Raw Data'!$L248, 1024),"X","")</f>
        <v/>
      </c>
      <c r="S247" s="18" t="str">
        <f>IF(BITWISE_AND('Raw Data'!$L248, 512),"X","")</f>
        <v/>
      </c>
      <c r="T247" s="18" t="str">
        <f>IF(BITWISE_AND('Raw Data'!$L248, 256),"X","")</f>
        <v/>
      </c>
      <c r="U247" s="18" t="str">
        <f>IF(BITWISE_AND('Raw Data'!$L248, 64),"X","")</f>
        <v/>
      </c>
      <c r="V247" s="18" t="str">
        <f>IF(BITWISE_AND('Raw Data'!$L248, 2),"X","")</f>
        <v/>
      </c>
      <c r="W247" s="18" t="str">
        <f>IF(BITWISE_AND('Raw Data'!$L248, 1),"X","")</f>
        <v/>
      </c>
      <c r="X247" s="19" t="str">
        <f>IF(BITWISE_AND('Raw Data'!M248, 1),"Bat Voltage", IF(BITWISE_AND('Raw Data'!M248, 2), "Charge Current", IF(BITWISE_AND('Raw Data'!M248, 4),"Input Ilim", IF(BITWISE_AND('Raw Data'!M248, 8), "Input UV", "none"))))</f>
        <v>none</v>
      </c>
    </row>
    <row r="248" spans="1:24" x14ac:dyDescent="0.2">
      <c r="A248" s="15">
        <f>A247+TIME(0,0,'Raw Data'!B248)</f>
        <v>0</v>
      </c>
      <c r="B248" s="4">
        <f>'Raw Data'!C249*0.025</f>
        <v>0</v>
      </c>
      <c r="C248" s="4">
        <f t="shared" si="12"/>
        <v>0</v>
      </c>
      <c r="D248" s="4">
        <f>'Raw Data'!D249*0.025</f>
        <v>0</v>
      </c>
      <c r="E248" s="4">
        <f t="shared" si="13"/>
        <v>0</v>
      </c>
      <c r="F248" s="4">
        <f>'Raw Data'!E249*0.001648</f>
        <v>0</v>
      </c>
      <c r="G248" s="4">
        <f>'Raw Data'!F249*0.001648</f>
        <v>0</v>
      </c>
      <c r="H248" s="4">
        <f>'Raw Data'!G249*6*0.000128176</f>
        <v>0</v>
      </c>
      <c r="I248" s="4">
        <f>'Raw Data'!H249*0.000732435</f>
        <v>0</v>
      </c>
      <c r="J248" s="4">
        <f t="shared" si="11"/>
        <v>0</v>
      </c>
      <c r="K248" s="36">
        <f>IF(('Raw Data'!I249-16384)/32768&lt;0,0,('Raw Data'!I249-16384)/32768)</f>
        <v>0</v>
      </c>
      <c r="L248" s="4">
        <f>IF(('Raw Data'!J249-12010)/45.6=-263.377192982456,0,('Raw Data'!J249-12010)/45.6)</f>
        <v>0</v>
      </c>
      <c r="M248" s="16">
        <f>'Raw Data'!N249*2^-8</f>
        <v>0</v>
      </c>
      <c r="N248" s="16">
        <f>'Raw Data'!O249*2^-8</f>
        <v>0</v>
      </c>
      <c r="O248" s="17" t="str">
        <f>IF(BITWISE_AND('Raw Data'!$K249, 8192),"X","")</f>
        <v/>
      </c>
      <c r="P248" s="17" t="str">
        <f>IF(BITWISE_AND('Raw Data'!$K249, 2048),"X","")</f>
        <v/>
      </c>
      <c r="Q248" s="17" t="str">
        <f>IF(BITWISE_AND('Raw Data'!$K249, 64),"X","")</f>
        <v/>
      </c>
      <c r="R248" s="18" t="str">
        <f>IF(BITWISE_AND('Raw Data'!$L249, 1024),"X","")</f>
        <v/>
      </c>
      <c r="S248" s="18" t="str">
        <f>IF(BITWISE_AND('Raw Data'!$L249, 512),"X","")</f>
        <v/>
      </c>
      <c r="T248" s="18" t="str">
        <f>IF(BITWISE_AND('Raw Data'!$L249, 256),"X","")</f>
        <v/>
      </c>
      <c r="U248" s="18" t="str">
        <f>IF(BITWISE_AND('Raw Data'!$L249, 64),"X","")</f>
        <v/>
      </c>
      <c r="V248" s="18" t="str">
        <f>IF(BITWISE_AND('Raw Data'!$L249, 2),"X","")</f>
        <v/>
      </c>
      <c r="W248" s="18" t="str">
        <f>IF(BITWISE_AND('Raw Data'!$L249, 1),"X","")</f>
        <v/>
      </c>
      <c r="X248" s="19" t="str">
        <f>IF(BITWISE_AND('Raw Data'!M249, 1),"Bat Voltage", IF(BITWISE_AND('Raw Data'!M249, 2), "Charge Current", IF(BITWISE_AND('Raw Data'!M249, 4),"Input Ilim", IF(BITWISE_AND('Raw Data'!M249, 8), "Input UV", "none"))))</f>
        <v>none</v>
      </c>
    </row>
    <row r="249" spans="1:24" x14ac:dyDescent="0.2">
      <c r="A249" s="15">
        <f>A248+TIME(0,0,'Raw Data'!B249)</f>
        <v>0</v>
      </c>
      <c r="B249" s="4">
        <f>'Raw Data'!C250*0.025</f>
        <v>0</v>
      </c>
      <c r="C249" s="4">
        <f t="shared" si="12"/>
        <v>0</v>
      </c>
      <c r="D249" s="4">
        <f>'Raw Data'!D250*0.025</f>
        <v>0</v>
      </c>
      <c r="E249" s="4">
        <f t="shared" si="13"/>
        <v>0</v>
      </c>
      <c r="F249" s="4">
        <f>'Raw Data'!E250*0.001648</f>
        <v>0</v>
      </c>
      <c r="G249" s="4">
        <f>'Raw Data'!F250*0.001648</f>
        <v>0</v>
      </c>
      <c r="H249" s="4">
        <f>'Raw Data'!G250*6*0.000128176</f>
        <v>0</v>
      </c>
      <c r="I249" s="4">
        <f>'Raw Data'!H250*0.000732435</f>
        <v>0</v>
      </c>
      <c r="J249" s="4">
        <f t="shared" si="11"/>
        <v>0</v>
      </c>
      <c r="K249" s="36">
        <f>IF(('Raw Data'!I250-16384)/32768&lt;0,0,('Raw Data'!I250-16384)/32768)</f>
        <v>0</v>
      </c>
      <c r="L249" s="4">
        <f>IF(('Raw Data'!J250-12010)/45.6=-263.377192982456,0,('Raw Data'!J250-12010)/45.6)</f>
        <v>0</v>
      </c>
      <c r="M249" s="16">
        <f>'Raw Data'!N250*2^-8</f>
        <v>0</v>
      </c>
      <c r="N249" s="16">
        <f>'Raw Data'!O250*2^-8</f>
        <v>0</v>
      </c>
      <c r="O249" s="17" t="str">
        <f>IF(BITWISE_AND('Raw Data'!$K250, 8192),"X","")</f>
        <v/>
      </c>
      <c r="P249" s="17" t="str">
        <f>IF(BITWISE_AND('Raw Data'!$K250, 2048),"X","")</f>
        <v/>
      </c>
      <c r="Q249" s="17" t="str">
        <f>IF(BITWISE_AND('Raw Data'!$K250, 64),"X","")</f>
        <v/>
      </c>
      <c r="R249" s="18" t="str">
        <f>IF(BITWISE_AND('Raw Data'!$L250, 1024),"X","")</f>
        <v/>
      </c>
      <c r="S249" s="18" t="str">
        <f>IF(BITWISE_AND('Raw Data'!$L250, 512),"X","")</f>
        <v/>
      </c>
      <c r="T249" s="18" t="str">
        <f>IF(BITWISE_AND('Raw Data'!$L250, 256),"X","")</f>
        <v/>
      </c>
      <c r="U249" s="18" t="str">
        <f>IF(BITWISE_AND('Raw Data'!$L250, 64),"X","")</f>
        <v/>
      </c>
      <c r="V249" s="18" t="str">
        <f>IF(BITWISE_AND('Raw Data'!$L250, 2),"X","")</f>
        <v/>
      </c>
      <c r="W249" s="18" t="str">
        <f>IF(BITWISE_AND('Raw Data'!$L250, 1),"X","")</f>
        <v/>
      </c>
      <c r="X249" s="19" t="str">
        <f>IF(BITWISE_AND('Raw Data'!M250, 1),"Bat Voltage", IF(BITWISE_AND('Raw Data'!M250, 2), "Charge Current", IF(BITWISE_AND('Raw Data'!M250, 4),"Input Ilim", IF(BITWISE_AND('Raw Data'!M250, 8), "Input UV", "none"))))</f>
        <v>none</v>
      </c>
    </row>
    <row r="250" spans="1:24" x14ac:dyDescent="0.2">
      <c r="A250" s="15">
        <f>A249+TIME(0,0,'Raw Data'!B250)</f>
        <v>0</v>
      </c>
      <c r="B250" s="4">
        <f>'Raw Data'!C251*0.025</f>
        <v>0</v>
      </c>
      <c r="C250" s="4">
        <f t="shared" si="12"/>
        <v>0</v>
      </c>
      <c r="D250" s="4">
        <f>'Raw Data'!D251*0.025</f>
        <v>0</v>
      </c>
      <c r="E250" s="4">
        <f t="shared" si="13"/>
        <v>0</v>
      </c>
      <c r="F250" s="4">
        <f>'Raw Data'!E251*0.001648</f>
        <v>0</v>
      </c>
      <c r="G250" s="4">
        <f>'Raw Data'!F251*0.001648</f>
        <v>0</v>
      </c>
      <c r="H250" s="4">
        <f>'Raw Data'!G251*6*0.000128176</f>
        <v>0</v>
      </c>
      <c r="I250" s="4">
        <f>'Raw Data'!H251*0.000732435</f>
        <v>0</v>
      </c>
      <c r="J250" s="4">
        <f t="shared" si="11"/>
        <v>0</v>
      </c>
      <c r="K250" s="36">
        <f>IF(('Raw Data'!I251-16384)/32768&lt;0,0,('Raw Data'!I251-16384)/32768)</f>
        <v>0</v>
      </c>
      <c r="L250" s="4">
        <f>IF(('Raw Data'!J251-12010)/45.6=-263.377192982456,0,('Raw Data'!J251-12010)/45.6)</f>
        <v>0</v>
      </c>
      <c r="M250" s="16">
        <f>'Raw Data'!N251*2^-8</f>
        <v>0</v>
      </c>
      <c r="N250" s="16">
        <f>'Raw Data'!O251*2^-8</f>
        <v>0</v>
      </c>
      <c r="O250" s="17" t="str">
        <f>IF(BITWISE_AND('Raw Data'!$K251, 8192),"X","")</f>
        <v/>
      </c>
      <c r="P250" s="17" t="str">
        <f>IF(BITWISE_AND('Raw Data'!$K251, 2048),"X","")</f>
        <v/>
      </c>
      <c r="Q250" s="17" t="str">
        <f>IF(BITWISE_AND('Raw Data'!$K251, 64),"X","")</f>
        <v/>
      </c>
      <c r="R250" s="18" t="str">
        <f>IF(BITWISE_AND('Raw Data'!$L251, 1024),"X","")</f>
        <v/>
      </c>
      <c r="S250" s="18" t="str">
        <f>IF(BITWISE_AND('Raw Data'!$L251, 512),"X","")</f>
        <v/>
      </c>
      <c r="T250" s="18" t="str">
        <f>IF(BITWISE_AND('Raw Data'!$L251, 256),"X","")</f>
        <v/>
      </c>
      <c r="U250" s="18" t="str">
        <f>IF(BITWISE_AND('Raw Data'!$L251, 64),"X","")</f>
        <v/>
      </c>
      <c r="V250" s="18" t="str">
        <f>IF(BITWISE_AND('Raw Data'!$L251, 2),"X","")</f>
        <v/>
      </c>
      <c r="W250" s="18" t="str">
        <f>IF(BITWISE_AND('Raw Data'!$L251, 1),"X","")</f>
        <v/>
      </c>
      <c r="X250" s="19" t="str">
        <f>IF(BITWISE_AND('Raw Data'!M251, 1),"Bat Voltage", IF(BITWISE_AND('Raw Data'!M251, 2), "Charge Current", IF(BITWISE_AND('Raw Data'!M251, 4),"Input Ilim", IF(BITWISE_AND('Raw Data'!M251, 8), "Input UV", "none"))))</f>
        <v>none</v>
      </c>
    </row>
    <row r="251" spans="1:24" x14ac:dyDescent="0.2">
      <c r="A251" s="15">
        <f>A250+TIME(0,0,'Raw Data'!B251)</f>
        <v>0</v>
      </c>
      <c r="B251" s="4">
        <f>'Raw Data'!C252*0.025</f>
        <v>0</v>
      </c>
      <c r="C251" s="4">
        <f t="shared" si="12"/>
        <v>0</v>
      </c>
      <c r="D251" s="4">
        <f>'Raw Data'!D252*0.025</f>
        <v>0</v>
      </c>
      <c r="E251" s="4">
        <f t="shared" si="13"/>
        <v>0</v>
      </c>
      <c r="F251" s="4">
        <f>'Raw Data'!E252*0.001648</f>
        <v>0</v>
      </c>
      <c r="G251" s="4">
        <f>'Raw Data'!F252*0.001648</f>
        <v>0</v>
      </c>
      <c r="H251" s="4">
        <f>'Raw Data'!G252*6*0.000128176</f>
        <v>0</v>
      </c>
      <c r="I251" s="4">
        <f>'Raw Data'!H252*0.000732435</f>
        <v>0</v>
      </c>
      <c r="J251" s="4">
        <f t="shared" si="11"/>
        <v>0</v>
      </c>
      <c r="K251" s="36">
        <f>IF(('Raw Data'!I252-16384)/32768&lt;0,0,('Raw Data'!I252-16384)/32768)</f>
        <v>0</v>
      </c>
      <c r="L251" s="4">
        <f>IF(('Raw Data'!J252-12010)/45.6=-263.377192982456,0,('Raw Data'!J252-12010)/45.6)</f>
        <v>0</v>
      </c>
      <c r="M251" s="16">
        <f>'Raw Data'!N252*2^-8</f>
        <v>0</v>
      </c>
      <c r="N251" s="16">
        <f>'Raw Data'!O252*2^-8</f>
        <v>0</v>
      </c>
      <c r="O251" s="17" t="str">
        <f>IF(BITWISE_AND('Raw Data'!$K252, 8192),"X","")</f>
        <v/>
      </c>
      <c r="P251" s="17" t="str">
        <f>IF(BITWISE_AND('Raw Data'!$K252, 2048),"X","")</f>
        <v/>
      </c>
      <c r="Q251" s="17" t="str">
        <f>IF(BITWISE_AND('Raw Data'!$K252, 64),"X","")</f>
        <v/>
      </c>
      <c r="R251" s="18" t="str">
        <f>IF(BITWISE_AND('Raw Data'!$L252, 1024),"X","")</f>
        <v/>
      </c>
      <c r="S251" s="18" t="str">
        <f>IF(BITWISE_AND('Raw Data'!$L252, 512),"X","")</f>
        <v/>
      </c>
      <c r="T251" s="18" t="str">
        <f>IF(BITWISE_AND('Raw Data'!$L252, 256),"X","")</f>
        <v/>
      </c>
      <c r="U251" s="18" t="str">
        <f>IF(BITWISE_AND('Raw Data'!$L252, 64),"X","")</f>
        <v/>
      </c>
      <c r="V251" s="18" t="str">
        <f>IF(BITWISE_AND('Raw Data'!$L252, 2),"X","")</f>
        <v/>
      </c>
      <c r="W251" s="18" t="str">
        <f>IF(BITWISE_AND('Raw Data'!$L252, 1),"X","")</f>
        <v/>
      </c>
      <c r="X251" s="19" t="str">
        <f>IF(BITWISE_AND('Raw Data'!M252, 1),"Bat Voltage", IF(BITWISE_AND('Raw Data'!M252, 2), "Charge Current", IF(BITWISE_AND('Raw Data'!M252, 4),"Input Ilim", IF(BITWISE_AND('Raw Data'!M252, 8), "Input UV", "none"))))</f>
        <v>none</v>
      </c>
    </row>
    <row r="252" spans="1:24" x14ac:dyDescent="0.2">
      <c r="A252" s="15">
        <f>A251+TIME(0,0,'Raw Data'!B252)</f>
        <v>0</v>
      </c>
      <c r="B252" s="4">
        <f>'Raw Data'!C253*0.025</f>
        <v>0</v>
      </c>
      <c r="C252" s="4">
        <f t="shared" si="12"/>
        <v>0</v>
      </c>
      <c r="D252" s="4">
        <f>'Raw Data'!D253*0.025</f>
        <v>0</v>
      </c>
      <c r="E252" s="4">
        <f t="shared" si="13"/>
        <v>0</v>
      </c>
      <c r="F252" s="4">
        <f>'Raw Data'!E253*0.001648</f>
        <v>0</v>
      </c>
      <c r="G252" s="4">
        <f>'Raw Data'!F253*0.001648</f>
        <v>0</v>
      </c>
      <c r="H252" s="4">
        <f>'Raw Data'!G253*6*0.000128176</f>
        <v>0</v>
      </c>
      <c r="I252" s="4">
        <f>'Raw Data'!H253*0.000732435</f>
        <v>0</v>
      </c>
      <c r="J252" s="4">
        <f t="shared" si="11"/>
        <v>0</v>
      </c>
      <c r="K252" s="36">
        <f>IF(('Raw Data'!I253-16384)/32768&lt;0,0,('Raw Data'!I253-16384)/32768)</f>
        <v>0</v>
      </c>
      <c r="L252" s="4">
        <f>IF(('Raw Data'!J253-12010)/45.6=-263.377192982456,0,('Raw Data'!J253-12010)/45.6)</f>
        <v>0</v>
      </c>
      <c r="M252" s="16">
        <f>'Raw Data'!N253*2^-8</f>
        <v>0</v>
      </c>
      <c r="N252" s="16">
        <f>'Raw Data'!O253*2^-8</f>
        <v>0</v>
      </c>
      <c r="O252" s="17" t="str">
        <f>IF(BITWISE_AND('Raw Data'!$K253, 8192),"X","")</f>
        <v/>
      </c>
      <c r="P252" s="17" t="str">
        <f>IF(BITWISE_AND('Raw Data'!$K253, 2048),"X","")</f>
        <v/>
      </c>
      <c r="Q252" s="17" t="str">
        <f>IF(BITWISE_AND('Raw Data'!$K253, 64),"X","")</f>
        <v/>
      </c>
      <c r="R252" s="18" t="str">
        <f>IF(BITWISE_AND('Raw Data'!$L253, 1024),"X","")</f>
        <v/>
      </c>
      <c r="S252" s="18" t="str">
        <f>IF(BITWISE_AND('Raw Data'!$L253, 512),"X","")</f>
        <v/>
      </c>
      <c r="T252" s="18" t="str">
        <f>IF(BITWISE_AND('Raw Data'!$L253, 256),"X","")</f>
        <v/>
      </c>
      <c r="U252" s="18" t="str">
        <f>IF(BITWISE_AND('Raw Data'!$L253, 64),"X","")</f>
        <v/>
      </c>
      <c r="V252" s="18" t="str">
        <f>IF(BITWISE_AND('Raw Data'!$L253, 2),"X","")</f>
        <v/>
      </c>
      <c r="W252" s="18" t="str">
        <f>IF(BITWISE_AND('Raw Data'!$L253, 1),"X","")</f>
        <v/>
      </c>
      <c r="X252" s="19" t="str">
        <f>IF(BITWISE_AND('Raw Data'!M253, 1),"Bat Voltage", IF(BITWISE_AND('Raw Data'!M253, 2), "Charge Current", IF(BITWISE_AND('Raw Data'!M253, 4),"Input Ilim", IF(BITWISE_AND('Raw Data'!M253, 8), "Input UV", "none"))))</f>
        <v>none</v>
      </c>
    </row>
    <row r="253" spans="1:24" x14ac:dyDescent="0.2">
      <c r="A253" s="15">
        <f>A252+TIME(0,0,'Raw Data'!B253)</f>
        <v>0</v>
      </c>
      <c r="B253" s="4">
        <f>'Raw Data'!C254*0.025</f>
        <v>0</v>
      </c>
      <c r="C253" s="4">
        <f t="shared" si="12"/>
        <v>0</v>
      </c>
      <c r="D253" s="4">
        <f>'Raw Data'!D254*0.025</f>
        <v>0</v>
      </c>
      <c r="E253" s="4">
        <f t="shared" si="13"/>
        <v>0</v>
      </c>
      <c r="F253" s="4">
        <f>'Raw Data'!E254*0.001648</f>
        <v>0</v>
      </c>
      <c r="G253" s="4">
        <f>'Raw Data'!F254*0.001648</f>
        <v>0</v>
      </c>
      <c r="H253" s="4">
        <f>'Raw Data'!G254*6*0.000128176</f>
        <v>0</v>
      </c>
      <c r="I253" s="4">
        <f>'Raw Data'!H254*0.000732435</f>
        <v>0</v>
      </c>
      <c r="J253" s="4">
        <f t="shared" si="11"/>
        <v>0</v>
      </c>
      <c r="K253" s="36">
        <f>IF(('Raw Data'!I254-16384)/32768&lt;0,0,('Raw Data'!I254-16384)/32768)</f>
        <v>0</v>
      </c>
      <c r="L253" s="4">
        <f>IF(('Raw Data'!J254-12010)/45.6=-263.377192982456,0,('Raw Data'!J254-12010)/45.6)</f>
        <v>0</v>
      </c>
      <c r="M253" s="16">
        <f>'Raw Data'!N254*2^-8</f>
        <v>0</v>
      </c>
      <c r="N253" s="16">
        <f>'Raw Data'!O254*2^-8</f>
        <v>0</v>
      </c>
      <c r="O253" s="17" t="str">
        <f>IF(BITWISE_AND('Raw Data'!$K254, 8192),"X","")</f>
        <v/>
      </c>
      <c r="P253" s="17" t="str">
        <f>IF(BITWISE_AND('Raw Data'!$K254, 2048),"X","")</f>
        <v/>
      </c>
      <c r="Q253" s="17" t="str">
        <f>IF(BITWISE_AND('Raw Data'!$K254, 64),"X","")</f>
        <v/>
      </c>
      <c r="R253" s="18" t="str">
        <f>IF(BITWISE_AND('Raw Data'!$L254, 1024),"X","")</f>
        <v/>
      </c>
      <c r="S253" s="18" t="str">
        <f>IF(BITWISE_AND('Raw Data'!$L254, 512),"X","")</f>
        <v/>
      </c>
      <c r="T253" s="18" t="str">
        <f>IF(BITWISE_AND('Raw Data'!$L254, 256),"X","")</f>
        <v/>
      </c>
      <c r="U253" s="18" t="str">
        <f>IF(BITWISE_AND('Raw Data'!$L254, 64),"X","")</f>
        <v/>
      </c>
      <c r="V253" s="18" t="str">
        <f>IF(BITWISE_AND('Raw Data'!$L254, 2),"X","")</f>
        <v/>
      </c>
      <c r="W253" s="18" t="str">
        <f>IF(BITWISE_AND('Raw Data'!$L254, 1),"X","")</f>
        <v/>
      </c>
      <c r="X253" s="19" t="str">
        <f>IF(BITWISE_AND('Raw Data'!M254, 1),"Bat Voltage", IF(BITWISE_AND('Raw Data'!M254, 2), "Charge Current", IF(BITWISE_AND('Raw Data'!M254, 4),"Input Ilim", IF(BITWISE_AND('Raw Data'!M254, 8), "Input UV", "none"))))</f>
        <v>none</v>
      </c>
    </row>
    <row r="254" spans="1:24" x14ac:dyDescent="0.2">
      <c r="A254" s="15">
        <f>A253+TIME(0,0,'Raw Data'!B254)</f>
        <v>0</v>
      </c>
      <c r="B254" s="4">
        <f>'Raw Data'!C255*0.025</f>
        <v>0</v>
      </c>
      <c r="C254" s="4">
        <f t="shared" si="12"/>
        <v>0</v>
      </c>
      <c r="D254" s="4">
        <f>'Raw Data'!D255*0.025</f>
        <v>0</v>
      </c>
      <c r="E254" s="4">
        <f t="shared" si="13"/>
        <v>0</v>
      </c>
      <c r="F254" s="4">
        <f>'Raw Data'!E255*0.001648</f>
        <v>0</v>
      </c>
      <c r="G254" s="4">
        <f>'Raw Data'!F255*0.001648</f>
        <v>0</v>
      </c>
      <c r="H254" s="4">
        <f>'Raw Data'!G255*6*0.000128176</f>
        <v>0</v>
      </c>
      <c r="I254" s="4">
        <f>'Raw Data'!H255*0.000732435</f>
        <v>0</v>
      </c>
      <c r="J254" s="4">
        <f t="shared" si="11"/>
        <v>0</v>
      </c>
      <c r="K254" s="36">
        <f>IF(('Raw Data'!I255-16384)/32768&lt;0,0,('Raw Data'!I255-16384)/32768)</f>
        <v>0</v>
      </c>
      <c r="L254" s="4">
        <f>IF(('Raw Data'!J255-12010)/45.6=-263.377192982456,0,('Raw Data'!J255-12010)/45.6)</f>
        <v>0</v>
      </c>
      <c r="M254" s="16">
        <f>'Raw Data'!N255*2^-8</f>
        <v>0</v>
      </c>
      <c r="N254" s="16">
        <f>'Raw Data'!O255*2^-8</f>
        <v>0</v>
      </c>
      <c r="O254" s="17" t="str">
        <f>IF(BITWISE_AND('Raw Data'!$K255, 8192),"X","")</f>
        <v/>
      </c>
      <c r="P254" s="17" t="str">
        <f>IF(BITWISE_AND('Raw Data'!$K255, 2048),"X","")</f>
        <v/>
      </c>
      <c r="Q254" s="17" t="str">
        <f>IF(BITWISE_AND('Raw Data'!$K255, 64),"X","")</f>
        <v/>
      </c>
      <c r="R254" s="18" t="str">
        <f>IF(BITWISE_AND('Raw Data'!$L255, 1024),"X","")</f>
        <v/>
      </c>
      <c r="S254" s="18" t="str">
        <f>IF(BITWISE_AND('Raw Data'!$L255, 512),"X","")</f>
        <v/>
      </c>
      <c r="T254" s="18" t="str">
        <f>IF(BITWISE_AND('Raw Data'!$L255, 256),"X","")</f>
        <v/>
      </c>
      <c r="U254" s="18" t="str">
        <f>IF(BITWISE_AND('Raw Data'!$L255, 64),"X","")</f>
        <v/>
      </c>
      <c r="V254" s="18" t="str">
        <f>IF(BITWISE_AND('Raw Data'!$L255, 2),"X","")</f>
        <v/>
      </c>
      <c r="W254" s="18" t="str">
        <f>IF(BITWISE_AND('Raw Data'!$L255, 1),"X","")</f>
        <v/>
      </c>
      <c r="X254" s="19" t="str">
        <f>IF(BITWISE_AND('Raw Data'!M255, 1),"Bat Voltage", IF(BITWISE_AND('Raw Data'!M255, 2), "Charge Current", IF(BITWISE_AND('Raw Data'!M255, 4),"Input Ilim", IF(BITWISE_AND('Raw Data'!M255, 8), "Input UV", "none"))))</f>
        <v>none</v>
      </c>
    </row>
    <row r="255" spans="1:24" x14ac:dyDescent="0.2">
      <c r="A255" s="15">
        <f>A254+TIME(0,0,'Raw Data'!B255)</f>
        <v>0</v>
      </c>
      <c r="B255" s="4">
        <f>'Raw Data'!C256*0.025</f>
        <v>0</v>
      </c>
      <c r="C255" s="4">
        <f t="shared" si="12"/>
        <v>0</v>
      </c>
      <c r="D255" s="4">
        <f>'Raw Data'!D256*0.025</f>
        <v>0</v>
      </c>
      <c r="E255" s="4">
        <f t="shared" si="13"/>
        <v>0</v>
      </c>
      <c r="F255" s="4">
        <f>'Raw Data'!E256*0.001648</f>
        <v>0</v>
      </c>
      <c r="G255" s="4">
        <f>'Raw Data'!F256*0.001648</f>
        <v>0</v>
      </c>
      <c r="H255" s="4">
        <f>'Raw Data'!G256*6*0.000128176</f>
        <v>0</v>
      </c>
      <c r="I255" s="4">
        <f>'Raw Data'!H256*0.000732435</f>
        <v>0</v>
      </c>
      <c r="J255" s="4">
        <f t="shared" si="11"/>
        <v>0</v>
      </c>
      <c r="K255" s="36">
        <f>IF(('Raw Data'!I256-16384)/32768&lt;0,0,('Raw Data'!I256-16384)/32768)</f>
        <v>0</v>
      </c>
      <c r="L255" s="4">
        <f>IF(('Raw Data'!J256-12010)/45.6=-263.377192982456,0,('Raw Data'!J256-12010)/45.6)</f>
        <v>0</v>
      </c>
      <c r="M255" s="16">
        <f>'Raw Data'!N256*2^-8</f>
        <v>0</v>
      </c>
      <c r="N255" s="16">
        <f>'Raw Data'!O256*2^-8</f>
        <v>0</v>
      </c>
      <c r="O255" s="17" t="str">
        <f>IF(BITWISE_AND('Raw Data'!$K256, 8192),"X","")</f>
        <v/>
      </c>
      <c r="P255" s="17" t="str">
        <f>IF(BITWISE_AND('Raw Data'!$K256, 2048),"X","")</f>
        <v/>
      </c>
      <c r="Q255" s="17" t="str">
        <f>IF(BITWISE_AND('Raw Data'!$K256, 64),"X","")</f>
        <v/>
      </c>
      <c r="R255" s="18" t="str">
        <f>IF(BITWISE_AND('Raw Data'!$L256, 1024),"X","")</f>
        <v/>
      </c>
      <c r="S255" s="18" t="str">
        <f>IF(BITWISE_AND('Raw Data'!$L256, 512),"X","")</f>
        <v/>
      </c>
      <c r="T255" s="18" t="str">
        <f>IF(BITWISE_AND('Raw Data'!$L256, 256),"X","")</f>
        <v/>
      </c>
      <c r="U255" s="18" t="str">
        <f>IF(BITWISE_AND('Raw Data'!$L256, 64),"X","")</f>
        <v/>
      </c>
      <c r="V255" s="18" t="str">
        <f>IF(BITWISE_AND('Raw Data'!$L256, 2),"X","")</f>
        <v/>
      </c>
      <c r="W255" s="18" t="str">
        <f>IF(BITWISE_AND('Raw Data'!$L256, 1),"X","")</f>
        <v/>
      </c>
      <c r="X255" s="19" t="str">
        <f>IF(BITWISE_AND('Raw Data'!M256, 1),"Bat Voltage", IF(BITWISE_AND('Raw Data'!M256, 2), "Charge Current", IF(BITWISE_AND('Raw Data'!M256, 4),"Input Ilim", IF(BITWISE_AND('Raw Data'!M256, 8), "Input UV", "none"))))</f>
        <v>none</v>
      </c>
    </row>
    <row r="256" spans="1:24" x14ac:dyDescent="0.2">
      <c r="A256" s="15">
        <f>A255+TIME(0,0,'Raw Data'!B256)</f>
        <v>0</v>
      </c>
      <c r="B256" s="4">
        <f>'Raw Data'!C257*0.025</f>
        <v>0</v>
      </c>
      <c r="C256" s="4">
        <f t="shared" si="12"/>
        <v>0</v>
      </c>
      <c r="D256" s="4">
        <f>'Raw Data'!D257*0.025</f>
        <v>0</v>
      </c>
      <c r="E256" s="4">
        <f t="shared" si="13"/>
        <v>0</v>
      </c>
      <c r="F256" s="4">
        <f>'Raw Data'!E257*0.001648</f>
        <v>0</v>
      </c>
      <c r="G256" s="4">
        <f>'Raw Data'!F257*0.001648</f>
        <v>0</v>
      </c>
      <c r="H256" s="4">
        <f>'Raw Data'!G257*6*0.000128176</f>
        <v>0</v>
      </c>
      <c r="I256" s="4">
        <f>'Raw Data'!H257*0.000732435</f>
        <v>0</v>
      </c>
      <c r="J256" s="4">
        <f t="shared" si="11"/>
        <v>0</v>
      </c>
      <c r="K256" s="36">
        <f>IF(('Raw Data'!I257-16384)/32768&lt;0,0,('Raw Data'!I257-16384)/32768)</f>
        <v>0</v>
      </c>
      <c r="L256" s="4">
        <f>IF(('Raw Data'!J257-12010)/45.6=-263.377192982456,0,('Raw Data'!J257-12010)/45.6)</f>
        <v>0</v>
      </c>
      <c r="M256" s="16">
        <f>'Raw Data'!N257*2^-8</f>
        <v>0</v>
      </c>
      <c r="N256" s="16">
        <f>'Raw Data'!O257*2^-8</f>
        <v>0</v>
      </c>
      <c r="O256" s="17" t="str">
        <f>IF(BITWISE_AND('Raw Data'!$K257, 8192),"X","")</f>
        <v/>
      </c>
      <c r="P256" s="17" t="str">
        <f>IF(BITWISE_AND('Raw Data'!$K257, 2048),"X","")</f>
        <v/>
      </c>
      <c r="Q256" s="17" t="str">
        <f>IF(BITWISE_AND('Raw Data'!$K257, 64),"X","")</f>
        <v/>
      </c>
      <c r="R256" s="18" t="str">
        <f>IF(BITWISE_AND('Raw Data'!$L257, 1024),"X","")</f>
        <v/>
      </c>
      <c r="S256" s="18" t="str">
        <f>IF(BITWISE_AND('Raw Data'!$L257, 512),"X","")</f>
        <v/>
      </c>
      <c r="T256" s="18" t="str">
        <f>IF(BITWISE_AND('Raw Data'!$L257, 256),"X","")</f>
        <v/>
      </c>
      <c r="U256" s="18" t="str">
        <f>IF(BITWISE_AND('Raw Data'!$L257, 64),"X","")</f>
        <v/>
      </c>
      <c r="V256" s="18" t="str">
        <f>IF(BITWISE_AND('Raw Data'!$L257, 2),"X","")</f>
        <v/>
      </c>
      <c r="W256" s="18" t="str">
        <f>IF(BITWISE_AND('Raw Data'!$L257, 1),"X","")</f>
        <v/>
      </c>
      <c r="X256" s="19" t="str">
        <f>IF(BITWISE_AND('Raw Data'!M257, 1),"Bat Voltage", IF(BITWISE_AND('Raw Data'!M257, 2), "Charge Current", IF(BITWISE_AND('Raw Data'!M257, 4),"Input Ilim", IF(BITWISE_AND('Raw Data'!M257, 8), "Input UV", "none"))))</f>
        <v>none</v>
      </c>
    </row>
    <row r="257" spans="1:24" x14ac:dyDescent="0.2">
      <c r="A257" s="15">
        <f>A256+TIME(0,0,'Raw Data'!B257)</f>
        <v>0</v>
      </c>
      <c r="B257" s="4">
        <f>'Raw Data'!C258*0.025</f>
        <v>0</v>
      </c>
      <c r="C257" s="4">
        <f t="shared" si="12"/>
        <v>0</v>
      </c>
      <c r="D257" s="4">
        <f>'Raw Data'!D258*0.025</f>
        <v>0</v>
      </c>
      <c r="E257" s="4">
        <f t="shared" si="13"/>
        <v>0</v>
      </c>
      <c r="F257" s="4">
        <f>'Raw Data'!E258*0.001648</f>
        <v>0</v>
      </c>
      <c r="G257" s="4">
        <f>'Raw Data'!F258*0.001648</f>
        <v>0</v>
      </c>
      <c r="H257" s="4">
        <f>'Raw Data'!G258*6*0.000128176</f>
        <v>0</v>
      </c>
      <c r="I257" s="4">
        <f>'Raw Data'!H258*0.000732435</f>
        <v>0</v>
      </c>
      <c r="J257" s="4">
        <f t="shared" si="11"/>
        <v>0</v>
      </c>
      <c r="K257" s="36">
        <f>IF(('Raw Data'!I258-16384)/32768&lt;0,0,('Raw Data'!I258-16384)/32768)</f>
        <v>0</v>
      </c>
      <c r="L257" s="4">
        <f>IF(('Raw Data'!J258-12010)/45.6=-263.377192982456,0,('Raw Data'!J258-12010)/45.6)</f>
        <v>0</v>
      </c>
      <c r="M257" s="16">
        <f>'Raw Data'!N258*2^-8</f>
        <v>0</v>
      </c>
      <c r="N257" s="16">
        <f>'Raw Data'!O258*2^-8</f>
        <v>0</v>
      </c>
      <c r="O257" s="17" t="str">
        <f>IF(BITWISE_AND('Raw Data'!$K258, 8192),"X","")</f>
        <v/>
      </c>
      <c r="P257" s="17" t="str">
        <f>IF(BITWISE_AND('Raw Data'!$K258, 2048),"X","")</f>
        <v/>
      </c>
      <c r="Q257" s="17" t="str">
        <f>IF(BITWISE_AND('Raw Data'!$K258, 64),"X","")</f>
        <v/>
      </c>
      <c r="R257" s="18" t="str">
        <f>IF(BITWISE_AND('Raw Data'!$L258, 1024),"X","")</f>
        <v/>
      </c>
      <c r="S257" s="18" t="str">
        <f>IF(BITWISE_AND('Raw Data'!$L258, 512),"X","")</f>
        <v/>
      </c>
      <c r="T257" s="18" t="str">
        <f>IF(BITWISE_AND('Raw Data'!$L258, 256),"X","")</f>
        <v/>
      </c>
      <c r="U257" s="18" t="str">
        <f>IF(BITWISE_AND('Raw Data'!$L258, 64),"X","")</f>
        <v/>
      </c>
      <c r="V257" s="18" t="str">
        <f>IF(BITWISE_AND('Raw Data'!$L258, 2),"X","")</f>
        <v/>
      </c>
      <c r="W257" s="18" t="str">
        <f>IF(BITWISE_AND('Raw Data'!$L258, 1),"X","")</f>
        <v/>
      </c>
      <c r="X257" s="19" t="str">
        <f>IF(BITWISE_AND('Raw Data'!M258, 1),"Bat Voltage", IF(BITWISE_AND('Raw Data'!M258, 2), "Charge Current", IF(BITWISE_AND('Raw Data'!M258, 4),"Input Ilim", IF(BITWISE_AND('Raw Data'!M258, 8), "Input UV", "none"))))</f>
        <v>none</v>
      </c>
    </row>
    <row r="258" spans="1:24" x14ac:dyDescent="0.2">
      <c r="A258" s="15">
        <f>A257+TIME(0,0,'Raw Data'!B258)</f>
        <v>0</v>
      </c>
      <c r="B258" s="4">
        <f>'Raw Data'!C259*0.025</f>
        <v>0</v>
      </c>
      <c r="C258" s="4">
        <f t="shared" si="12"/>
        <v>0</v>
      </c>
      <c r="D258" s="4">
        <f>'Raw Data'!D259*0.025</f>
        <v>0</v>
      </c>
      <c r="E258" s="4">
        <f t="shared" si="13"/>
        <v>0</v>
      </c>
      <c r="F258" s="4">
        <f>'Raw Data'!E259*0.001648</f>
        <v>0</v>
      </c>
      <c r="G258" s="4">
        <f>'Raw Data'!F259*0.001648</f>
        <v>0</v>
      </c>
      <c r="H258" s="4">
        <f>'Raw Data'!G259*6*0.000128176</f>
        <v>0</v>
      </c>
      <c r="I258" s="4">
        <f>'Raw Data'!H259*0.000732435</f>
        <v>0</v>
      </c>
      <c r="J258" s="4">
        <f t="shared" si="11"/>
        <v>0</v>
      </c>
      <c r="K258" s="36">
        <f>IF(('Raw Data'!I259-16384)/32768&lt;0,0,('Raw Data'!I259-16384)/32768)</f>
        <v>0</v>
      </c>
      <c r="L258" s="4">
        <f>IF(('Raw Data'!J259-12010)/45.6=-263.377192982456,0,('Raw Data'!J259-12010)/45.6)</f>
        <v>0</v>
      </c>
      <c r="M258" s="16">
        <f>'Raw Data'!N259*2^-8</f>
        <v>0</v>
      </c>
      <c r="N258" s="16">
        <f>'Raw Data'!O259*2^-8</f>
        <v>0</v>
      </c>
      <c r="O258" s="17" t="str">
        <f>IF(BITWISE_AND('Raw Data'!$K259, 8192),"X","")</f>
        <v/>
      </c>
      <c r="P258" s="17" t="str">
        <f>IF(BITWISE_AND('Raw Data'!$K259, 2048),"X","")</f>
        <v/>
      </c>
      <c r="Q258" s="17" t="str">
        <f>IF(BITWISE_AND('Raw Data'!$K259, 64),"X","")</f>
        <v/>
      </c>
      <c r="R258" s="18" t="str">
        <f>IF(BITWISE_AND('Raw Data'!$L259, 1024),"X","")</f>
        <v/>
      </c>
      <c r="S258" s="18" t="str">
        <f>IF(BITWISE_AND('Raw Data'!$L259, 512),"X","")</f>
        <v/>
      </c>
      <c r="T258" s="18" t="str">
        <f>IF(BITWISE_AND('Raw Data'!$L259, 256),"X","")</f>
        <v/>
      </c>
      <c r="U258" s="18" t="str">
        <f>IF(BITWISE_AND('Raw Data'!$L259, 64),"X","")</f>
        <v/>
      </c>
      <c r="V258" s="18" t="str">
        <f>IF(BITWISE_AND('Raw Data'!$L259, 2),"X","")</f>
        <v/>
      </c>
      <c r="W258" s="18" t="str">
        <f>IF(BITWISE_AND('Raw Data'!$L259, 1),"X","")</f>
        <v/>
      </c>
      <c r="X258" s="19" t="str">
        <f>IF(BITWISE_AND('Raw Data'!M259, 1),"Bat Voltage", IF(BITWISE_AND('Raw Data'!M259, 2), "Charge Current", IF(BITWISE_AND('Raw Data'!M259, 4),"Input Ilim", IF(BITWISE_AND('Raw Data'!M259, 8), "Input UV", "none"))))</f>
        <v>none</v>
      </c>
    </row>
    <row r="259" spans="1:24" x14ac:dyDescent="0.2">
      <c r="A259" s="15">
        <f>A258+TIME(0,0,'Raw Data'!B259)</f>
        <v>0</v>
      </c>
      <c r="B259" s="4">
        <f>'Raw Data'!C260*0.025</f>
        <v>0</v>
      </c>
      <c r="C259" s="4">
        <f t="shared" si="12"/>
        <v>0</v>
      </c>
      <c r="D259" s="4">
        <f>'Raw Data'!D260*0.025</f>
        <v>0</v>
      </c>
      <c r="E259" s="4">
        <f t="shared" si="13"/>
        <v>0</v>
      </c>
      <c r="F259" s="4">
        <f>'Raw Data'!E260*0.001648</f>
        <v>0</v>
      </c>
      <c r="G259" s="4">
        <f>'Raw Data'!F260*0.001648</f>
        <v>0</v>
      </c>
      <c r="H259" s="4">
        <f>'Raw Data'!G260*6*0.000128176</f>
        <v>0</v>
      </c>
      <c r="I259" s="4">
        <f>'Raw Data'!H260*0.000732435</f>
        <v>0</v>
      </c>
      <c r="J259" s="4">
        <f t="shared" ref="J259:J322" si="14">H259*I259</f>
        <v>0</v>
      </c>
      <c r="K259" s="36">
        <f>IF(('Raw Data'!I260-16384)/32768&lt;0,0,('Raw Data'!I260-16384)/32768)</f>
        <v>0</v>
      </c>
      <c r="L259" s="4">
        <f>IF(('Raw Data'!J260-12010)/45.6=-263.377192982456,0,('Raw Data'!J260-12010)/45.6)</f>
        <v>0</v>
      </c>
      <c r="M259" s="16">
        <f>'Raw Data'!N260*2^-8</f>
        <v>0</v>
      </c>
      <c r="N259" s="16">
        <f>'Raw Data'!O260*2^-8</f>
        <v>0</v>
      </c>
      <c r="O259" s="17" t="str">
        <f>IF(BITWISE_AND('Raw Data'!$K260, 8192),"X","")</f>
        <v/>
      </c>
      <c r="P259" s="17" t="str">
        <f>IF(BITWISE_AND('Raw Data'!$K260, 2048),"X","")</f>
        <v/>
      </c>
      <c r="Q259" s="17" t="str">
        <f>IF(BITWISE_AND('Raw Data'!$K260, 64),"X","")</f>
        <v/>
      </c>
      <c r="R259" s="18" t="str">
        <f>IF(BITWISE_AND('Raw Data'!$L260, 1024),"X","")</f>
        <v/>
      </c>
      <c r="S259" s="18" t="str">
        <f>IF(BITWISE_AND('Raw Data'!$L260, 512),"X","")</f>
        <v/>
      </c>
      <c r="T259" s="18" t="str">
        <f>IF(BITWISE_AND('Raw Data'!$L260, 256),"X","")</f>
        <v/>
      </c>
      <c r="U259" s="18" t="str">
        <f>IF(BITWISE_AND('Raw Data'!$L260, 64),"X","")</f>
        <v/>
      </c>
      <c r="V259" s="18" t="str">
        <f>IF(BITWISE_AND('Raw Data'!$L260, 2),"X","")</f>
        <v/>
      </c>
      <c r="W259" s="18" t="str">
        <f>IF(BITWISE_AND('Raw Data'!$L260, 1),"X","")</f>
        <v/>
      </c>
      <c r="X259" s="19" t="str">
        <f>IF(BITWISE_AND('Raw Data'!M260, 1),"Bat Voltage", IF(BITWISE_AND('Raw Data'!M260, 2), "Charge Current", IF(BITWISE_AND('Raw Data'!M260, 4),"Input Ilim", IF(BITWISE_AND('Raw Data'!M260, 8), "Input UV", "none"))))</f>
        <v>none</v>
      </c>
    </row>
    <row r="260" spans="1:24" x14ac:dyDescent="0.2">
      <c r="A260" s="15">
        <f>A259+TIME(0,0,'Raw Data'!B260)</f>
        <v>0</v>
      </c>
      <c r="B260" s="4">
        <f>'Raw Data'!C261*0.025</f>
        <v>0</v>
      </c>
      <c r="C260" s="4">
        <f t="shared" si="12"/>
        <v>0</v>
      </c>
      <c r="D260" s="4">
        <f>'Raw Data'!D261*0.025</f>
        <v>0</v>
      </c>
      <c r="E260" s="4">
        <f t="shared" si="13"/>
        <v>0</v>
      </c>
      <c r="F260" s="4">
        <f>'Raw Data'!E261*0.001648</f>
        <v>0</v>
      </c>
      <c r="G260" s="4">
        <f>'Raw Data'!F261*0.001648</f>
        <v>0</v>
      </c>
      <c r="H260" s="4">
        <f>'Raw Data'!G261*6*0.000128176</f>
        <v>0</v>
      </c>
      <c r="I260" s="4">
        <f>'Raw Data'!H261*0.000732435</f>
        <v>0</v>
      </c>
      <c r="J260" s="4">
        <f t="shared" si="14"/>
        <v>0</v>
      </c>
      <c r="K260" s="36">
        <f>IF(('Raw Data'!I261-16384)/32768&lt;0,0,('Raw Data'!I261-16384)/32768)</f>
        <v>0</v>
      </c>
      <c r="L260" s="4">
        <f>IF(('Raw Data'!J261-12010)/45.6=-263.377192982456,0,('Raw Data'!J261-12010)/45.6)</f>
        <v>0</v>
      </c>
      <c r="M260" s="16">
        <f>'Raw Data'!N261*2^-8</f>
        <v>0</v>
      </c>
      <c r="N260" s="16">
        <f>'Raw Data'!O261*2^-8</f>
        <v>0</v>
      </c>
      <c r="O260" s="17" t="str">
        <f>IF(BITWISE_AND('Raw Data'!$K261, 8192),"X","")</f>
        <v/>
      </c>
      <c r="P260" s="17" t="str">
        <f>IF(BITWISE_AND('Raw Data'!$K261, 2048),"X","")</f>
        <v/>
      </c>
      <c r="Q260" s="17" t="str">
        <f>IF(BITWISE_AND('Raw Data'!$K261, 64),"X","")</f>
        <v/>
      </c>
      <c r="R260" s="18" t="str">
        <f>IF(BITWISE_AND('Raw Data'!$L261, 1024),"X","")</f>
        <v/>
      </c>
      <c r="S260" s="18" t="str">
        <f>IF(BITWISE_AND('Raw Data'!$L261, 512),"X","")</f>
        <v/>
      </c>
      <c r="T260" s="18" t="str">
        <f>IF(BITWISE_AND('Raw Data'!$L261, 256),"X","")</f>
        <v/>
      </c>
      <c r="U260" s="18" t="str">
        <f>IF(BITWISE_AND('Raw Data'!$L261, 64),"X","")</f>
        <v/>
      </c>
      <c r="V260" s="18" t="str">
        <f>IF(BITWISE_AND('Raw Data'!$L261, 2),"X","")</f>
        <v/>
      </c>
      <c r="W260" s="18" t="str">
        <f>IF(BITWISE_AND('Raw Data'!$L261, 1),"X","")</f>
        <v/>
      </c>
      <c r="X260" s="19" t="str">
        <f>IF(BITWISE_AND('Raw Data'!M261, 1),"Bat Voltage", IF(BITWISE_AND('Raw Data'!M261, 2), "Charge Current", IF(BITWISE_AND('Raw Data'!M261, 4),"Input Ilim", IF(BITWISE_AND('Raw Data'!M261, 8), "Input UV", "none"))))</f>
        <v>none</v>
      </c>
    </row>
    <row r="261" spans="1:24" x14ac:dyDescent="0.2">
      <c r="A261" s="15">
        <f>A260+TIME(0,0,'Raw Data'!B261)</f>
        <v>0</v>
      </c>
      <c r="B261" s="4">
        <f>'Raw Data'!C262*0.025</f>
        <v>0</v>
      </c>
      <c r="C261" s="4">
        <f t="shared" si="12"/>
        <v>0</v>
      </c>
      <c r="D261" s="4">
        <f>'Raw Data'!D262*0.025</f>
        <v>0</v>
      </c>
      <c r="E261" s="4">
        <f t="shared" si="13"/>
        <v>0</v>
      </c>
      <c r="F261" s="4">
        <f>'Raw Data'!E262*0.001648</f>
        <v>0</v>
      </c>
      <c r="G261" s="4">
        <f>'Raw Data'!F262*0.001648</f>
        <v>0</v>
      </c>
      <c r="H261" s="4">
        <f>'Raw Data'!G262*6*0.000128176</f>
        <v>0</v>
      </c>
      <c r="I261" s="4">
        <f>'Raw Data'!H262*0.000732435</f>
        <v>0</v>
      </c>
      <c r="J261" s="4">
        <f t="shared" si="14"/>
        <v>0</v>
      </c>
      <c r="K261" s="36">
        <f>IF(('Raw Data'!I262-16384)/32768&lt;0,0,('Raw Data'!I262-16384)/32768)</f>
        <v>0</v>
      </c>
      <c r="L261" s="4">
        <f>IF(('Raw Data'!J262-12010)/45.6=-263.377192982456,0,('Raw Data'!J262-12010)/45.6)</f>
        <v>0</v>
      </c>
      <c r="M261" s="16">
        <f>'Raw Data'!N262*2^-8</f>
        <v>0</v>
      </c>
      <c r="N261" s="16">
        <f>'Raw Data'!O262*2^-8</f>
        <v>0</v>
      </c>
      <c r="O261" s="17" t="str">
        <f>IF(BITWISE_AND('Raw Data'!$K262, 8192),"X","")</f>
        <v/>
      </c>
      <c r="P261" s="17" t="str">
        <f>IF(BITWISE_AND('Raw Data'!$K262, 2048),"X","")</f>
        <v/>
      </c>
      <c r="Q261" s="17" t="str">
        <f>IF(BITWISE_AND('Raw Data'!$K262, 64),"X","")</f>
        <v/>
      </c>
      <c r="R261" s="18" t="str">
        <f>IF(BITWISE_AND('Raw Data'!$L262, 1024),"X","")</f>
        <v/>
      </c>
      <c r="S261" s="18" t="str">
        <f>IF(BITWISE_AND('Raw Data'!$L262, 512),"X","")</f>
        <v/>
      </c>
      <c r="T261" s="18" t="str">
        <f>IF(BITWISE_AND('Raw Data'!$L262, 256),"X","")</f>
        <v/>
      </c>
      <c r="U261" s="18" t="str">
        <f>IF(BITWISE_AND('Raw Data'!$L262, 64),"X","")</f>
        <v/>
      </c>
      <c r="V261" s="18" t="str">
        <f>IF(BITWISE_AND('Raw Data'!$L262, 2),"X","")</f>
        <v/>
      </c>
      <c r="W261" s="18" t="str">
        <f>IF(BITWISE_AND('Raw Data'!$L262, 1),"X","")</f>
        <v/>
      </c>
      <c r="X261" s="19" t="str">
        <f>IF(BITWISE_AND('Raw Data'!M262, 1),"Bat Voltage", IF(BITWISE_AND('Raw Data'!M262, 2), "Charge Current", IF(BITWISE_AND('Raw Data'!M262, 4),"Input Ilim", IF(BITWISE_AND('Raw Data'!M262, 8), "Input UV", "none"))))</f>
        <v>none</v>
      </c>
    </row>
    <row r="262" spans="1:24" x14ac:dyDescent="0.2">
      <c r="A262" s="15">
        <f>A261+TIME(0,0,'Raw Data'!B262)</f>
        <v>0</v>
      </c>
      <c r="B262" s="4">
        <f>'Raw Data'!C263*0.025</f>
        <v>0</v>
      </c>
      <c r="C262" s="4">
        <f t="shared" si="12"/>
        <v>0</v>
      </c>
      <c r="D262" s="4">
        <f>'Raw Data'!D263*0.025</f>
        <v>0</v>
      </c>
      <c r="E262" s="4">
        <f t="shared" si="13"/>
        <v>0</v>
      </c>
      <c r="F262" s="4">
        <f>'Raw Data'!E263*0.001648</f>
        <v>0</v>
      </c>
      <c r="G262" s="4">
        <f>'Raw Data'!F263*0.001648</f>
        <v>0</v>
      </c>
      <c r="H262" s="4">
        <f>'Raw Data'!G263*6*0.000128176</f>
        <v>0</v>
      </c>
      <c r="I262" s="4">
        <f>'Raw Data'!H263*0.000732435</f>
        <v>0</v>
      </c>
      <c r="J262" s="4">
        <f t="shared" si="14"/>
        <v>0</v>
      </c>
      <c r="K262" s="36">
        <f>IF(('Raw Data'!I263-16384)/32768&lt;0,0,('Raw Data'!I263-16384)/32768)</f>
        <v>0</v>
      </c>
      <c r="L262" s="4">
        <f>IF(('Raw Data'!J263-12010)/45.6=-263.377192982456,0,('Raw Data'!J263-12010)/45.6)</f>
        <v>0</v>
      </c>
      <c r="M262" s="16">
        <f>'Raw Data'!N263*2^-8</f>
        <v>0</v>
      </c>
      <c r="N262" s="16">
        <f>'Raw Data'!O263*2^-8</f>
        <v>0</v>
      </c>
      <c r="O262" s="17" t="str">
        <f>IF(BITWISE_AND('Raw Data'!$K263, 8192),"X","")</f>
        <v/>
      </c>
      <c r="P262" s="17" t="str">
        <f>IF(BITWISE_AND('Raw Data'!$K263, 2048),"X","")</f>
        <v/>
      </c>
      <c r="Q262" s="17" t="str">
        <f>IF(BITWISE_AND('Raw Data'!$K263, 64),"X","")</f>
        <v/>
      </c>
      <c r="R262" s="18" t="str">
        <f>IF(BITWISE_AND('Raw Data'!$L263, 1024),"X","")</f>
        <v/>
      </c>
      <c r="S262" s="18" t="str">
        <f>IF(BITWISE_AND('Raw Data'!$L263, 512),"X","")</f>
        <v/>
      </c>
      <c r="T262" s="18" t="str">
        <f>IF(BITWISE_AND('Raw Data'!$L263, 256),"X","")</f>
        <v/>
      </c>
      <c r="U262" s="18" t="str">
        <f>IF(BITWISE_AND('Raw Data'!$L263, 64),"X","")</f>
        <v/>
      </c>
      <c r="V262" s="18" t="str">
        <f>IF(BITWISE_AND('Raw Data'!$L263, 2),"X","")</f>
        <v/>
      </c>
      <c r="W262" s="18" t="str">
        <f>IF(BITWISE_AND('Raw Data'!$L263, 1),"X","")</f>
        <v/>
      </c>
      <c r="X262" s="19" t="str">
        <f>IF(BITWISE_AND('Raw Data'!M263, 1),"Bat Voltage", IF(BITWISE_AND('Raw Data'!M263, 2), "Charge Current", IF(BITWISE_AND('Raw Data'!M263, 4),"Input Ilim", IF(BITWISE_AND('Raw Data'!M263, 8), "Input UV", "none"))))</f>
        <v>none</v>
      </c>
    </row>
    <row r="263" spans="1:24" x14ac:dyDescent="0.2">
      <c r="A263" s="15">
        <f>A262+TIME(0,0,'Raw Data'!B263)</f>
        <v>0</v>
      </c>
      <c r="B263" s="4">
        <f>'Raw Data'!C264*0.025</f>
        <v>0</v>
      </c>
      <c r="C263" s="4">
        <f t="shared" si="12"/>
        <v>0</v>
      </c>
      <c r="D263" s="4">
        <f>'Raw Data'!D264*0.025</f>
        <v>0</v>
      </c>
      <c r="E263" s="4">
        <f t="shared" si="13"/>
        <v>0</v>
      </c>
      <c r="F263" s="4">
        <f>'Raw Data'!E264*0.001648</f>
        <v>0</v>
      </c>
      <c r="G263" s="4">
        <f>'Raw Data'!F264*0.001648</f>
        <v>0</v>
      </c>
      <c r="H263" s="4">
        <f>'Raw Data'!G264*6*0.000128176</f>
        <v>0</v>
      </c>
      <c r="I263" s="4">
        <f>'Raw Data'!H264*0.000732435</f>
        <v>0</v>
      </c>
      <c r="J263" s="4">
        <f t="shared" si="14"/>
        <v>0</v>
      </c>
      <c r="K263" s="36">
        <f>IF(('Raw Data'!I264-16384)/32768&lt;0,0,('Raw Data'!I264-16384)/32768)</f>
        <v>0</v>
      </c>
      <c r="L263" s="4">
        <f>IF(('Raw Data'!J264-12010)/45.6=-263.377192982456,0,('Raw Data'!J264-12010)/45.6)</f>
        <v>0</v>
      </c>
      <c r="M263" s="16">
        <f>'Raw Data'!N264*2^-8</f>
        <v>0</v>
      </c>
      <c r="N263" s="16">
        <f>'Raw Data'!O264*2^-8</f>
        <v>0</v>
      </c>
      <c r="O263" s="17" t="str">
        <f>IF(BITWISE_AND('Raw Data'!$K264, 8192),"X","")</f>
        <v/>
      </c>
      <c r="P263" s="17" t="str">
        <f>IF(BITWISE_AND('Raw Data'!$K264, 2048),"X","")</f>
        <v/>
      </c>
      <c r="Q263" s="17" t="str">
        <f>IF(BITWISE_AND('Raw Data'!$K264, 64),"X","")</f>
        <v/>
      </c>
      <c r="R263" s="18" t="str">
        <f>IF(BITWISE_AND('Raw Data'!$L264, 1024),"X","")</f>
        <v/>
      </c>
      <c r="S263" s="18" t="str">
        <f>IF(BITWISE_AND('Raw Data'!$L264, 512),"X","")</f>
        <v/>
      </c>
      <c r="T263" s="18" t="str">
        <f>IF(BITWISE_AND('Raw Data'!$L264, 256),"X","")</f>
        <v/>
      </c>
      <c r="U263" s="18" t="str">
        <f>IF(BITWISE_AND('Raw Data'!$L264, 64),"X","")</f>
        <v/>
      </c>
      <c r="V263" s="18" t="str">
        <f>IF(BITWISE_AND('Raw Data'!$L264, 2),"X","")</f>
        <v/>
      </c>
      <c r="W263" s="18" t="str">
        <f>IF(BITWISE_AND('Raw Data'!$L264, 1),"X","")</f>
        <v/>
      </c>
      <c r="X263" s="19" t="str">
        <f>IF(BITWISE_AND('Raw Data'!M264, 1),"Bat Voltage", IF(BITWISE_AND('Raw Data'!M264, 2), "Charge Current", IF(BITWISE_AND('Raw Data'!M264, 4),"Input Ilim", IF(BITWISE_AND('Raw Data'!M264, 8), "Input UV", "none"))))</f>
        <v>none</v>
      </c>
    </row>
    <row r="264" spans="1:24" x14ac:dyDescent="0.2">
      <c r="A264" s="15">
        <f>A263+TIME(0,0,'Raw Data'!B264)</f>
        <v>0</v>
      </c>
      <c r="B264" s="4">
        <f>'Raw Data'!C265*0.025</f>
        <v>0</v>
      </c>
      <c r="C264" s="4">
        <f t="shared" si="12"/>
        <v>0</v>
      </c>
      <c r="D264" s="4">
        <f>'Raw Data'!D265*0.025</f>
        <v>0</v>
      </c>
      <c r="E264" s="4">
        <f t="shared" si="13"/>
        <v>0</v>
      </c>
      <c r="F264" s="4">
        <f>'Raw Data'!E265*0.001648</f>
        <v>0</v>
      </c>
      <c r="G264" s="4">
        <f>'Raw Data'!F265*0.001648</f>
        <v>0</v>
      </c>
      <c r="H264" s="4">
        <f>'Raw Data'!G265*6*0.000128176</f>
        <v>0</v>
      </c>
      <c r="I264" s="4">
        <f>'Raw Data'!H265*0.000732435</f>
        <v>0</v>
      </c>
      <c r="J264" s="4">
        <f t="shared" si="14"/>
        <v>0</v>
      </c>
      <c r="K264" s="36">
        <f>IF(('Raw Data'!I265-16384)/32768&lt;0,0,('Raw Data'!I265-16384)/32768)</f>
        <v>0</v>
      </c>
      <c r="L264" s="4">
        <f>IF(('Raw Data'!J265-12010)/45.6=-263.377192982456,0,('Raw Data'!J265-12010)/45.6)</f>
        <v>0</v>
      </c>
      <c r="M264" s="16">
        <f>'Raw Data'!N265*2^-8</f>
        <v>0</v>
      </c>
      <c r="N264" s="16">
        <f>'Raw Data'!O265*2^-8</f>
        <v>0</v>
      </c>
      <c r="O264" s="17" t="str">
        <f>IF(BITWISE_AND('Raw Data'!$K265, 8192),"X","")</f>
        <v/>
      </c>
      <c r="P264" s="17" t="str">
        <f>IF(BITWISE_AND('Raw Data'!$K265, 2048),"X","")</f>
        <v/>
      </c>
      <c r="Q264" s="17" t="str">
        <f>IF(BITWISE_AND('Raw Data'!$K265, 64),"X","")</f>
        <v/>
      </c>
      <c r="R264" s="18" t="str">
        <f>IF(BITWISE_AND('Raw Data'!$L265, 1024),"X","")</f>
        <v/>
      </c>
      <c r="S264" s="18" t="str">
        <f>IF(BITWISE_AND('Raw Data'!$L265, 512),"X","")</f>
        <v/>
      </c>
      <c r="T264" s="18" t="str">
        <f>IF(BITWISE_AND('Raw Data'!$L265, 256),"X","")</f>
        <v/>
      </c>
      <c r="U264" s="18" t="str">
        <f>IF(BITWISE_AND('Raw Data'!$L265, 64),"X","")</f>
        <v/>
      </c>
      <c r="V264" s="18" t="str">
        <f>IF(BITWISE_AND('Raw Data'!$L265, 2),"X","")</f>
        <v/>
      </c>
      <c r="W264" s="18" t="str">
        <f>IF(BITWISE_AND('Raw Data'!$L265, 1),"X","")</f>
        <v/>
      </c>
      <c r="X264" s="19" t="str">
        <f>IF(BITWISE_AND('Raw Data'!M265, 1),"Bat Voltage", IF(BITWISE_AND('Raw Data'!M265, 2), "Charge Current", IF(BITWISE_AND('Raw Data'!M265, 4),"Input Ilim", IF(BITWISE_AND('Raw Data'!M265, 8), "Input UV", "none"))))</f>
        <v>none</v>
      </c>
    </row>
    <row r="265" spans="1:24" x14ac:dyDescent="0.2">
      <c r="A265" s="15">
        <f>A264+TIME(0,0,'Raw Data'!B265)</f>
        <v>0</v>
      </c>
      <c r="B265" s="4">
        <f>'Raw Data'!C266*0.025</f>
        <v>0</v>
      </c>
      <c r="C265" s="4">
        <f t="shared" si="12"/>
        <v>0</v>
      </c>
      <c r="D265" s="4">
        <f>'Raw Data'!D266*0.025</f>
        <v>0</v>
      </c>
      <c r="E265" s="4">
        <f t="shared" si="13"/>
        <v>0</v>
      </c>
      <c r="F265" s="4">
        <f>'Raw Data'!E266*0.001648</f>
        <v>0</v>
      </c>
      <c r="G265" s="4">
        <f>'Raw Data'!F266*0.001648</f>
        <v>0</v>
      </c>
      <c r="H265" s="4">
        <f>'Raw Data'!G266*6*0.000128176</f>
        <v>0</v>
      </c>
      <c r="I265" s="4">
        <f>'Raw Data'!H266*0.000732435</f>
        <v>0</v>
      </c>
      <c r="J265" s="4">
        <f t="shared" si="14"/>
        <v>0</v>
      </c>
      <c r="K265" s="36">
        <f>IF(('Raw Data'!I266-16384)/32768&lt;0,0,('Raw Data'!I266-16384)/32768)</f>
        <v>0</v>
      </c>
      <c r="L265" s="4">
        <f>IF(('Raw Data'!J266-12010)/45.6=-263.377192982456,0,('Raw Data'!J266-12010)/45.6)</f>
        <v>0</v>
      </c>
      <c r="M265" s="16">
        <f>'Raw Data'!N266*2^-8</f>
        <v>0</v>
      </c>
      <c r="N265" s="16">
        <f>'Raw Data'!O266*2^-8</f>
        <v>0</v>
      </c>
      <c r="O265" s="17" t="str">
        <f>IF(BITWISE_AND('Raw Data'!$K266, 8192),"X","")</f>
        <v/>
      </c>
      <c r="P265" s="17" t="str">
        <f>IF(BITWISE_AND('Raw Data'!$K266, 2048),"X","")</f>
        <v/>
      </c>
      <c r="Q265" s="17" t="str">
        <f>IF(BITWISE_AND('Raw Data'!$K266, 64),"X","")</f>
        <v/>
      </c>
      <c r="R265" s="18" t="str">
        <f>IF(BITWISE_AND('Raw Data'!$L266, 1024),"X","")</f>
        <v/>
      </c>
      <c r="S265" s="18" t="str">
        <f>IF(BITWISE_AND('Raw Data'!$L266, 512),"X","")</f>
        <v/>
      </c>
      <c r="T265" s="18" t="str">
        <f>IF(BITWISE_AND('Raw Data'!$L266, 256),"X","")</f>
        <v/>
      </c>
      <c r="U265" s="18" t="str">
        <f>IF(BITWISE_AND('Raw Data'!$L266, 64),"X","")</f>
        <v/>
      </c>
      <c r="V265" s="18" t="str">
        <f>IF(BITWISE_AND('Raw Data'!$L266, 2),"X","")</f>
        <v/>
      </c>
      <c r="W265" s="18" t="str">
        <f>IF(BITWISE_AND('Raw Data'!$L266, 1),"X","")</f>
        <v/>
      </c>
      <c r="X265" s="19" t="str">
        <f>IF(BITWISE_AND('Raw Data'!M266, 1),"Bat Voltage", IF(BITWISE_AND('Raw Data'!M266, 2), "Charge Current", IF(BITWISE_AND('Raw Data'!M266, 4),"Input Ilim", IF(BITWISE_AND('Raw Data'!M266, 8), "Input UV", "none"))))</f>
        <v>none</v>
      </c>
    </row>
    <row r="266" spans="1:24" x14ac:dyDescent="0.2">
      <c r="A266" s="15">
        <f>A265+TIME(0,0,'Raw Data'!B266)</f>
        <v>0</v>
      </c>
      <c r="B266" s="4">
        <f>'Raw Data'!C267*0.025</f>
        <v>0</v>
      </c>
      <c r="C266" s="4">
        <f t="shared" si="12"/>
        <v>0</v>
      </c>
      <c r="D266" s="4">
        <f>'Raw Data'!D267*0.025</f>
        <v>0</v>
      </c>
      <c r="E266" s="4">
        <f t="shared" si="13"/>
        <v>0</v>
      </c>
      <c r="F266" s="4">
        <f>'Raw Data'!E267*0.001648</f>
        <v>0</v>
      </c>
      <c r="G266" s="4">
        <f>'Raw Data'!F267*0.001648</f>
        <v>0</v>
      </c>
      <c r="H266" s="4">
        <f>'Raw Data'!G267*6*0.000128176</f>
        <v>0</v>
      </c>
      <c r="I266" s="4">
        <f>'Raw Data'!H267*0.000732435</f>
        <v>0</v>
      </c>
      <c r="J266" s="4">
        <f t="shared" si="14"/>
        <v>0</v>
      </c>
      <c r="K266" s="36">
        <f>IF(('Raw Data'!I267-16384)/32768&lt;0,0,('Raw Data'!I267-16384)/32768)</f>
        <v>0</v>
      </c>
      <c r="L266" s="4">
        <f>IF(('Raw Data'!J267-12010)/45.6=-263.377192982456,0,('Raw Data'!J267-12010)/45.6)</f>
        <v>0</v>
      </c>
      <c r="M266" s="16">
        <f>'Raw Data'!N267*2^-8</f>
        <v>0</v>
      </c>
      <c r="N266" s="16">
        <f>'Raw Data'!O267*2^-8</f>
        <v>0</v>
      </c>
      <c r="O266" s="17" t="str">
        <f>IF(BITWISE_AND('Raw Data'!$K267, 8192),"X","")</f>
        <v/>
      </c>
      <c r="P266" s="17" t="str">
        <f>IF(BITWISE_AND('Raw Data'!$K267, 2048),"X","")</f>
        <v/>
      </c>
      <c r="Q266" s="17" t="str">
        <f>IF(BITWISE_AND('Raw Data'!$K267, 64),"X","")</f>
        <v/>
      </c>
      <c r="R266" s="18" t="str">
        <f>IF(BITWISE_AND('Raw Data'!$L267, 1024),"X","")</f>
        <v/>
      </c>
      <c r="S266" s="18" t="str">
        <f>IF(BITWISE_AND('Raw Data'!$L267, 512),"X","")</f>
        <v/>
      </c>
      <c r="T266" s="18" t="str">
        <f>IF(BITWISE_AND('Raw Data'!$L267, 256),"X","")</f>
        <v/>
      </c>
      <c r="U266" s="18" t="str">
        <f>IF(BITWISE_AND('Raw Data'!$L267, 64),"X","")</f>
        <v/>
      </c>
      <c r="V266" s="18" t="str">
        <f>IF(BITWISE_AND('Raw Data'!$L267, 2),"X","")</f>
        <v/>
      </c>
      <c r="W266" s="18" t="str">
        <f>IF(BITWISE_AND('Raw Data'!$L267, 1),"X","")</f>
        <v/>
      </c>
      <c r="X266" s="19" t="str">
        <f>IF(BITWISE_AND('Raw Data'!M267, 1),"Bat Voltage", IF(BITWISE_AND('Raw Data'!M267, 2), "Charge Current", IF(BITWISE_AND('Raw Data'!M267, 4),"Input Ilim", IF(BITWISE_AND('Raw Data'!M267, 8), "Input UV", "none"))))</f>
        <v>none</v>
      </c>
    </row>
    <row r="267" spans="1:24" x14ac:dyDescent="0.2">
      <c r="A267" s="15">
        <f>A266+TIME(0,0,'Raw Data'!B267)</f>
        <v>0</v>
      </c>
      <c r="B267" s="4">
        <f>'Raw Data'!C268*0.025</f>
        <v>0</v>
      </c>
      <c r="C267" s="4">
        <f t="shared" si="12"/>
        <v>0</v>
      </c>
      <c r="D267" s="4">
        <f>'Raw Data'!D268*0.025</f>
        <v>0</v>
      </c>
      <c r="E267" s="4">
        <f t="shared" si="13"/>
        <v>0</v>
      </c>
      <c r="F267" s="4">
        <f>'Raw Data'!E268*0.001648</f>
        <v>0</v>
      </c>
      <c r="G267" s="4">
        <f>'Raw Data'!F268*0.001648</f>
        <v>0</v>
      </c>
      <c r="H267" s="4">
        <f>'Raw Data'!G268*6*0.000128176</f>
        <v>0</v>
      </c>
      <c r="I267" s="4">
        <f>'Raw Data'!H268*0.000732435</f>
        <v>0</v>
      </c>
      <c r="J267" s="4">
        <f t="shared" si="14"/>
        <v>0</v>
      </c>
      <c r="K267" s="36">
        <f>IF(('Raw Data'!I268-16384)/32768&lt;0,0,('Raw Data'!I268-16384)/32768)</f>
        <v>0</v>
      </c>
      <c r="L267" s="4">
        <f>IF(('Raw Data'!J268-12010)/45.6=-263.377192982456,0,('Raw Data'!J268-12010)/45.6)</f>
        <v>0</v>
      </c>
      <c r="M267" s="16">
        <f>'Raw Data'!N268*2^-8</f>
        <v>0</v>
      </c>
      <c r="N267" s="16">
        <f>'Raw Data'!O268*2^-8</f>
        <v>0</v>
      </c>
      <c r="O267" s="17" t="str">
        <f>IF(BITWISE_AND('Raw Data'!$K268, 8192),"X","")</f>
        <v/>
      </c>
      <c r="P267" s="17" t="str">
        <f>IF(BITWISE_AND('Raw Data'!$K268, 2048),"X","")</f>
        <v/>
      </c>
      <c r="Q267" s="17" t="str">
        <f>IF(BITWISE_AND('Raw Data'!$K268, 64),"X","")</f>
        <v/>
      </c>
      <c r="R267" s="18" t="str">
        <f>IF(BITWISE_AND('Raw Data'!$L268, 1024),"X","")</f>
        <v/>
      </c>
      <c r="S267" s="18" t="str">
        <f>IF(BITWISE_AND('Raw Data'!$L268, 512),"X","")</f>
        <v/>
      </c>
      <c r="T267" s="18" t="str">
        <f>IF(BITWISE_AND('Raw Data'!$L268, 256),"X","")</f>
        <v/>
      </c>
      <c r="U267" s="18" t="str">
        <f>IF(BITWISE_AND('Raw Data'!$L268, 64),"X","")</f>
        <v/>
      </c>
      <c r="V267" s="18" t="str">
        <f>IF(BITWISE_AND('Raw Data'!$L268, 2),"X","")</f>
        <v/>
      </c>
      <c r="W267" s="18" t="str">
        <f>IF(BITWISE_AND('Raw Data'!$L268, 1),"X","")</f>
        <v/>
      </c>
      <c r="X267" s="19" t="str">
        <f>IF(BITWISE_AND('Raw Data'!M268, 1),"Bat Voltage", IF(BITWISE_AND('Raw Data'!M268, 2), "Charge Current", IF(BITWISE_AND('Raw Data'!M268, 4),"Input Ilim", IF(BITWISE_AND('Raw Data'!M268, 8), "Input UV", "none"))))</f>
        <v>none</v>
      </c>
    </row>
    <row r="268" spans="1:24" x14ac:dyDescent="0.2">
      <c r="A268" s="15">
        <f>A267+TIME(0,0,'Raw Data'!B268)</f>
        <v>0</v>
      </c>
      <c r="B268" s="4">
        <f>'Raw Data'!C269*0.025</f>
        <v>0</v>
      </c>
      <c r="C268" s="4">
        <f t="shared" si="12"/>
        <v>0</v>
      </c>
      <c r="D268" s="4">
        <f>'Raw Data'!D269*0.025</f>
        <v>0</v>
      </c>
      <c r="E268" s="4">
        <f t="shared" si="13"/>
        <v>0</v>
      </c>
      <c r="F268" s="4">
        <f>'Raw Data'!E269*0.001648</f>
        <v>0</v>
      </c>
      <c r="G268" s="4">
        <f>'Raw Data'!F269*0.001648</f>
        <v>0</v>
      </c>
      <c r="H268" s="4">
        <f>'Raw Data'!G269*6*0.000128176</f>
        <v>0</v>
      </c>
      <c r="I268" s="4">
        <f>'Raw Data'!H269*0.000732435</f>
        <v>0</v>
      </c>
      <c r="J268" s="4">
        <f t="shared" si="14"/>
        <v>0</v>
      </c>
      <c r="K268" s="36">
        <f>IF(('Raw Data'!I269-16384)/32768&lt;0,0,('Raw Data'!I269-16384)/32768)</f>
        <v>0</v>
      </c>
      <c r="L268" s="4">
        <f>IF(('Raw Data'!J269-12010)/45.6=-263.377192982456,0,('Raw Data'!J269-12010)/45.6)</f>
        <v>0</v>
      </c>
      <c r="M268" s="16">
        <f>'Raw Data'!N269*2^-8</f>
        <v>0</v>
      </c>
      <c r="N268" s="16">
        <f>'Raw Data'!O269*2^-8</f>
        <v>0</v>
      </c>
      <c r="O268" s="17" t="str">
        <f>IF(BITWISE_AND('Raw Data'!$K269, 8192),"X","")</f>
        <v/>
      </c>
      <c r="P268" s="17" t="str">
        <f>IF(BITWISE_AND('Raw Data'!$K269, 2048),"X","")</f>
        <v/>
      </c>
      <c r="Q268" s="17" t="str">
        <f>IF(BITWISE_AND('Raw Data'!$K269, 64),"X","")</f>
        <v/>
      </c>
      <c r="R268" s="18" t="str">
        <f>IF(BITWISE_AND('Raw Data'!$L269, 1024),"X","")</f>
        <v/>
      </c>
      <c r="S268" s="18" t="str">
        <f>IF(BITWISE_AND('Raw Data'!$L269, 512),"X","")</f>
        <v/>
      </c>
      <c r="T268" s="18" t="str">
        <f>IF(BITWISE_AND('Raw Data'!$L269, 256),"X","")</f>
        <v/>
      </c>
      <c r="U268" s="18" t="str">
        <f>IF(BITWISE_AND('Raw Data'!$L269, 64),"X","")</f>
        <v/>
      </c>
      <c r="V268" s="18" t="str">
        <f>IF(BITWISE_AND('Raw Data'!$L269, 2),"X","")</f>
        <v/>
      </c>
      <c r="W268" s="18" t="str">
        <f>IF(BITWISE_AND('Raw Data'!$L269, 1),"X","")</f>
        <v/>
      </c>
      <c r="X268" s="19" t="str">
        <f>IF(BITWISE_AND('Raw Data'!M269, 1),"Bat Voltage", IF(BITWISE_AND('Raw Data'!M269, 2), "Charge Current", IF(BITWISE_AND('Raw Data'!M269, 4),"Input Ilim", IF(BITWISE_AND('Raw Data'!M269, 8), "Input UV", "none"))))</f>
        <v>none</v>
      </c>
    </row>
    <row r="269" spans="1:24" x14ac:dyDescent="0.2">
      <c r="A269" s="15">
        <f>A268+TIME(0,0,'Raw Data'!B269)</f>
        <v>0</v>
      </c>
      <c r="B269" s="4">
        <f>'Raw Data'!C270*0.025</f>
        <v>0</v>
      </c>
      <c r="C269" s="4">
        <f t="shared" si="12"/>
        <v>0</v>
      </c>
      <c r="D269" s="4">
        <f>'Raw Data'!D270*0.025</f>
        <v>0</v>
      </c>
      <c r="E269" s="4">
        <f t="shared" si="13"/>
        <v>0</v>
      </c>
      <c r="F269" s="4">
        <f>'Raw Data'!E270*0.001648</f>
        <v>0</v>
      </c>
      <c r="G269" s="4">
        <f>'Raw Data'!F270*0.001648</f>
        <v>0</v>
      </c>
      <c r="H269" s="4">
        <f>'Raw Data'!G270*6*0.000128176</f>
        <v>0</v>
      </c>
      <c r="I269" s="4">
        <f>'Raw Data'!H270*0.000732435</f>
        <v>0</v>
      </c>
      <c r="J269" s="4">
        <f t="shared" si="14"/>
        <v>0</v>
      </c>
      <c r="K269" s="36">
        <f>IF(('Raw Data'!I270-16384)/32768&lt;0,0,('Raw Data'!I270-16384)/32768)</f>
        <v>0</v>
      </c>
      <c r="L269" s="4">
        <f>IF(('Raw Data'!J270-12010)/45.6=-263.377192982456,0,('Raw Data'!J270-12010)/45.6)</f>
        <v>0</v>
      </c>
      <c r="M269" s="16">
        <f>'Raw Data'!N270*2^-8</f>
        <v>0</v>
      </c>
      <c r="N269" s="16">
        <f>'Raw Data'!O270*2^-8</f>
        <v>0</v>
      </c>
      <c r="O269" s="17" t="str">
        <f>IF(BITWISE_AND('Raw Data'!$K270, 8192),"X","")</f>
        <v/>
      </c>
      <c r="P269" s="17" t="str">
        <f>IF(BITWISE_AND('Raw Data'!$K270, 2048),"X","")</f>
        <v/>
      </c>
      <c r="Q269" s="17" t="str">
        <f>IF(BITWISE_AND('Raw Data'!$K270, 64),"X","")</f>
        <v/>
      </c>
      <c r="R269" s="18" t="str">
        <f>IF(BITWISE_AND('Raw Data'!$L270, 1024),"X","")</f>
        <v/>
      </c>
      <c r="S269" s="18" t="str">
        <f>IF(BITWISE_AND('Raw Data'!$L270, 512),"X","")</f>
        <v/>
      </c>
      <c r="T269" s="18" t="str">
        <f>IF(BITWISE_AND('Raw Data'!$L270, 256),"X","")</f>
        <v/>
      </c>
      <c r="U269" s="18" t="str">
        <f>IF(BITWISE_AND('Raw Data'!$L270, 64),"X","")</f>
        <v/>
      </c>
      <c r="V269" s="18" t="str">
        <f>IF(BITWISE_AND('Raw Data'!$L270, 2),"X","")</f>
        <v/>
      </c>
      <c r="W269" s="18" t="str">
        <f>IF(BITWISE_AND('Raw Data'!$L270, 1),"X","")</f>
        <v/>
      </c>
      <c r="X269" s="19" t="str">
        <f>IF(BITWISE_AND('Raw Data'!M270, 1),"Bat Voltage", IF(BITWISE_AND('Raw Data'!M270, 2), "Charge Current", IF(BITWISE_AND('Raw Data'!M270, 4),"Input Ilim", IF(BITWISE_AND('Raw Data'!M270, 8), "Input UV", "none"))))</f>
        <v>none</v>
      </c>
    </row>
    <row r="270" spans="1:24" x14ac:dyDescent="0.2">
      <c r="A270" s="15">
        <f>A269+TIME(0,0,'Raw Data'!B270)</f>
        <v>0</v>
      </c>
      <c r="B270" s="4">
        <f>'Raw Data'!C271*0.025</f>
        <v>0</v>
      </c>
      <c r="C270" s="4">
        <f t="shared" si="12"/>
        <v>0</v>
      </c>
      <c r="D270" s="4">
        <f>'Raw Data'!D271*0.025</f>
        <v>0</v>
      </c>
      <c r="E270" s="4">
        <f t="shared" si="13"/>
        <v>0</v>
      </c>
      <c r="F270" s="4">
        <f>'Raw Data'!E271*0.001648</f>
        <v>0</v>
      </c>
      <c r="G270" s="4">
        <f>'Raw Data'!F271*0.001648</f>
        <v>0</v>
      </c>
      <c r="H270" s="4">
        <f>'Raw Data'!G271*6*0.000128176</f>
        <v>0</v>
      </c>
      <c r="I270" s="4">
        <f>'Raw Data'!H271*0.000732435</f>
        <v>0</v>
      </c>
      <c r="J270" s="4">
        <f t="shared" si="14"/>
        <v>0</v>
      </c>
      <c r="K270" s="36">
        <f>IF(('Raw Data'!I271-16384)/32768&lt;0,0,('Raw Data'!I271-16384)/32768)</f>
        <v>0</v>
      </c>
      <c r="L270" s="4">
        <f>IF(('Raw Data'!J271-12010)/45.6=-263.377192982456,0,('Raw Data'!J271-12010)/45.6)</f>
        <v>0</v>
      </c>
      <c r="M270" s="16">
        <f>'Raw Data'!N271*2^-8</f>
        <v>0</v>
      </c>
      <c r="N270" s="16">
        <f>'Raw Data'!O271*2^-8</f>
        <v>0</v>
      </c>
      <c r="O270" s="17" t="str">
        <f>IF(BITWISE_AND('Raw Data'!$K271, 8192),"X","")</f>
        <v/>
      </c>
      <c r="P270" s="17" t="str">
        <f>IF(BITWISE_AND('Raw Data'!$K271, 2048),"X","")</f>
        <v/>
      </c>
      <c r="Q270" s="17" t="str">
        <f>IF(BITWISE_AND('Raw Data'!$K271, 64),"X","")</f>
        <v/>
      </c>
      <c r="R270" s="18" t="str">
        <f>IF(BITWISE_AND('Raw Data'!$L271, 1024),"X","")</f>
        <v/>
      </c>
      <c r="S270" s="18" t="str">
        <f>IF(BITWISE_AND('Raw Data'!$L271, 512),"X","")</f>
        <v/>
      </c>
      <c r="T270" s="18" t="str">
        <f>IF(BITWISE_AND('Raw Data'!$L271, 256),"X","")</f>
        <v/>
      </c>
      <c r="U270" s="18" t="str">
        <f>IF(BITWISE_AND('Raw Data'!$L271, 64),"X","")</f>
        <v/>
      </c>
      <c r="V270" s="18" t="str">
        <f>IF(BITWISE_AND('Raw Data'!$L271, 2),"X","")</f>
        <v/>
      </c>
      <c r="W270" s="18" t="str">
        <f>IF(BITWISE_AND('Raw Data'!$L271, 1),"X","")</f>
        <v/>
      </c>
      <c r="X270" s="19" t="str">
        <f>IF(BITWISE_AND('Raw Data'!M271, 1),"Bat Voltage", IF(BITWISE_AND('Raw Data'!M271, 2), "Charge Current", IF(BITWISE_AND('Raw Data'!M271, 4),"Input Ilim", IF(BITWISE_AND('Raw Data'!M271, 8), "Input UV", "none"))))</f>
        <v>none</v>
      </c>
    </row>
    <row r="271" spans="1:24" x14ac:dyDescent="0.2">
      <c r="A271" s="15">
        <f>A270+TIME(0,0,'Raw Data'!B271)</f>
        <v>0</v>
      </c>
      <c r="B271" s="4">
        <f>'Raw Data'!C272*0.025</f>
        <v>0</v>
      </c>
      <c r="C271" s="4">
        <f t="shared" si="12"/>
        <v>0</v>
      </c>
      <c r="D271" s="4">
        <f>'Raw Data'!D272*0.025</f>
        <v>0</v>
      </c>
      <c r="E271" s="4">
        <f t="shared" si="13"/>
        <v>0</v>
      </c>
      <c r="F271" s="4">
        <f>'Raw Data'!E272*0.001648</f>
        <v>0</v>
      </c>
      <c r="G271" s="4">
        <f>'Raw Data'!F272*0.001648</f>
        <v>0</v>
      </c>
      <c r="H271" s="4">
        <f>'Raw Data'!G272*6*0.000128176</f>
        <v>0</v>
      </c>
      <c r="I271" s="4">
        <f>'Raw Data'!H272*0.000732435</f>
        <v>0</v>
      </c>
      <c r="J271" s="4">
        <f t="shared" si="14"/>
        <v>0</v>
      </c>
      <c r="K271" s="36">
        <f>IF(('Raw Data'!I272-16384)/32768&lt;0,0,('Raw Data'!I272-16384)/32768)</f>
        <v>0</v>
      </c>
      <c r="L271" s="4">
        <f>IF(('Raw Data'!J272-12010)/45.6=-263.377192982456,0,('Raw Data'!J272-12010)/45.6)</f>
        <v>0</v>
      </c>
      <c r="M271" s="16">
        <f>'Raw Data'!N272*2^-8</f>
        <v>0</v>
      </c>
      <c r="N271" s="16">
        <f>'Raw Data'!O272*2^-8</f>
        <v>0</v>
      </c>
      <c r="O271" s="17" t="str">
        <f>IF(BITWISE_AND('Raw Data'!$K272, 8192),"X","")</f>
        <v/>
      </c>
      <c r="P271" s="17" t="str">
        <f>IF(BITWISE_AND('Raw Data'!$K272, 2048),"X","")</f>
        <v/>
      </c>
      <c r="Q271" s="17" t="str">
        <f>IF(BITWISE_AND('Raw Data'!$K272, 64),"X","")</f>
        <v/>
      </c>
      <c r="R271" s="18" t="str">
        <f>IF(BITWISE_AND('Raw Data'!$L272, 1024),"X","")</f>
        <v/>
      </c>
      <c r="S271" s="18" t="str">
        <f>IF(BITWISE_AND('Raw Data'!$L272, 512),"X","")</f>
        <v/>
      </c>
      <c r="T271" s="18" t="str">
        <f>IF(BITWISE_AND('Raw Data'!$L272, 256),"X","")</f>
        <v/>
      </c>
      <c r="U271" s="18" t="str">
        <f>IF(BITWISE_AND('Raw Data'!$L272, 64),"X","")</f>
        <v/>
      </c>
      <c r="V271" s="18" t="str">
        <f>IF(BITWISE_AND('Raw Data'!$L272, 2),"X","")</f>
        <v/>
      </c>
      <c r="W271" s="18" t="str">
        <f>IF(BITWISE_AND('Raw Data'!$L272, 1),"X","")</f>
        <v/>
      </c>
      <c r="X271" s="19" t="str">
        <f>IF(BITWISE_AND('Raw Data'!M272, 1),"Bat Voltage", IF(BITWISE_AND('Raw Data'!M272, 2), "Charge Current", IF(BITWISE_AND('Raw Data'!M272, 4),"Input Ilim", IF(BITWISE_AND('Raw Data'!M272, 8), "Input UV", "none"))))</f>
        <v>none</v>
      </c>
    </row>
    <row r="272" spans="1:24" x14ac:dyDescent="0.2">
      <c r="A272" s="15">
        <f>A271+TIME(0,0,'Raw Data'!B272)</f>
        <v>0</v>
      </c>
      <c r="B272" s="4">
        <f>'Raw Data'!C273*0.025</f>
        <v>0</v>
      </c>
      <c r="C272" s="4">
        <f t="shared" si="12"/>
        <v>0</v>
      </c>
      <c r="D272" s="4">
        <f>'Raw Data'!D273*0.025</f>
        <v>0</v>
      </c>
      <c r="E272" s="4">
        <f t="shared" si="13"/>
        <v>0</v>
      </c>
      <c r="F272" s="4">
        <f>'Raw Data'!E273*0.001648</f>
        <v>0</v>
      </c>
      <c r="G272" s="4">
        <f>'Raw Data'!F273*0.001648</f>
        <v>0</v>
      </c>
      <c r="H272" s="4">
        <f>'Raw Data'!G273*6*0.000128176</f>
        <v>0</v>
      </c>
      <c r="I272" s="4">
        <f>'Raw Data'!H273*0.000732435</f>
        <v>0</v>
      </c>
      <c r="J272" s="4">
        <f t="shared" si="14"/>
        <v>0</v>
      </c>
      <c r="K272" s="36">
        <f>IF(('Raw Data'!I273-16384)/32768&lt;0,0,('Raw Data'!I273-16384)/32768)</f>
        <v>0</v>
      </c>
      <c r="L272" s="4">
        <f>IF(('Raw Data'!J273-12010)/45.6=-263.377192982456,0,('Raw Data'!J273-12010)/45.6)</f>
        <v>0</v>
      </c>
      <c r="M272" s="16">
        <f>'Raw Data'!N273*2^-8</f>
        <v>0</v>
      </c>
      <c r="N272" s="16">
        <f>'Raw Data'!O273*2^-8</f>
        <v>0</v>
      </c>
      <c r="O272" s="17" t="str">
        <f>IF(BITWISE_AND('Raw Data'!$K273, 8192),"X","")</f>
        <v/>
      </c>
      <c r="P272" s="17" t="str">
        <f>IF(BITWISE_AND('Raw Data'!$K273, 2048),"X","")</f>
        <v/>
      </c>
      <c r="Q272" s="17" t="str">
        <f>IF(BITWISE_AND('Raw Data'!$K273, 64),"X","")</f>
        <v/>
      </c>
      <c r="R272" s="18" t="str">
        <f>IF(BITWISE_AND('Raw Data'!$L273, 1024),"X","")</f>
        <v/>
      </c>
      <c r="S272" s="18" t="str">
        <f>IF(BITWISE_AND('Raw Data'!$L273, 512),"X","")</f>
        <v/>
      </c>
      <c r="T272" s="18" t="str">
        <f>IF(BITWISE_AND('Raw Data'!$L273, 256),"X","")</f>
        <v/>
      </c>
      <c r="U272" s="18" t="str">
        <f>IF(BITWISE_AND('Raw Data'!$L273, 64),"X","")</f>
        <v/>
      </c>
      <c r="V272" s="18" t="str">
        <f>IF(BITWISE_AND('Raw Data'!$L273, 2),"X","")</f>
        <v/>
      </c>
      <c r="W272" s="18" t="str">
        <f>IF(BITWISE_AND('Raw Data'!$L273, 1),"X","")</f>
        <v/>
      </c>
      <c r="X272" s="19" t="str">
        <f>IF(BITWISE_AND('Raw Data'!M273, 1),"Bat Voltage", IF(BITWISE_AND('Raw Data'!M273, 2), "Charge Current", IF(BITWISE_AND('Raw Data'!M273, 4),"Input Ilim", IF(BITWISE_AND('Raw Data'!M273, 8), "Input UV", "none"))))</f>
        <v>none</v>
      </c>
    </row>
    <row r="273" spans="1:24" x14ac:dyDescent="0.2">
      <c r="A273" s="15">
        <f>A272+TIME(0,0,'Raw Data'!B273)</f>
        <v>0</v>
      </c>
      <c r="B273" s="4">
        <f>'Raw Data'!C274*0.025</f>
        <v>0</v>
      </c>
      <c r="C273" s="4">
        <f t="shared" si="12"/>
        <v>0</v>
      </c>
      <c r="D273" s="4">
        <f>'Raw Data'!D274*0.025</f>
        <v>0</v>
      </c>
      <c r="E273" s="4">
        <f t="shared" si="13"/>
        <v>0</v>
      </c>
      <c r="F273" s="4">
        <f>'Raw Data'!E274*0.001648</f>
        <v>0</v>
      </c>
      <c r="G273" s="4">
        <f>'Raw Data'!F274*0.001648</f>
        <v>0</v>
      </c>
      <c r="H273" s="4">
        <f>'Raw Data'!G274*6*0.000128176</f>
        <v>0</v>
      </c>
      <c r="I273" s="4">
        <f>'Raw Data'!H274*0.000732435</f>
        <v>0</v>
      </c>
      <c r="J273" s="4">
        <f t="shared" si="14"/>
        <v>0</v>
      </c>
      <c r="K273" s="36">
        <f>IF(('Raw Data'!I274-16384)/32768&lt;0,0,('Raw Data'!I274-16384)/32768)</f>
        <v>0</v>
      </c>
      <c r="L273" s="4">
        <f>IF(('Raw Data'!J274-12010)/45.6=-263.377192982456,0,('Raw Data'!J274-12010)/45.6)</f>
        <v>0</v>
      </c>
      <c r="M273" s="16">
        <f>'Raw Data'!N274*2^-8</f>
        <v>0</v>
      </c>
      <c r="N273" s="16">
        <f>'Raw Data'!O274*2^-8</f>
        <v>0</v>
      </c>
      <c r="O273" s="17" t="str">
        <f>IF(BITWISE_AND('Raw Data'!$K274, 8192),"X","")</f>
        <v/>
      </c>
      <c r="P273" s="17" t="str">
        <f>IF(BITWISE_AND('Raw Data'!$K274, 2048),"X","")</f>
        <v/>
      </c>
      <c r="Q273" s="17" t="str">
        <f>IF(BITWISE_AND('Raw Data'!$K274, 64),"X","")</f>
        <v/>
      </c>
      <c r="R273" s="18" t="str">
        <f>IF(BITWISE_AND('Raw Data'!$L274, 1024),"X","")</f>
        <v/>
      </c>
      <c r="S273" s="18" t="str">
        <f>IF(BITWISE_AND('Raw Data'!$L274, 512),"X","")</f>
        <v/>
      </c>
      <c r="T273" s="18" t="str">
        <f>IF(BITWISE_AND('Raw Data'!$L274, 256),"X","")</f>
        <v/>
      </c>
      <c r="U273" s="18" t="str">
        <f>IF(BITWISE_AND('Raw Data'!$L274, 64),"X","")</f>
        <v/>
      </c>
      <c r="V273" s="18" t="str">
        <f>IF(BITWISE_AND('Raw Data'!$L274, 2),"X","")</f>
        <v/>
      </c>
      <c r="W273" s="18" t="str">
        <f>IF(BITWISE_AND('Raw Data'!$L274, 1),"X","")</f>
        <v/>
      </c>
      <c r="X273" s="19" t="str">
        <f>IF(BITWISE_AND('Raw Data'!M274, 1),"Bat Voltage", IF(BITWISE_AND('Raw Data'!M274, 2), "Charge Current", IF(BITWISE_AND('Raw Data'!M274, 4),"Input Ilim", IF(BITWISE_AND('Raw Data'!M274, 8), "Input UV", "none"))))</f>
        <v>none</v>
      </c>
    </row>
    <row r="274" spans="1:24" x14ac:dyDescent="0.2">
      <c r="A274" s="15">
        <f>A273+TIME(0,0,'Raw Data'!B274)</f>
        <v>0</v>
      </c>
      <c r="B274" s="4">
        <f>'Raw Data'!C275*0.025</f>
        <v>0</v>
      </c>
      <c r="C274" s="4">
        <f t="shared" si="12"/>
        <v>0</v>
      </c>
      <c r="D274" s="4">
        <f>'Raw Data'!D275*0.025</f>
        <v>0</v>
      </c>
      <c r="E274" s="4">
        <f t="shared" si="13"/>
        <v>0</v>
      </c>
      <c r="F274" s="4">
        <f>'Raw Data'!E275*0.001648</f>
        <v>0</v>
      </c>
      <c r="G274" s="4">
        <f>'Raw Data'!F275*0.001648</f>
        <v>0</v>
      </c>
      <c r="H274" s="4">
        <f>'Raw Data'!G275*6*0.000128176</f>
        <v>0</v>
      </c>
      <c r="I274" s="4">
        <f>'Raw Data'!H275*0.000732435</f>
        <v>0</v>
      </c>
      <c r="J274" s="4">
        <f t="shared" si="14"/>
        <v>0</v>
      </c>
      <c r="K274" s="36">
        <f>IF(('Raw Data'!I275-16384)/32768&lt;0,0,('Raw Data'!I275-16384)/32768)</f>
        <v>0</v>
      </c>
      <c r="L274" s="4">
        <f>IF(('Raw Data'!J275-12010)/45.6=-263.377192982456,0,('Raw Data'!J275-12010)/45.6)</f>
        <v>0</v>
      </c>
      <c r="M274" s="16">
        <f>'Raw Data'!N275*2^-8</f>
        <v>0</v>
      </c>
      <c r="N274" s="16">
        <f>'Raw Data'!O275*2^-8</f>
        <v>0</v>
      </c>
      <c r="O274" s="17" t="str">
        <f>IF(BITWISE_AND('Raw Data'!$K275, 8192),"X","")</f>
        <v/>
      </c>
      <c r="P274" s="17" t="str">
        <f>IF(BITWISE_AND('Raw Data'!$K275, 2048),"X","")</f>
        <v/>
      </c>
      <c r="Q274" s="17" t="str">
        <f>IF(BITWISE_AND('Raw Data'!$K275, 64),"X","")</f>
        <v/>
      </c>
      <c r="R274" s="18" t="str">
        <f>IF(BITWISE_AND('Raw Data'!$L275, 1024),"X","")</f>
        <v/>
      </c>
      <c r="S274" s="18" t="str">
        <f>IF(BITWISE_AND('Raw Data'!$L275, 512),"X","")</f>
        <v/>
      </c>
      <c r="T274" s="18" t="str">
        <f>IF(BITWISE_AND('Raw Data'!$L275, 256),"X","")</f>
        <v/>
      </c>
      <c r="U274" s="18" t="str">
        <f>IF(BITWISE_AND('Raw Data'!$L275, 64),"X","")</f>
        <v/>
      </c>
      <c r="V274" s="18" t="str">
        <f>IF(BITWISE_AND('Raw Data'!$L275, 2),"X","")</f>
        <v/>
      </c>
      <c r="W274" s="18" t="str">
        <f>IF(BITWISE_AND('Raw Data'!$L275, 1),"X","")</f>
        <v/>
      </c>
      <c r="X274" s="19" t="str">
        <f>IF(BITWISE_AND('Raw Data'!M275, 1),"Bat Voltage", IF(BITWISE_AND('Raw Data'!M275, 2), "Charge Current", IF(BITWISE_AND('Raw Data'!M275, 4),"Input Ilim", IF(BITWISE_AND('Raw Data'!M275, 8), "Input UV", "none"))))</f>
        <v>none</v>
      </c>
    </row>
    <row r="275" spans="1:24" x14ac:dyDescent="0.2">
      <c r="A275" s="15">
        <f>A274+TIME(0,0,'Raw Data'!B275)</f>
        <v>0</v>
      </c>
      <c r="B275" s="4">
        <f>'Raw Data'!C276*0.025</f>
        <v>0</v>
      </c>
      <c r="C275" s="4">
        <f t="shared" si="12"/>
        <v>0</v>
      </c>
      <c r="D275" s="4">
        <f>'Raw Data'!D276*0.025</f>
        <v>0</v>
      </c>
      <c r="E275" s="4">
        <f t="shared" si="13"/>
        <v>0</v>
      </c>
      <c r="F275" s="4">
        <f>'Raw Data'!E276*0.001648</f>
        <v>0</v>
      </c>
      <c r="G275" s="4">
        <f>'Raw Data'!F276*0.001648</f>
        <v>0</v>
      </c>
      <c r="H275" s="4">
        <f>'Raw Data'!G276*6*0.000128176</f>
        <v>0</v>
      </c>
      <c r="I275" s="4">
        <f>'Raw Data'!H276*0.000732435</f>
        <v>0</v>
      </c>
      <c r="J275" s="4">
        <f t="shared" si="14"/>
        <v>0</v>
      </c>
      <c r="K275" s="36">
        <f>IF(('Raw Data'!I276-16384)/32768&lt;0,0,('Raw Data'!I276-16384)/32768)</f>
        <v>0</v>
      </c>
      <c r="L275" s="4">
        <f>IF(('Raw Data'!J276-12010)/45.6=-263.377192982456,0,('Raw Data'!J276-12010)/45.6)</f>
        <v>0</v>
      </c>
      <c r="M275" s="16">
        <f>'Raw Data'!N276*2^-8</f>
        <v>0</v>
      </c>
      <c r="N275" s="16">
        <f>'Raw Data'!O276*2^-8</f>
        <v>0</v>
      </c>
      <c r="O275" s="17" t="str">
        <f>IF(BITWISE_AND('Raw Data'!$K276, 8192),"X","")</f>
        <v/>
      </c>
      <c r="P275" s="17" t="str">
        <f>IF(BITWISE_AND('Raw Data'!$K276, 2048),"X","")</f>
        <v/>
      </c>
      <c r="Q275" s="17" t="str">
        <f>IF(BITWISE_AND('Raw Data'!$K276, 64),"X","")</f>
        <v/>
      </c>
      <c r="R275" s="18" t="str">
        <f>IF(BITWISE_AND('Raw Data'!$L276, 1024),"X","")</f>
        <v/>
      </c>
      <c r="S275" s="18" t="str">
        <f>IF(BITWISE_AND('Raw Data'!$L276, 512),"X","")</f>
        <v/>
      </c>
      <c r="T275" s="18" t="str">
        <f>IF(BITWISE_AND('Raw Data'!$L276, 256),"X","")</f>
        <v/>
      </c>
      <c r="U275" s="18" t="str">
        <f>IF(BITWISE_AND('Raw Data'!$L276, 64),"X","")</f>
        <v/>
      </c>
      <c r="V275" s="18" t="str">
        <f>IF(BITWISE_AND('Raw Data'!$L276, 2),"X","")</f>
        <v/>
      </c>
      <c r="W275" s="18" t="str">
        <f>IF(BITWISE_AND('Raw Data'!$L276, 1),"X","")</f>
        <v/>
      </c>
      <c r="X275" s="19" t="str">
        <f>IF(BITWISE_AND('Raw Data'!M276, 1),"Bat Voltage", IF(BITWISE_AND('Raw Data'!M276, 2), "Charge Current", IF(BITWISE_AND('Raw Data'!M276, 4),"Input Ilim", IF(BITWISE_AND('Raw Data'!M276, 8), "Input UV", "none"))))</f>
        <v>none</v>
      </c>
    </row>
    <row r="276" spans="1:24" x14ac:dyDescent="0.2">
      <c r="A276" s="15">
        <f>A275+TIME(0,0,'Raw Data'!B276)</f>
        <v>0</v>
      </c>
      <c r="B276" s="4">
        <f>'Raw Data'!C277*0.025</f>
        <v>0</v>
      </c>
      <c r="C276" s="4">
        <f t="shared" si="12"/>
        <v>0</v>
      </c>
      <c r="D276" s="4">
        <f>'Raw Data'!D277*0.025</f>
        <v>0</v>
      </c>
      <c r="E276" s="4">
        <f t="shared" si="13"/>
        <v>0</v>
      </c>
      <c r="F276" s="4">
        <f>'Raw Data'!E277*0.001648</f>
        <v>0</v>
      </c>
      <c r="G276" s="4">
        <f>'Raw Data'!F277*0.001648</f>
        <v>0</v>
      </c>
      <c r="H276" s="4">
        <f>'Raw Data'!G277*6*0.000128176</f>
        <v>0</v>
      </c>
      <c r="I276" s="4">
        <f>'Raw Data'!H277*0.000732435</f>
        <v>0</v>
      </c>
      <c r="J276" s="4">
        <f t="shared" si="14"/>
        <v>0</v>
      </c>
      <c r="K276" s="36">
        <f>IF(('Raw Data'!I277-16384)/32768&lt;0,0,('Raw Data'!I277-16384)/32768)</f>
        <v>0</v>
      </c>
      <c r="L276" s="4">
        <f>IF(('Raw Data'!J277-12010)/45.6=-263.377192982456,0,('Raw Data'!J277-12010)/45.6)</f>
        <v>0</v>
      </c>
      <c r="M276" s="16">
        <f>'Raw Data'!N277*2^-8</f>
        <v>0</v>
      </c>
      <c r="N276" s="16">
        <f>'Raw Data'!O277*2^-8</f>
        <v>0</v>
      </c>
      <c r="O276" s="17" t="str">
        <f>IF(BITWISE_AND('Raw Data'!$K277, 8192),"X","")</f>
        <v/>
      </c>
      <c r="P276" s="17" t="str">
        <f>IF(BITWISE_AND('Raw Data'!$K277, 2048),"X","")</f>
        <v/>
      </c>
      <c r="Q276" s="17" t="str">
        <f>IF(BITWISE_AND('Raw Data'!$K277, 64),"X","")</f>
        <v/>
      </c>
      <c r="R276" s="18" t="str">
        <f>IF(BITWISE_AND('Raw Data'!$L277, 1024),"X","")</f>
        <v/>
      </c>
      <c r="S276" s="18" t="str">
        <f>IF(BITWISE_AND('Raw Data'!$L277, 512),"X","")</f>
        <v/>
      </c>
      <c r="T276" s="18" t="str">
        <f>IF(BITWISE_AND('Raw Data'!$L277, 256),"X","")</f>
        <v/>
      </c>
      <c r="U276" s="18" t="str">
        <f>IF(BITWISE_AND('Raw Data'!$L277, 64),"X","")</f>
        <v/>
      </c>
      <c r="V276" s="18" t="str">
        <f>IF(BITWISE_AND('Raw Data'!$L277, 2),"X","")</f>
        <v/>
      </c>
      <c r="W276" s="18" t="str">
        <f>IF(BITWISE_AND('Raw Data'!$L277, 1),"X","")</f>
        <v/>
      </c>
      <c r="X276" s="19" t="str">
        <f>IF(BITWISE_AND('Raw Data'!M277, 1),"Bat Voltage", IF(BITWISE_AND('Raw Data'!M277, 2), "Charge Current", IF(BITWISE_AND('Raw Data'!M277, 4),"Input Ilim", IF(BITWISE_AND('Raw Data'!M277, 8), "Input UV", "none"))))</f>
        <v>none</v>
      </c>
    </row>
    <row r="277" spans="1:24" x14ac:dyDescent="0.2">
      <c r="A277" s="15">
        <f>A276+TIME(0,0,'Raw Data'!B277)</f>
        <v>0</v>
      </c>
      <c r="B277" s="4">
        <f>'Raw Data'!C278*0.025</f>
        <v>0</v>
      </c>
      <c r="C277" s="4">
        <f t="shared" ref="C277:C340" si="15">C276+B277/60</f>
        <v>0</v>
      </c>
      <c r="D277" s="4">
        <f>'Raw Data'!D278*0.025</f>
        <v>0</v>
      </c>
      <c r="E277" s="4">
        <f t="shared" ref="E277:E340" si="16">E276+D277/60</f>
        <v>0</v>
      </c>
      <c r="F277" s="4">
        <f>'Raw Data'!E278*0.001648</f>
        <v>0</v>
      </c>
      <c r="G277" s="4">
        <f>'Raw Data'!F278*0.001648</f>
        <v>0</v>
      </c>
      <c r="H277" s="4">
        <f>'Raw Data'!G278*6*0.000128176</f>
        <v>0</v>
      </c>
      <c r="I277" s="4">
        <f>'Raw Data'!H278*0.000732435</f>
        <v>0</v>
      </c>
      <c r="J277" s="4">
        <f t="shared" si="14"/>
        <v>0</v>
      </c>
      <c r="K277" s="36">
        <f>IF(('Raw Data'!I278-16384)/32768&lt;0,0,('Raw Data'!I278-16384)/32768)</f>
        <v>0</v>
      </c>
      <c r="L277" s="4">
        <f>IF(('Raw Data'!J278-12010)/45.6=-263.377192982456,0,('Raw Data'!J278-12010)/45.6)</f>
        <v>0</v>
      </c>
      <c r="M277" s="16">
        <f>'Raw Data'!N278*2^-8</f>
        <v>0</v>
      </c>
      <c r="N277" s="16">
        <f>'Raw Data'!O278*2^-8</f>
        <v>0</v>
      </c>
      <c r="O277" s="17" t="str">
        <f>IF(BITWISE_AND('Raw Data'!$K278, 8192),"X","")</f>
        <v/>
      </c>
      <c r="P277" s="17" t="str">
        <f>IF(BITWISE_AND('Raw Data'!$K278, 2048),"X","")</f>
        <v/>
      </c>
      <c r="Q277" s="17" t="str">
        <f>IF(BITWISE_AND('Raw Data'!$K278, 64),"X","")</f>
        <v/>
      </c>
      <c r="R277" s="18" t="str">
        <f>IF(BITWISE_AND('Raw Data'!$L278, 1024),"X","")</f>
        <v/>
      </c>
      <c r="S277" s="18" t="str">
        <f>IF(BITWISE_AND('Raw Data'!$L278, 512),"X","")</f>
        <v/>
      </c>
      <c r="T277" s="18" t="str">
        <f>IF(BITWISE_AND('Raw Data'!$L278, 256),"X","")</f>
        <v/>
      </c>
      <c r="U277" s="18" t="str">
        <f>IF(BITWISE_AND('Raw Data'!$L278, 64),"X","")</f>
        <v/>
      </c>
      <c r="V277" s="18" t="str">
        <f>IF(BITWISE_AND('Raw Data'!$L278, 2),"X","")</f>
        <v/>
      </c>
      <c r="W277" s="18" t="str">
        <f>IF(BITWISE_AND('Raw Data'!$L278, 1),"X","")</f>
        <v/>
      </c>
      <c r="X277" s="19" t="str">
        <f>IF(BITWISE_AND('Raw Data'!M278, 1),"Bat Voltage", IF(BITWISE_AND('Raw Data'!M278, 2), "Charge Current", IF(BITWISE_AND('Raw Data'!M278, 4),"Input Ilim", IF(BITWISE_AND('Raw Data'!M278, 8), "Input UV", "none"))))</f>
        <v>none</v>
      </c>
    </row>
    <row r="278" spans="1:24" x14ac:dyDescent="0.2">
      <c r="A278" s="15">
        <f>A277+TIME(0,0,'Raw Data'!B278)</f>
        <v>0</v>
      </c>
      <c r="B278" s="4">
        <f>'Raw Data'!C279*0.025</f>
        <v>0</v>
      </c>
      <c r="C278" s="4">
        <f t="shared" si="15"/>
        <v>0</v>
      </c>
      <c r="D278" s="4">
        <f>'Raw Data'!D279*0.025</f>
        <v>0</v>
      </c>
      <c r="E278" s="4">
        <f t="shared" si="16"/>
        <v>0</v>
      </c>
      <c r="F278" s="4">
        <f>'Raw Data'!E279*0.001648</f>
        <v>0</v>
      </c>
      <c r="G278" s="4">
        <f>'Raw Data'!F279*0.001648</f>
        <v>0</v>
      </c>
      <c r="H278" s="4">
        <f>'Raw Data'!G279*6*0.000128176</f>
        <v>0</v>
      </c>
      <c r="I278" s="4">
        <f>'Raw Data'!H279*0.000732435</f>
        <v>0</v>
      </c>
      <c r="J278" s="4">
        <f t="shared" si="14"/>
        <v>0</v>
      </c>
      <c r="K278" s="36">
        <f>IF(('Raw Data'!I279-16384)/32768&lt;0,0,('Raw Data'!I279-16384)/32768)</f>
        <v>0</v>
      </c>
      <c r="L278" s="4">
        <f>IF(('Raw Data'!J279-12010)/45.6=-263.377192982456,0,('Raw Data'!J279-12010)/45.6)</f>
        <v>0</v>
      </c>
      <c r="M278" s="16">
        <f>'Raw Data'!N279*2^-8</f>
        <v>0</v>
      </c>
      <c r="N278" s="16">
        <f>'Raw Data'!O279*2^-8</f>
        <v>0</v>
      </c>
      <c r="O278" s="17" t="str">
        <f>IF(BITWISE_AND('Raw Data'!$K279, 8192),"X","")</f>
        <v/>
      </c>
      <c r="P278" s="17" t="str">
        <f>IF(BITWISE_AND('Raw Data'!$K279, 2048),"X","")</f>
        <v/>
      </c>
      <c r="Q278" s="17" t="str">
        <f>IF(BITWISE_AND('Raw Data'!$K279, 64),"X","")</f>
        <v/>
      </c>
      <c r="R278" s="18" t="str">
        <f>IF(BITWISE_AND('Raw Data'!$L279, 1024),"X","")</f>
        <v/>
      </c>
      <c r="S278" s="18" t="str">
        <f>IF(BITWISE_AND('Raw Data'!$L279, 512),"X","")</f>
        <v/>
      </c>
      <c r="T278" s="18" t="str">
        <f>IF(BITWISE_AND('Raw Data'!$L279, 256),"X","")</f>
        <v/>
      </c>
      <c r="U278" s="18" t="str">
        <f>IF(BITWISE_AND('Raw Data'!$L279, 64),"X","")</f>
        <v/>
      </c>
      <c r="V278" s="18" t="str">
        <f>IF(BITWISE_AND('Raw Data'!$L279, 2),"X","")</f>
        <v/>
      </c>
      <c r="W278" s="18" t="str">
        <f>IF(BITWISE_AND('Raw Data'!$L279, 1),"X","")</f>
        <v/>
      </c>
      <c r="X278" s="19" t="str">
        <f>IF(BITWISE_AND('Raw Data'!M279, 1),"Bat Voltage", IF(BITWISE_AND('Raw Data'!M279, 2), "Charge Current", IF(BITWISE_AND('Raw Data'!M279, 4),"Input Ilim", IF(BITWISE_AND('Raw Data'!M279, 8), "Input UV", "none"))))</f>
        <v>none</v>
      </c>
    </row>
    <row r="279" spans="1:24" x14ac:dyDescent="0.2">
      <c r="A279" s="15">
        <f>A278+TIME(0,0,'Raw Data'!B279)</f>
        <v>0</v>
      </c>
      <c r="B279" s="4">
        <f>'Raw Data'!C280*0.025</f>
        <v>0</v>
      </c>
      <c r="C279" s="4">
        <f t="shared" si="15"/>
        <v>0</v>
      </c>
      <c r="D279" s="4">
        <f>'Raw Data'!D280*0.025</f>
        <v>0</v>
      </c>
      <c r="E279" s="4">
        <f t="shared" si="16"/>
        <v>0</v>
      </c>
      <c r="F279" s="4">
        <f>'Raw Data'!E280*0.001648</f>
        <v>0</v>
      </c>
      <c r="G279" s="4">
        <f>'Raw Data'!F280*0.001648</f>
        <v>0</v>
      </c>
      <c r="H279" s="4">
        <f>'Raw Data'!G280*6*0.000128176</f>
        <v>0</v>
      </c>
      <c r="I279" s="4">
        <f>'Raw Data'!H280*0.000732435</f>
        <v>0</v>
      </c>
      <c r="J279" s="4">
        <f t="shared" si="14"/>
        <v>0</v>
      </c>
      <c r="K279" s="36">
        <f>IF(('Raw Data'!I280-16384)/32768&lt;0,0,('Raw Data'!I280-16384)/32768)</f>
        <v>0</v>
      </c>
      <c r="L279" s="4">
        <f>IF(('Raw Data'!J280-12010)/45.6=-263.377192982456,0,('Raw Data'!J280-12010)/45.6)</f>
        <v>0</v>
      </c>
      <c r="M279" s="16">
        <f>'Raw Data'!N280*2^-8</f>
        <v>0</v>
      </c>
      <c r="N279" s="16">
        <f>'Raw Data'!O280*2^-8</f>
        <v>0</v>
      </c>
      <c r="O279" s="17" t="str">
        <f>IF(BITWISE_AND('Raw Data'!$K280, 8192),"X","")</f>
        <v/>
      </c>
      <c r="P279" s="17" t="str">
        <f>IF(BITWISE_AND('Raw Data'!$K280, 2048),"X","")</f>
        <v/>
      </c>
      <c r="Q279" s="17" t="str">
        <f>IF(BITWISE_AND('Raw Data'!$K280, 64),"X","")</f>
        <v/>
      </c>
      <c r="R279" s="18" t="str">
        <f>IF(BITWISE_AND('Raw Data'!$L280, 1024),"X","")</f>
        <v/>
      </c>
      <c r="S279" s="18" t="str">
        <f>IF(BITWISE_AND('Raw Data'!$L280, 512),"X","")</f>
        <v/>
      </c>
      <c r="T279" s="18" t="str">
        <f>IF(BITWISE_AND('Raw Data'!$L280, 256),"X","")</f>
        <v/>
      </c>
      <c r="U279" s="18" t="str">
        <f>IF(BITWISE_AND('Raw Data'!$L280, 64),"X","")</f>
        <v/>
      </c>
      <c r="V279" s="18" t="str">
        <f>IF(BITWISE_AND('Raw Data'!$L280, 2),"X","")</f>
        <v/>
      </c>
      <c r="W279" s="18" t="str">
        <f>IF(BITWISE_AND('Raw Data'!$L280, 1),"X","")</f>
        <v/>
      </c>
      <c r="X279" s="19" t="str">
        <f>IF(BITWISE_AND('Raw Data'!M280, 1),"Bat Voltage", IF(BITWISE_AND('Raw Data'!M280, 2), "Charge Current", IF(BITWISE_AND('Raw Data'!M280, 4),"Input Ilim", IF(BITWISE_AND('Raw Data'!M280, 8), "Input UV", "none"))))</f>
        <v>none</v>
      </c>
    </row>
    <row r="280" spans="1:24" x14ac:dyDescent="0.2">
      <c r="A280" s="15">
        <f>A279+TIME(0,0,'Raw Data'!B280)</f>
        <v>0</v>
      </c>
      <c r="B280" s="4">
        <f>'Raw Data'!C281*0.025</f>
        <v>0</v>
      </c>
      <c r="C280" s="4">
        <f t="shared" si="15"/>
        <v>0</v>
      </c>
      <c r="D280" s="4">
        <f>'Raw Data'!D281*0.025</f>
        <v>0</v>
      </c>
      <c r="E280" s="4">
        <f t="shared" si="16"/>
        <v>0</v>
      </c>
      <c r="F280" s="4">
        <f>'Raw Data'!E281*0.001648</f>
        <v>0</v>
      </c>
      <c r="G280" s="4">
        <f>'Raw Data'!F281*0.001648</f>
        <v>0</v>
      </c>
      <c r="H280" s="4">
        <f>'Raw Data'!G281*6*0.000128176</f>
        <v>0</v>
      </c>
      <c r="I280" s="4">
        <f>'Raw Data'!H281*0.000732435</f>
        <v>0</v>
      </c>
      <c r="J280" s="4">
        <f t="shared" si="14"/>
        <v>0</v>
      </c>
      <c r="K280" s="36">
        <f>IF(('Raw Data'!I281-16384)/32768&lt;0,0,('Raw Data'!I281-16384)/32768)</f>
        <v>0</v>
      </c>
      <c r="L280" s="4">
        <f>IF(('Raw Data'!J281-12010)/45.6=-263.377192982456,0,('Raw Data'!J281-12010)/45.6)</f>
        <v>0</v>
      </c>
      <c r="M280" s="16">
        <f>'Raw Data'!N281*2^-8</f>
        <v>0</v>
      </c>
      <c r="N280" s="16">
        <f>'Raw Data'!O281*2^-8</f>
        <v>0</v>
      </c>
      <c r="O280" s="17" t="str">
        <f>IF(BITWISE_AND('Raw Data'!$K281, 8192),"X","")</f>
        <v/>
      </c>
      <c r="P280" s="17" t="str">
        <f>IF(BITWISE_AND('Raw Data'!$K281, 2048),"X","")</f>
        <v/>
      </c>
      <c r="Q280" s="17" t="str">
        <f>IF(BITWISE_AND('Raw Data'!$K281, 64),"X","")</f>
        <v/>
      </c>
      <c r="R280" s="18" t="str">
        <f>IF(BITWISE_AND('Raw Data'!$L281, 1024),"X","")</f>
        <v/>
      </c>
      <c r="S280" s="18" t="str">
        <f>IF(BITWISE_AND('Raw Data'!$L281, 512),"X","")</f>
        <v/>
      </c>
      <c r="T280" s="18" t="str">
        <f>IF(BITWISE_AND('Raw Data'!$L281, 256),"X","")</f>
        <v/>
      </c>
      <c r="U280" s="18" t="str">
        <f>IF(BITWISE_AND('Raw Data'!$L281, 64),"X","")</f>
        <v/>
      </c>
      <c r="V280" s="18" t="str">
        <f>IF(BITWISE_AND('Raw Data'!$L281, 2),"X","")</f>
        <v/>
      </c>
      <c r="W280" s="18" t="str">
        <f>IF(BITWISE_AND('Raw Data'!$L281, 1),"X","")</f>
        <v/>
      </c>
      <c r="X280" s="19" t="str">
        <f>IF(BITWISE_AND('Raw Data'!M281, 1),"Bat Voltage", IF(BITWISE_AND('Raw Data'!M281, 2), "Charge Current", IF(BITWISE_AND('Raw Data'!M281, 4),"Input Ilim", IF(BITWISE_AND('Raw Data'!M281, 8), "Input UV", "none"))))</f>
        <v>none</v>
      </c>
    </row>
    <row r="281" spans="1:24" x14ac:dyDescent="0.2">
      <c r="A281" s="15">
        <f>A280+TIME(0,0,'Raw Data'!B281)</f>
        <v>0</v>
      </c>
      <c r="B281" s="4">
        <f>'Raw Data'!C282*0.025</f>
        <v>0</v>
      </c>
      <c r="C281" s="4">
        <f t="shared" si="15"/>
        <v>0</v>
      </c>
      <c r="D281" s="4">
        <f>'Raw Data'!D282*0.025</f>
        <v>0</v>
      </c>
      <c r="E281" s="4">
        <f t="shared" si="16"/>
        <v>0</v>
      </c>
      <c r="F281" s="4">
        <f>'Raw Data'!E282*0.001648</f>
        <v>0</v>
      </c>
      <c r="G281" s="4">
        <f>'Raw Data'!F282*0.001648</f>
        <v>0</v>
      </c>
      <c r="H281" s="4">
        <f>'Raw Data'!G282*6*0.000128176</f>
        <v>0</v>
      </c>
      <c r="I281" s="4">
        <f>'Raw Data'!H282*0.000732435</f>
        <v>0</v>
      </c>
      <c r="J281" s="4">
        <f t="shared" si="14"/>
        <v>0</v>
      </c>
      <c r="K281" s="36">
        <f>IF(('Raw Data'!I282-16384)/32768&lt;0,0,('Raw Data'!I282-16384)/32768)</f>
        <v>0</v>
      </c>
      <c r="L281" s="4">
        <f>IF(('Raw Data'!J282-12010)/45.6=-263.377192982456,0,('Raw Data'!J282-12010)/45.6)</f>
        <v>0</v>
      </c>
      <c r="M281" s="16">
        <f>'Raw Data'!N282*2^-8</f>
        <v>0</v>
      </c>
      <c r="N281" s="16">
        <f>'Raw Data'!O282*2^-8</f>
        <v>0</v>
      </c>
      <c r="O281" s="17" t="str">
        <f>IF(BITWISE_AND('Raw Data'!$K282, 8192),"X","")</f>
        <v/>
      </c>
      <c r="P281" s="17" t="str">
        <f>IF(BITWISE_AND('Raw Data'!$K282, 2048),"X","")</f>
        <v/>
      </c>
      <c r="Q281" s="17" t="str">
        <f>IF(BITWISE_AND('Raw Data'!$K282, 64),"X","")</f>
        <v/>
      </c>
      <c r="R281" s="18" t="str">
        <f>IF(BITWISE_AND('Raw Data'!$L282, 1024),"X","")</f>
        <v/>
      </c>
      <c r="S281" s="18" t="str">
        <f>IF(BITWISE_AND('Raw Data'!$L282, 512),"X","")</f>
        <v/>
      </c>
      <c r="T281" s="18" t="str">
        <f>IF(BITWISE_AND('Raw Data'!$L282, 256),"X","")</f>
        <v/>
      </c>
      <c r="U281" s="18" t="str">
        <f>IF(BITWISE_AND('Raw Data'!$L282, 64),"X","")</f>
        <v/>
      </c>
      <c r="V281" s="18" t="str">
        <f>IF(BITWISE_AND('Raw Data'!$L282, 2),"X","")</f>
        <v/>
      </c>
      <c r="W281" s="18" t="str">
        <f>IF(BITWISE_AND('Raw Data'!$L282, 1),"X","")</f>
        <v/>
      </c>
      <c r="X281" s="19" t="str">
        <f>IF(BITWISE_AND('Raw Data'!M282, 1),"Bat Voltage", IF(BITWISE_AND('Raw Data'!M282, 2), "Charge Current", IF(BITWISE_AND('Raw Data'!M282, 4),"Input Ilim", IF(BITWISE_AND('Raw Data'!M282, 8), "Input UV", "none"))))</f>
        <v>none</v>
      </c>
    </row>
    <row r="282" spans="1:24" x14ac:dyDescent="0.2">
      <c r="A282" s="15">
        <f>A281+TIME(0,0,'Raw Data'!B282)</f>
        <v>0</v>
      </c>
      <c r="B282" s="4">
        <f>'Raw Data'!C283*0.025</f>
        <v>0</v>
      </c>
      <c r="C282" s="4">
        <f t="shared" si="15"/>
        <v>0</v>
      </c>
      <c r="D282" s="4">
        <f>'Raw Data'!D283*0.025</f>
        <v>0</v>
      </c>
      <c r="E282" s="4">
        <f t="shared" si="16"/>
        <v>0</v>
      </c>
      <c r="F282" s="4">
        <f>'Raw Data'!E283*0.001648</f>
        <v>0</v>
      </c>
      <c r="G282" s="4">
        <f>'Raw Data'!F283*0.001648</f>
        <v>0</v>
      </c>
      <c r="H282" s="4">
        <f>'Raw Data'!G283*6*0.000128176</f>
        <v>0</v>
      </c>
      <c r="I282" s="4">
        <f>'Raw Data'!H283*0.000732435</f>
        <v>0</v>
      </c>
      <c r="J282" s="4">
        <f t="shared" si="14"/>
        <v>0</v>
      </c>
      <c r="K282" s="36">
        <f>IF(('Raw Data'!I283-16384)/32768&lt;0,0,('Raw Data'!I283-16384)/32768)</f>
        <v>0</v>
      </c>
      <c r="L282" s="4">
        <f>IF(('Raw Data'!J283-12010)/45.6=-263.377192982456,0,('Raw Data'!J283-12010)/45.6)</f>
        <v>0</v>
      </c>
      <c r="M282" s="16">
        <f>'Raw Data'!N283*2^-8</f>
        <v>0</v>
      </c>
      <c r="N282" s="16">
        <f>'Raw Data'!O283*2^-8</f>
        <v>0</v>
      </c>
      <c r="O282" s="17" t="str">
        <f>IF(BITWISE_AND('Raw Data'!$K283, 8192),"X","")</f>
        <v/>
      </c>
      <c r="P282" s="17" t="str">
        <f>IF(BITWISE_AND('Raw Data'!$K283, 2048),"X","")</f>
        <v/>
      </c>
      <c r="Q282" s="17" t="str">
        <f>IF(BITWISE_AND('Raw Data'!$K283, 64),"X","")</f>
        <v/>
      </c>
      <c r="R282" s="18" t="str">
        <f>IF(BITWISE_AND('Raw Data'!$L283, 1024),"X","")</f>
        <v/>
      </c>
      <c r="S282" s="18" t="str">
        <f>IF(BITWISE_AND('Raw Data'!$L283, 512),"X","")</f>
        <v/>
      </c>
      <c r="T282" s="18" t="str">
        <f>IF(BITWISE_AND('Raw Data'!$L283, 256),"X","")</f>
        <v/>
      </c>
      <c r="U282" s="18" t="str">
        <f>IF(BITWISE_AND('Raw Data'!$L283, 64),"X","")</f>
        <v/>
      </c>
      <c r="V282" s="18" t="str">
        <f>IF(BITWISE_AND('Raw Data'!$L283, 2),"X","")</f>
        <v/>
      </c>
      <c r="W282" s="18" t="str">
        <f>IF(BITWISE_AND('Raw Data'!$L283, 1),"X","")</f>
        <v/>
      </c>
      <c r="X282" s="19" t="str">
        <f>IF(BITWISE_AND('Raw Data'!M283, 1),"Bat Voltage", IF(BITWISE_AND('Raw Data'!M283, 2), "Charge Current", IF(BITWISE_AND('Raw Data'!M283, 4),"Input Ilim", IF(BITWISE_AND('Raw Data'!M283, 8), "Input UV", "none"))))</f>
        <v>none</v>
      </c>
    </row>
    <row r="283" spans="1:24" x14ac:dyDescent="0.2">
      <c r="A283" s="15">
        <f>A282+TIME(0,0,'Raw Data'!B283)</f>
        <v>0</v>
      </c>
      <c r="B283" s="4">
        <f>'Raw Data'!C284*0.025</f>
        <v>0</v>
      </c>
      <c r="C283" s="4">
        <f t="shared" si="15"/>
        <v>0</v>
      </c>
      <c r="D283" s="4">
        <f>'Raw Data'!D284*0.025</f>
        <v>0</v>
      </c>
      <c r="E283" s="4">
        <f t="shared" si="16"/>
        <v>0</v>
      </c>
      <c r="F283" s="4">
        <f>'Raw Data'!E284*0.001648</f>
        <v>0</v>
      </c>
      <c r="G283" s="4">
        <f>'Raw Data'!F284*0.001648</f>
        <v>0</v>
      </c>
      <c r="H283" s="4">
        <f>'Raw Data'!G284*6*0.000128176</f>
        <v>0</v>
      </c>
      <c r="I283" s="4">
        <f>'Raw Data'!H284*0.000732435</f>
        <v>0</v>
      </c>
      <c r="J283" s="4">
        <f t="shared" si="14"/>
        <v>0</v>
      </c>
      <c r="K283" s="36">
        <f>IF(('Raw Data'!I284-16384)/32768&lt;0,0,('Raw Data'!I284-16384)/32768)</f>
        <v>0</v>
      </c>
      <c r="L283" s="4">
        <f>IF(('Raw Data'!J284-12010)/45.6=-263.377192982456,0,('Raw Data'!J284-12010)/45.6)</f>
        <v>0</v>
      </c>
      <c r="M283" s="16">
        <f>'Raw Data'!N284*2^-8</f>
        <v>0</v>
      </c>
      <c r="N283" s="16">
        <f>'Raw Data'!O284*2^-8</f>
        <v>0</v>
      </c>
      <c r="O283" s="17" t="str">
        <f>IF(BITWISE_AND('Raw Data'!$K284, 8192),"X","")</f>
        <v/>
      </c>
      <c r="P283" s="17" t="str">
        <f>IF(BITWISE_AND('Raw Data'!$K284, 2048),"X","")</f>
        <v/>
      </c>
      <c r="Q283" s="17" t="str">
        <f>IF(BITWISE_AND('Raw Data'!$K284, 64),"X","")</f>
        <v/>
      </c>
      <c r="R283" s="18" t="str">
        <f>IF(BITWISE_AND('Raw Data'!$L284, 1024),"X","")</f>
        <v/>
      </c>
      <c r="S283" s="18" t="str">
        <f>IF(BITWISE_AND('Raw Data'!$L284, 512),"X","")</f>
        <v/>
      </c>
      <c r="T283" s="18" t="str">
        <f>IF(BITWISE_AND('Raw Data'!$L284, 256),"X","")</f>
        <v/>
      </c>
      <c r="U283" s="18" t="str">
        <f>IF(BITWISE_AND('Raw Data'!$L284, 64),"X","")</f>
        <v/>
      </c>
      <c r="V283" s="18" t="str">
        <f>IF(BITWISE_AND('Raw Data'!$L284, 2),"X","")</f>
        <v/>
      </c>
      <c r="W283" s="18" t="str">
        <f>IF(BITWISE_AND('Raw Data'!$L284, 1),"X","")</f>
        <v/>
      </c>
      <c r="X283" s="19" t="str">
        <f>IF(BITWISE_AND('Raw Data'!M284, 1),"Bat Voltage", IF(BITWISE_AND('Raw Data'!M284, 2), "Charge Current", IF(BITWISE_AND('Raw Data'!M284, 4),"Input Ilim", IF(BITWISE_AND('Raw Data'!M284, 8), "Input UV", "none"))))</f>
        <v>none</v>
      </c>
    </row>
    <row r="284" spans="1:24" x14ac:dyDescent="0.2">
      <c r="A284" s="15">
        <f>A283+TIME(0,0,'Raw Data'!B284)</f>
        <v>0</v>
      </c>
      <c r="B284" s="4">
        <f>'Raw Data'!C285*0.025</f>
        <v>0</v>
      </c>
      <c r="C284" s="4">
        <f t="shared" si="15"/>
        <v>0</v>
      </c>
      <c r="D284" s="4">
        <f>'Raw Data'!D285*0.025</f>
        <v>0</v>
      </c>
      <c r="E284" s="4">
        <f t="shared" si="16"/>
        <v>0</v>
      </c>
      <c r="F284" s="4">
        <f>'Raw Data'!E285*0.001648</f>
        <v>0</v>
      </c>
      <c r="G284" s="4">
        <f>'Raw Data'!F285*0.001648</f>
        <v>0</v>
      </c>
      <c r="H284" s="4">
        <f>'Raw Data'!G285*6*0.000128176</f>
        <v>0</v>
      </c>
      <c r="I284" s="4">
        <f>'Raw Data'!H285*0.000732435</f>
        <v>0</v>
      </c>
      <c r="J284" s="4">
        <f t="shared" si="14"/>
        <v>0</v>
      </c>
      <c r="K284" s="36">
        <f>IF(('Raw Data'!I285-16384)/32768&lt;0,0,('Raw Data'!I285-16384)/32768)</f>
        <v>0</v>
      </c>
      <c r="L284" s="4">
        <f>IF(('Raw Data'!J285-12010)/45.6=-263.377192982456,0,('Raw Data'!J285-12010)/45.6)</f>
        <v>0</v>
      </c>
      <c r="M284" s="16">
        <f>'Raw Data'!N285*2^-8</f>
        <v>0</v>
      </c>
      <c r="N284" s="16">
        <f>'Raw Data'!O285*2^-8</f>
        <v>0</v>
      </c>
      <c r="O284" s="17" t="str">
        <f>IF(BITWISE_AND('Raw Data'!$K285, 8192),"X","")</f>
        <v/>
      </c>
      <c r="P284" s="17" t="str">
        <f>IF(BITWISE_AND('Raw Data'!$K285, 2048),"X","")</f>
        <v/>
      </c>
      <c r="Q284" s="17" t="str">
        <f>IF(BITWISE_AND('Raw Data'!$K285, 64),"X","")</f>
        <v/>
      </c>
      <c r="R284" s="18" t="str">
        <f>IF(BITWISE_AND('Raw Data'!$L285, 1024),"X","")</f>
        <v/>
      </c>
      <c r="S284" s="18" t="str">
        <f>IF(BITWISE_AND('Raw Data'!$L285, 512),"X","")</f>
        <v/>
      </c>
      <c r="T284" s="18" t="str">
        <f>IF(BITWISE_AND('Raw Data'!$L285, 256),"X","")</f>
        <v/>
      </c>
      <c r="U284" s="18" t="str">
        <f>IF(BITWISE_AND('Raw Data'!$L285, 64),"X","")</f>
        <v/>
      </c>
      <c r="V284" s="18" t="str">
        <f>IF(BITWISE_AND('Raw Data'!$L285, 2),"X","")</f>
        <v/>
      </c>
      <c r="W284" s="18" t="str">
        <f>IF(BITWISE_AND('Raw Data'!$L285, 1),"X","")</f>
        <v/>
      </c>
      <c r="X284" s="19" t="str">
        <f>IF(BITWISE_AND('Raw Data'!M285, 1),"Bat Voltage", IF(BITWISE_AND('Raw Data'!M285, 2), "Charge Current", IF(BITWISE_AND('Raw Data'!M285, 4),"Input Ilim", IF(BITWISE_AND('Raw Data'!M285, 8), "Input UV", "none"))))</f>
        <v>none</v>
      </c>
    </row>
    <row r="285" spans="1:24" x14ac:dyDescent="0.2">
      <c r="A285" s="15">
        <f>A284+TIME(0,0,'Raw Data'!B285)</f>
        <v>0</v>
      </c>
      <c r="B285" s="4">
        <f>'Raw Data'!C286*0.025</f>
        <v>0</v>
      </c>
      <c r="C285" s="4">
        <f t="shared" si="15"/>
        <v>0</v>
      </c>
      <c r="D285" s="4">
        <f>'Raw Data'!D286*0.025</f>
        <v>0</v>
      </c>
      <c r="E285" s="4">
        <f t="shared" si="16"/>
        <v>0</v>
      </c>
      <c r="F285" s="4">
        <f>'Raw Data'!E286*0.001648</f>
        <v>0</v>
      </c>
      <c r="G285" s="4">
        <f>'Raw Data'!F286*0.001648</f>
        <v>0</v>
      </c>
      <c r="H285" s="4">
        <f>'Raw Data'!G286*6*0.000128176</f>
        <v>0</v>
      </c>
      <c r="I285" s="4">
        <f>'Raw Data'!H286*0.000732435</f>
        <v>0</v>
      </c>
      <c r="J285" s="4">
        <f t="shared" si="14"/>
        <v>0</v>
      </c>
      <c r="K285" s="36">
        <f>IF(('Raw Data'!I286-16384)/32768&lt;0,0,('Raw Data'!I286-16384)/32768)</f>
        <v>0</v>
      </c>
      <c r="L285" s="4">
        <f>IF(('Raw Data'!J286-12010)/45.6=-263.377192982456,0,('Raw Data'!J286-12010)/45.6)</f>
        <v>0</v>
      </c>
      <c r="M285" s="16">
        <f>'Raw Data'!N286*2^-8</f>
        <v>0</v>
      </c>
      <c r="N285" s="16">
        <f>'Raw Data'!O286*2^-8</f>
        <v>0</v>
      </c>
      <c r="O285" s="17" t="str">
        <f>IF(BITWISE_AND('Raw Data'!$K286, 8192),"X","")</f>
        <v/>
      </c>
      <c r="P285" s="17" t="str">
        <f>IF(BITWISE_AND('Raw Data'!$K286, 2048),"X","")</f>
        <v/>
      </c>
      <c r="Q285" s="17" t="str">
        <f>IF(BITWISE_AND('Raw Data'!$K286, 64),"X","")</f>
        <v/>
      </c>
      <c r="R285" s="18" t="str">
        <f>IF(BITWISE_AND('Raw Data'!$L286, 1024),"X","")</f>
        <v/>
      </c>
      <c r="S285" s="18" t="str">
        <f>IF(BITWISE_AND('Raw Data'!$L286, 512),"X","")</f>
        <v/>
      </c>
      <c r="T285" s="18" t="str">
        <f>IF(BITWISE_AND('Raw Data'!$L286, 256),"X","")</f>
        <v/>
      </c>
      <c r="U285" s="18" t="str">
        <f>IF(BITWISE_AND('Raw Data'!$L286, 64),"X","")</f>
        <v/>
      </c>
      <c r="V285" s="18" t="str">
        <f>IF(BITWISE_AND('Raw Data'!$L286, 2),"X","")</f>
        <v/>
      </c>
      <c r="W285" s="18" t="str">
        <f>IF(BITWISE_AND('Raw Data'!$L286, 1),"X","")</f>
        <v/>
      </c>
      <c r="X285" s="19" t="str">
        <f>IF(BITWISE_AND('Raw Data'!M286, 1),"Bat Voltage", IF(BITWISE_AND('Raw Data'!M286, 2), "Charge Current", IF(BITWISE_AND('Raw Data'!M286, 4),"Input Ilim", IF(BITWISE_AND('Raw Data'!M286, 8), "Input UV", "none"))))</f>
        <v>none</v>
      </c>
    </row>
    <row r="286" spans="1:24" x14ac:dyDescent="0.2">
      <c r="A286" s="15">
        <f>A285+TIME(0,0,'Raw Data'!B286)</f>
        <v>0</v>
      </c>
      <c r="B286" s="4">
        <f>'Raw Data'!C287*0.025</f>
        <v>0</v>
      </c>
      <c r="C286" s="4">
        <f t="shared" si="15"/>
        <v>0</v>
      </c>
      <c r="D286" s="4">
        <f>'Raw Data'!D287*0.025</f>
        <v>0</v>
      </c>
      <c r="E286" s="4">
        <f t="shared" si="16"/>
        <v>0</v>
      </c>
      <c r="F286" s="4">
        <f>'Raw Data'!E287*0.001648</f>
        <v>0</v>
      </c>
      <c r="G286" s="4">
        <f>'Raw Data'!F287*0.001648</f>
        <v>0</v>
      </c>
      <c r="H286" s="4">
        <f>'Raw Data'!G287*6*0.000128176</f>
        <v>0</v>
      </c>
      <c r="I286" s="4">
        <f>'Raw Data'!H287*0.000732435</f>
        <v>0</v>
      </c>
      <c r="J286" s="4">
        <f t="shared" si="14"/>
        <v>0</v>
      </c>
      <c r="K286" s="36">
        <f>IF(('Raw Data'!I287-16384)/32768&lt;0,0,('Raw Data'!I287-16384)/32768)</f>
        <v>0</v>
      </c>
      <c r="L286" s="4">
        <f>IF(('Raw Data'!J287-12010)/45.6=-263.377192982456,0,('Raw Data'!J287-12010)/45.6)</f>
        <v>0</v>
      </c>
      <c r="M286" s="16">
        <f>'Raw Data'!N287*2^-8</f>
        <v>0</v>
      </c>
      <c r="N286" s="16">
        <f>'Raw Data'!O287*2^-8</f>
        <v>0</v>
      </c>
      <c r="O286" s="17" t="str">
        <f>IF(BITWISE_AND('Raw Data'!$K287, 8192),"X","")</f>
        <v/>
      </c>
      <c r="P286" s="17" t="str">
        <f>IF(BITWISE_AND('Raw Data'!$K287, 2048),"X","")</f>
        <v/>
      </c>
      <c r="Q286" s="17" t="str">
        <f>IF(BITWISE_AND('Raw Data'!$K287, 64),"X","")</f>
        <v/>
      </c>
      <c r="R286" s="18" t="str">
        <f>IF(BITWISE_AND('Raw Data'!$L287, 1024),"X","")</f>
        <v/>
      </c>
      <c r="S286" s="18" t="str">
        <f>IF(BITWISE_AND('Raw Data'!$L287, 512),"X","")</f>
        <v/>
      </c>
      <c r="T286" s="18" t="str">
        <f>IF(BITWISE_AND('Raw Data'!$L287, 256),"X","")</f>
        <v/>
      </c>
      <c r="U286" s="18" t="str">
        <f>IF(BITWISE_AND('Raw Data'!$L287, 64),"X","")</f>
        <v/>
      </c>
      <c r="V286" s="18" t="str">
        <f>IF(BITWISE_AND('Raw Data'!$L287, 2),"X","")</f>
        <v/>
      </c>
      <c r="W286" s="18" t="str">
        <f>IF(BITWISE_AND('Raw Data'!$L287, 1),"X","")</f>
        <v/>
      </c>
      <c r="X286" s="19" t="str">
        <f>IF(BITWISE_AND('Raw Data'!M287, 1),"Bat Voltage", IF(BITWISE_AND('Raw Data'!M287, 2), "Charge Current", IF(BITWISE_AND('Raw Data'!M287, 4),"Input Ilim", IF(BITWISE_AND('Raw Data'!M287, 8), "Input UV", "none"))))</f>
        <v>none</v>
      </c>
    </row>
    <row r="287" spans="1:24" x14ac:dyDescent="0.2">
      <c r="A287" s="15">
        <f>A286+TIME(0,0,'Raw Data'!B287)</f>
        <v>0</v>
      </c>
      <c r="B287" s="4">
        <f>'Raw Data'!C288*0.025</f>
        <v>0</v>
      </c>
      <c r="C287" s="4">
        <f t="shared" si="15"/>
        <v>0</v>
      </c>
      <c r="D287" s="4">
        <f>'Raw Data'!D288*0.025</f>
        <v>0</v>
      </c>
      <c r="E287" s="4">
        <f t="shared" si="16"/>
        <v>0</v>
      </c>
      <c r="F287" s="4">
        <f>'Raw Data'!E288*0.001648</f>
        <v>0</v>
      </c>
      <c r="G287" s="4">
        <f>'Raw Data'!F288*0.001648</f>
        <v>0</v>
      </c>
      <c r="H287" s="4">
        <f>'Raw Data'!G288*6*0.000128176</f>
        <v>0</v>
      </c>
      <c r="I287" s="4">
        <f>'Raw Data'!H288*0.000732435</f>
        <v>0</v>
      </c>
      <c r="J287" s="4">
        <f t="shared" si="14"/>
        <v>0</v>
      </c>
      <c r="K287" s="36">
        <f>IF(('Raw Data'!I288-16384)/32768&lt;0,0,('Raw Data'!I288-16384)/32768)</f>
        <v>0</v>
      </c>
      <c r="L287" s="4">
        <f>IF(('Raw Data'!J288-12010)/45.6=-263.377192982456,0,('Raw Data'!J288-12010)/45.6)</f>
        <v>0</v>
      </c>
      <c r="M287" s="16">
        <f>'Raw Data'!N288*2^-8</f>
        <v>0</v>
      </c>
      <c r="N287" s="16">
        <f>'Raw Data'!O288*2^-8</f>
        <v>0</v>
      </c>
      <c r="O287" s="17" t="str">
        <f>IF(BITWISE_AND('Raw Data'!$K288, 8192),"X","")</f>
        <v/>
      </c>
      <c r="P287" s="17" t="str">
        <f>IF(BITWISE_AND('Raw Data'!$K288, 2048),"X","")</f>
        <v/>
      </c>
      <c r="Q287" s="17" t="str">
        <f>IF(BITWISE_AND('Raw Data'!$K288, 64),"X","")</f>
        <v/>
      </c>
      <c r="R287" s="18" t="str">
        <f>IF(BITWISE_AND('Raw Data'!$L288, 1024),"X","")</f>
        <v/>
      </c>
      <c r="S287" s="18" t="str">
        <f>IF(BITWISE_AND('Raw Data'!$L288, 512),"X","")</f>
        <v/>
      </c>
      <c r="T287" s="18" t="str">
        <f>IF(BITWISE_AND('Raw Data'!$L288, 256),"X","")</f>
        <v/>
      </c>
      <c r="U287" s="18" t="str">
        <f>IF(BITWISE_AND('Raw Data'!$L288, 64),"X","")</f>
        <v/>
      </c>
      <c r="V287" s="18" t="str">
        <f>IF(BITWISE_AND('Raw Data'!$L288, 2),"X","")</f>
        <v/>
      </c>
      <c r="W287" s="18" t="str">
        <f>IF(BITWISE_AND('Raw Data'!$L288, 1),"X","")</f>
        <v/>
      </c>
      <c r="X287" s="19" t="str">
        <f>IF(BITWISE_AND('Raw Data'!M288, 1),"Bat Voltage", IF(BITWISE_AND('Raw Data'!M288, 2), "Charge Current", IF(BITWISE_AND('Raw Data'!M288, 4),"Input Ilim", IF(BITWISE_AND('Raw Data'!M288, 8), "Input UV", "none"))))</f>
        <v>none</v>
      </c>
    </row>
    <row r="288" spans="1:24" x14ac:dyDescent="0.2">
      <c r="A288" s="15">
        <f>A287+TIME(0,0,'Raw Data'!B288)</f>
        <v>0</v>
      </c>
      <c r="B288" s="4">
        <f>'Raw Data'!C289*0.025</f>
        <v>0</v>
      </c>
      <c r="C288" s="4">
        <f t="shared" si="15"/>
        <v>0</v>
      </c>
      <c r="D288" s="4">
        <f>'Raw Data'!D289*0.025</f>
        <v>0</v>
      </c>
      <c r="E288" s="4">
        <f t="shared" si="16"/>
        <v>0</v>
      </c>
      <c r="F288" s="4">
        <f>'Raw Data'!E289*0.001648</f>
        <v>0</v>
      </c>
      <c r="G288" s="4">
        <f>'Raw Data'!F289*0.001648</f>
        <v>0</v>
      </c>
      <c r="H288" s="4">
        <f>'Raw Data'!G289*6*0.000128176</f>
        <v>0</v>
      </c>
      <c r="I288" s="4">
        <f>'Raw Data'!H289*0.000732435</f>
        <v>0</v>
      </c>
      <c r="J288" s="4">
        <f t="shared" si="14"/>
        <v>0</v>
      </c>
      <c r="K288" s="36">
        <f>IF(('Raw Data'!I289-16384)/32768&lt;0,0,('Raw Data'!I289-16384)/32768)</f>
        <v>0</v>
      </c>
      <c r="L288" s="4">
        <f>IF(('Raw Data'!J289-12010)/45.6=-263.377192982456,0,('Raw Data'!J289-12010)/45.6)</f>
        <v>0</v>
      </c>
      <c r="M288" s="16">
        <f>'Raw Data'!N289*2^-8</f>
        <v>0</v>
      </c>
      <c r="N288" s="16">
        <f>'Raw Data'!O289*2^-8</f>
        <v>0</v>
      </c>
      <c r="O288" s="17" t="str">
        <f>IF(BITWISE_AND('Raw Data'!$K289, 8192),"X","")</f>
        <v/>
      </c>
      <c r="P288" s="17" t="str">
        <f>IF(BITWISE_AND('Raw Data'!$K289, 2048),"X","")</f>
        <v/>
      </c>
      <c r="Q288" s="17" t="str">
        <f>IF(BITWISE_AND('Raw Data'!$K289, 64),"X","")</f>
        <v/>
      </c>
      <c r="R288" s="18" t="str">
        <f>IF(BITWISE_AND('Raw Data'!$L289, 1024),"X","")</f>
        <v/>
      </c>
      <c r="S288" s="18" t="str">
        <f>IF(BITWISE_AND('Raw Data'!$L289, 512),"X","")</f>
        <v/>
      </c>
      <c r="T288" s="18" t="str">
        <f>IF(BITWISE_AND('Raw Data'!$L289, 256),"X","")</f>
        <v/>
      </c>
      <c r="U288" s="18" t="str">
        <f>IF(BITWISE_AND('Raw Data'!$L289, 64),"X","")</f>
        <v/>
      </c>
      <c r="V288" s="18" t="str">
        <f>IF(BITWISE_AND('Raw Data'!$L289, 2),"X","")</f>
        <v/>
      </c>
      <c r="W288" s="18" t="str">
        <f>IF(BITWISE_AND('Raw Data'!$L289, 1),"X","")</f>
        <v/>
      </c>
      <c r="X288" s="19" t="str">
        <f>IF(BITWISE_AND('Raw Data'!M289, 1),"Bat Voltage", IF(BITWISE_AND('Raw Data'!M289, 2), "Charge Current", IF(BITWISE_AND('Raw Data'!M289, 4),"Input Ilim", IF(BITWISE_AND('Raw Data'!M289, 8), "Input UV", "none"))))</f>
        <v>none</v>
      </c>
    </row>
    <row r="289" spans="1:24" x14ac:dyDescent="0.2">
      <c r="A289" s="15">
        <f>A288+TIME(0,0,'Raw Data'!B289)</f>
        <v>0</v>
      </c>
      <c r="B289" s="4">
        <f>'Raw Data'!C290*0.025</f>
        <v>0</v>
      </c>
      <c r="C289" s="4">
        <f t="shared" si="15"/>
        <v>0</v>
      </c>
      <c r="D289" s="4">
        <f>'Raw Data'!D290*0.025</f>
        <v>0</v>
      </c>
      <c r="E289" s="4">
        <f t="shared" si="16"/>
        <v>0</v>
      </c>
      <c r="F289" s="4">
        <f>'Raw Data'!E290*0.001648</f>
        <v>0</v>
      </c>
      <c r="G289" s="4">
        <f>'Raw Data'!F290*0.001648</f>
        <v>0</v>
      </c>
      <c r="H289" s="4">
        <f>'Raw Data'!G290*6*0.000128176</f>
        <v>0</v>
      </c>
      <c r="I289" s="4">
        <f>'Raw Data'!H290*0.000732435</f>
        <v>0</v>
      </c>
      <c r="J289" s="4">
        <f t="shared" si="14"/>
        <v>0</v>
      </c>
      <c r="K289" s="36">
        <f>IF(('Raw Data'!I290-16384)/32768&lt;0,0,('Raw Data'!I290-16384)/32768)</f>
        <v>0</v>
      </c>
      <c r="L289" s="4">
        <f>IF(('Raw Data'!J290-12010)/45.6=-263.377192982456,0,('Raw Data'!J290-12010)/45.6)</f>
        <v>0</v>
      </c>
      <c r="M289" s="16">
        <f>'Raw Data'!N290*2^-8</f>
        <v>0</v>
      </c>
      <c r="N289" s="16">
        <f>'Raw Data'!O290*2^-8</f>
        <v>0</v>
      </c>
      <c r="O289" s="17" t="str">
        <f>IF(BITWISE_AND('Raw Data'!$K290, 8192),"X","")</f>
        <v/>
      </c>
      <c r="P289" s="17" t="str">
        <f>IF(BITWISE_AND('Raw Data'!$K290, 2048),"X","")</f>
        <v/>
      </c>
      <c r="Q289" s="17" t="str">
        <f>IF(BITWISE_AND('Raw Data'!$K290, 64),"X","")</f>
        <v/>
      </c>
      <c r="R289" s="18" t="str">
        <f>IF(BITWISE_AND('Raw Data'!$L290, 1024),"X","")</f>
        <v/>
      </c>
      <c r="S289" s="18" t="str">
        <f>IF(BITWISE_AND('Raw Data'!$L290, 512),"X","")</f>
        <v/>
      </c>
      <c r="T289" s="18" t="str">
        <f>IF(BITWISE_AND('Raw Data'!$L290, 256),"X","")</f>
        <v/>
      </c>
      <c r="U289" s="18" t="str">
        <f>IF(BITWISE_AND('Raw Data'!$L290, 64),"X","")</f>
        <v/>
      </c>
      <c r="V289" s="18" t="str">
        <f>IF(BITWISE_AND('Raw Data'!$L290, 2),"X","")</f>
        <v/>
      </c>
      <c r="W289" s="18" t="str">
        <f>IF(BITWISE_AND('Raw Data'!$L290, 1),"X","")</f>
        <v/>
      </c>
      <c r="X289" s="19" t="str">
        <f>IF(BITWISE_AND('Raw Data'!M290, 1),"Bat Voltage", IF(BITWISE_AND('Raw Data'!M290, 2), "Charge Current", IF(BITWISE_AND('Raw Data'!M290, 4),"Input Ilim", IF(BITWISE_AND('Raw Data'!M290, 8), "Input UV", "none"))))</f>
        <v>none</v>
      </c>
    </row>
    <row r="290" spans="1:24" x14ac:dyDescent="0.2">
      <c r="A290" s="15">
        <f>A289+TIME(0,0,'Raw Data'!B290)</f>
        <v>0</v>
      </c>
      <c r="B290" s="4">
        <f>'Raw Data'!C291*0.025</f>
        <v>0</v>
      </c>
      <c r="C290" s="4">
        <f t="shared" si="15"/>
        <v>0</v>
      </c>
      <c r="D290" s="4">
        <f>'Raw Data'!D291*0.025</f>
        <v>0</v>
      </c>
      <c r="E290" s="4">
        <f t="shared" si="16"/>
        <v>0</v>
      </c>
      <c r="F290" s="4">
        <f>'Raw Data'!E291*0.001648</f>
        <v>0</v>
      </c>
      <c r="G290" s="4">
        <f>'Raw Data'!F291*0.001648</f>
        <v>0</v>
      </c>
      <c r="H290" s="4">
        <f>'Raw Data'!G291*6*0.000128176</f>
        <v>0</v>
      </c>
      <c r="I290" s="4">
        <f>'Raw Data'!H291*0.000732435</f>
        <v>0</v>
      </c>
      <c r="J290" s="4">
        <f t="shared" si="14"/>
        <v>0</v>
      </c>
      <c r="K290" s="36">
        <f>IF(('Raw Data'!I291-16384)/32768&lt;0,0,('Raw Data'!I291-16384)/32768)</f>
        <v>0</v>
      </c>
      <c r="L290" s="4">
        <f>IF(('Raw Data'!J291-12010)/45.6=-263.377192982456,0,('Raw Data'!J291-12010)/45.6)</f>
        <v>0</v>
      </c>
      <c r="M290" s="16">
        <f>'Raw Data'!N291*2^-8</f>
        <v>0</v>
      </c>
      <c r="N290" s="16">
        <f>'Raw Data'!O291*2^-8</f>
        <v>0</v>
      </c>
      <c r="O290" s="17" t="str">
        <f>IF(BITWISE_AND('Raw Data'!$K291, 8192),"X","")</f>
        <v/>
      </c>
      <c r="P290" s="17" t="str">
        <f>IF(BITWISE_AND('Raw Data'!$K291, 2048),"X","")</f>
        <v/>
      </c>
      <c r="Q290" s="17" t="str">
        <f>IF(BITWISE_AND('Raw Data'!$K291, 64),"X","")</f>
        <v/>
      </c>
      <c r="R290" s="18" t="str">
        <f>IF(BITWISE_AND('Raw Data'!$L291, 1024),"X","")</f>
        <v/>
      </c>
      <c r="S290" s="18" t="str">
        <f>IF(BITWISE_AND('Raw Data'!$L291, 512),"X","")</f>
        <v/>
      </c>
      <c r="T290" s="18" t="str">
        <f>IF(BITWISE_AND('Raw Data'!$L291, 256),"X","")</f>
        <v/>
      </c>
      <c r="U290" s="18" t="str">
        <f>IF(BITWISE_AND('Raw Data'!$L291, 64),"X","")</f>
        <v/>
      </c>
      <c r="V290" s="18" t="str">
        <f>IF(BITWISE_AND('Raw Data'!$L291, 2),"X","")</f>
        <v/>
      </c>
      <c r="W290" s="18" t="str">
        <f>IF(BITWISE_AND('Raw Data'!$L291, 1),"X","")</f>
        <v/>
      </c>
      <c r="X290" s="19" t="str">
        <f>IF(BITWISE_AND('Raw Data'!M291, 1),"Bat Voltage", IF(BITWISE_AND('Raw Data'!M291, 2), "Charge Current", IF(BITWISE_AND('Raw Data'!M291, 4),"Input Ilim", IF(BITWISE_AND('Raw Data'!M291, 8), "Input UV", "none"))))</f>
        <v>none</v>
      </c>
    </row>
    <row r="291" spans="1:24" x14ac:dyDescent="0.2">
      <c r="A291" s="15">
        <f>A290+TIME(0,0,'Raw Data'!B291)</f>
        <v>0</v>
      </c>
      <c r="B291" s="4">
        <f>'Raw Data'!C292*0.025</f>
        <v>0</v>
      </c>
      <c r="C291" s="4">
        <f t="shared" si="15"/>
        <v>0</v>
      </c>
      <c r="D291" s="4">
        <f>'Raw Data'!D292*0.025</f>
        <v>0</v>
      </c>
      <c r="E291" s="4">
        <f t="shared" si="16"/>
        <v>0</v>
      </c>
      <c r="F291" s="4">
        <f>'Raw Data'!E292*0.001648</f>
        <v>0</v>
      </c>
      <c r="G291" s="4">
        <f>'Raw Data'!F292*0.001648</f>
        <v>0</v>
      </c>
      <c r="H291" s="4">
        <f>'Raw Data'!G292*6*0.000128176</f>
        <v>0</v>
      </c>
      <c r="I291" s="4">
        <f>'Raw Data'!H292*0.000732435</f>
        <v>0</v>
      </c>
      <c r="J291" s="4">
        <f t="shared" si="14"/>
        <v>0</v>
      </c>
      <c r="K291" s="36">
        <f>IF(('Raw Data'!I292-16384)/32768&lt;0,0,('Raw Data'!I292-16384)/32768)</f>
        <v>0</v>
      </c>
      <c r="L291" s="4">
        <f>IF(('Raw Data'!J292-12010)/45.6=-263.377192982456,0,('Raw Data'!J292-12010)/45.6)</f>
        <v>0</v>
      </c>
      <c r="M291" s="16">
        <f>'Raw Data'!N292*2^-8</f>
        <v>0</v>
      </c>
      <c r="N291" s="16">
        <f>'Raw Data'!O292*2^-8</f>
        <v>0</v>
      </c>
      <c r="O291" s="17" t="str">
        <f>IF(BITWISE_AND('Raw Data'!$K292, 8192),"X","")</f>
        <v/>
      </c>
      <c r="P291" s="17" t="str">
        <f>IF(BITWISE_AND('Raw Data'!$K292, 2048),"X","")</f>
        <v/>
      </c>
      <c r="Q291" s="17" t="str">
        <f>IF(BITWISE_AND('Raw Data'!$K292, 64),"X","")</f>
        <v/>
      </c>
      <c r="R291" s="18" t="str">
        <f>IF(BITWISE_AND('Raw Data'!$L292, 1024),"X","")</f>
        <v/>
      </c>
      <c r="S291" s="18" t="str">
        <f>IF(BITWISE_AND('Raw Data'!$L292, 512),"X","")</f>
        <v/>
      </c>
      <c r="T291" s="18" t="str">
        <f>IF(BITWISE_AND('Raw Data'!$L292, 256),"X","")</f>
        <v/>
      </c>
      <c r="U291" s="18" t="str">
        <f>IF(BITWISE_AND('Raw Data'!$L292, 64),"X","")</f>
        <v/>
      </c>
      <c r="V291" s="18" t="str">
        <f>IF(BITWISE_AND('Raw Data'!$L292, 2),"X","")</f>
        <v/>
      </c>
      <c r="W291" s="18" t="str">
        <f>IF(BITWISE_AND('Raw Data'!$L292, 1),"X","")</f>
        <v/>
      </c>
      <c r="X291" s="19" t="str">
        <f>IF(BITWISE_AND('Raw Data'!M292, 1),"Bat Voltage", IF(BITWISE_AND('Raw Data'!M292, 2), "Charge Current", IF(BITWISE_AND('Raw Data'!M292, 4),"Input Ilim", IF(BITWISE_AND('Raw Data'!M292, 8), "Input UV", "none"))))</f>
        <v>none</v>
      </c>
    </row>
    <row r="292" spans="1:24" x14ac:dyDescent="0.2">
      <c r="A292" s="15">
        <f>A291+TIME(0,0,'Raw Data'!B292)</f>
        <v>0</v>
      </c>
      <c r="B292" s="4">
        <f>'Raw Data'!C293*0.025</f>
        <v>0</v>
      </c>
      <c r="C292" s="4">
        <f t="shared" si="15"/>
        <v>0</v>
      </c>
      <c r="D292" s="4">
        <f>'Raw Data'!D293*0.025</f>
        <v>0</v>
      </c>
      <c r="E292" s="4">
        <f t="shared" si="16"/>
        <v>0</v>
      </c>
      <c r="F292" s="4">
        <f>'Raw Data'!E293*0.001648</f>
        <v>0</v>
      </c>
      <c r="G292" s="4">
        <f>'Raw Data'!F293*0.001648</f>
        <v>0</v>
      </c>
      <c r="H292" s="4">
        <f>'Raw Data'!G293*6*0.000128176</f>
        <v>0</v>
      </c>
      <c r="I292" s="4">
        <f>'Raw Data'!H293*0.000732435</f>
        <v>0</v>
      </c>
      <c r="J292" s="4">
        <f t="shared" si="14"/>
        <v>0</v>
      </c>
      <c r="K292" s="36">
        <f>IF(('Raw Data'!I293-16384)/32768&lt;0,0,('Raw Data'!I293-16384)/32768)</f>
        <v>0</v>
      </c>
      <c r="L292" s="4">
        <f>IF(('Raw Data'!J293-12010)/45.6=-263.377192982456,0,('Raw Data'!J293-12010)/45.6)</f>
        <v>0</v>
      </c>
      <c r="M292" s="16">
        <f>'Raw Data'!N293*2^-8</f>
        <v>0</v>
      </c>
      <c r="N292" s="16">
        <f>'Raw Data'!O293*2^-8</f>
        <v>0</v>
      </c>
      <c r="O292" s="17" t="str">
        <f>IF(BITWISE_AND('Raw Data'!$K293, 8192),"X","")</f>
        <v/>
      </c>
      <c r="P292" s="17" t="str">
        <f>IF(BITWISE_AND('Raw Data'!$K293, 2048),"X","")</f>
        <v/>
      </c>
      <c r="Q292" s="17" t="str">
        <f>IF(BITWISE_AND('Raw Data'!$K293, 64),"X","")</f>
        <v/>
      </c>
      <c r="R292" s="18" t="str">
        <f>IF(BITWISE_AND('Raw Data'!$L293, 1024),"X","")</f>
        <v/>
      </c>
      <c r="S292" s="18" t="str">
        <f>IF(BITWISE_AND('Raw Data'!$L293, 512),"X","")</f>
        <v/>
      </c>
      <c r="T292" s="18" t="str">
        <f>IF(BITWISE_AND('Raw Data'!$L293, 256),"X","")</f>
        <v/>
      </c>
      <c r="U292" s="18" t="str">
        <f>IF(BITWISE_AND('Raw Data'!$L293, 64),"X","")</f>
        <v/>
      </c>
      <c r="V292" s="18" t="str">
        <f>IF(BITWISE_AND('Raw Data'!$L293, 2),"X","")</f>
        <v/>
      </c>
      <c r="W292" s="18" t="str">
        <f>IF(BITWISE_AND('Raw Data'!$L293, 1),"X","")</f>
        <v/>
      </c>
      <c r="X292" s="19" t="str">
        <f>IF(BITWISE_AND('Raw Data'!M293, 1),"Bat Voltage", IF(BITWISE_AND('Raw Data'!M293, 2), "Charge Current", IF(BITWISE_AND('Raw Data'!M293, 4),"Input Ilim", IF(BITWISE_AND('Raw Data'!M293, 8), "Input UV", "none"))))</f>
        <v>none</v>
      </c>
    </row>
    <row r="293" spans="1:24" x14ac:dyDescent="0.2">
      <c r="A293" s="15">
        <f>A292+TIME(0,0,'Raw Data'!B293)</f>
        <v>0</v>
      </c>
      <c r="B293" s="4">
        <f>'Raw Data'!C294*0.025</f>
        <v>0</v>
      </c>
      <c r="C293" s="4">
        <f t="shared" si="15"/>
        <v>0</v>
      </c>
      <c r="D293" s="4">
        <f>'Raw Data'!D294*0.025</f>
        <v>0</v>
      </c>
      <c r="E293" s="4">
        <f t="shared" si="16"/>
        <v>0</v>
      </c>
      <c r="F293" s="4">
        <f>'Raw Data'!E294*0.001648</f>
        <v>0</v>
      </c>
      <c r="G293" s="4">
        <f>'Raw Data'!F294*0.001648</f>
        <v>0</v>
      </c>
      <c r="H293" s="4">
        <f>'Raw Data'!G294*6*0.000128176</f>
        <v>0</v>
      </c>
      <c r="I293" s="4">
        <f>'Raw Data'!H294*0.000732435</f>
        <v>0</v>
      </c>
      <c r="J293" s="4">
        <f t="shared" si="14"/>
        <v>0</v>
      </c>
      <c r="K293" s="36">
        <f>IF(('Raw Data'!I294-16384)/32768&lt;0,0,('Raw Data'!I294-16384)/32768)</f>
        <v>0</v>
      </c>
      <c r="L293" s="4">
        <f>IF(('Raw Data'!J294-12010)/45.6=-263.377192982456,0,('Raw Data'!J294-12010)/45.6)</f>
        <v>0</v>
      </c>
      <c r="M293" s="16">
        <f>'Raw Data'!N294*2^-8</f>
        <v>0</v>
      </c>
      <c r="N293" s="16">
        <f>'Raw Data'!O294*2^-8</f>
        <v>0</v>
      </c>
      <c r="O293" s="17" t="str">
        <f>IF(BITWISE_AND('Raw Data'!$K294, 8192),"X","")</f>
        <v/>
      </c>
      <c r="P293" s="17" t="str">
        <f>IF(BITWISE_AND('Raw Data'!$K294, 2048),"X","")</f>
        <v/>
      </c>
      <c r="Q293" s="17" t="str">
        <f>IF(BITWISE_AND('Raw Data'!$K294, 64),"X","")</f>
        <v/>
      </c>
      <c r="R293" s="18" t="str">
        <f>IF(BITWISE_AND('Raw Data'!$L294, 1024),"X","")</f>
        <v/>
      </c>
      <c r="S293" s="18" t="str">
        <f>IF(BITWISE_AND('Raw Data'!$L294, 512),"X","")</f>
        <v/>
      </c>
      <c r="T293" s="18" t="str">
        <f>IF(BITWISE_AND('Raw Data'!$L294, 256),"X","")</f>
        <v/>
      </c>
      <c r="U293" s="18" t="str">
        <f>IF(BITWISE_AND('Raw Data'!$L294, 64),"X","")</f>
        <v/>
      </c>
      <c r="V293" s="18" t="str">
        <f>IF(BITWISE_AND('Raw Data'!$L294, 2),"X","")</f>
        <v/>
      </c>
      <c r="W293" s="18" t="str">
        <f>IF(BITWISE_AND('Raw Data'!$L294, 1),"X","")</f>
        <v/>
      </c>
      <c r="X293" s="19" t="str">
        <f>IF(BITWISE_AND('Raw Data'!M294, 1),"Bat Voltage", IF(BITWISE_AND('Raw Data'!M294, 2), "Charge Current", IF(BITWISE_AND('Raw Data'!M294, 4),"Input Ilim", IF(BITWISE_AND('Raw Data'!M294, 8), "Input UV", "none"))))</f>
        <v>none</v>
      </c>
    </row>
    <row r="294" spans="1:24" x14ac:dyDescent="0.2">
      <c r="A294" s="15">
        <f>A293+TIME(0,0,'Raw Data'!B294)</f>
        <v>0</v>
      </c>
      <c r="B294" s="4">
        <f>'Raw Data'!C295*0.025</f>
        <v>0</v>
      </c>
      <c r="C294" s="4">
        <f t="shared" si="15"/>
        <v>0</v>
      </c>
      <c r="D294" s="4">
        <f>'Raw Data'!D295*0.025</f>
        <v>0</v>
      </c>
      <c r="E294" s="4">
        <f t="shared" si="16"/>
        <v>0</v>
      </c>
      <c r="F294" s="4">
        <f>'Raw Data'!E295*0.001648</f>
        <v>0</v>
      </c>
      <c r="G294" s="4">
        <f>'Raw Data'!F295*0.001648</f>
        <v>0</v>
      </c>
      <c r="H294" s="4">
        <f>'Raw Data'!G295*6*0.000128176</f>
        <v>0</v>
      </c>
      <c r="I294" s="4">
        <f>'Raw Data'!H295*0.000732435</f>
        <v>0</v>
      </c>
      <c r="J294" s="4">
        <f t="shared" si="14"/>
        <v>0</v>
      </c>
      <c r="K294" s="36">
        <f>IF(('Raw Data'!I295-16384)/32768&lt;0,0,('Raw Data'!I295-16384)/32768)</f>
        <v>0</v>
      </c>
      <c r="L294" s="4">
        <f>IF(('Raw Data'!J295-12010)/45.6=-263.377192982456,0,('Raw Data'!J295-12010)/45.6)</f>
        <v>0</v>
      </c>
      <c r="M294" s="16">
        <f>'Raw Data'!N295*2^-8</f>
        <v>0</v>
      </c>
      <c r="N294" s="16">
        <f>'Raw Data'!O295*2^-8</f>
        <v>0</v>
      </c>
      <c r="O294" s="17" t="str">
        <f>IF(BITWISE_AND('Raw Data'!$K295, 8192),"X","")</f>
        <v/>
      </c>
      <c r="P294" s="17" t="str">
        <f>IF(BITWISE_AND('Raw Data'!$K295, 2048),"X","")</f>
        <v/>
      </c>
      <c r="Q294" s="17" t="str">
        <f>IF(BITWISE_AND('Raw Data'!$K295, 64),"X","")</f>
        <v/>
      </c>
      <c r="R294" s="18" t="str">
        <f>IF(BITWISE_AND('Raw Data'!$L295, 1024),"X","")</f>
        <v/>
      </c>
      <c r="S294" s="18" t="str">
        <f>IF(BITWISE_AND('Raw Data'!$L295, 512),"X","")</f>
        <v/>
      </c>
      <c r="T294" s="18" t="str">
        <f>IF(BITWISE_AND('Raw Data'!$L295, 256),"X","")</f>
        <v/>
      </c>
      <c r="U294" s="18" t="str">
        <f>IF(BITWISE_AND('Raw Data'!$L295, 64),"X","")</f>
        <v/>
      </c>
      <c r="V294" s="18" t="str">
        <f>IF(BITWISE_AND('Raw Data'!$L295, 2),"X","")</f>
        <v/>
      </c>
      <c r="W294" s="18" t="str">
        <f>IF(BITWISE_AND('Raw Data'!$L295, 1),"X","")</f>
        <v/>
      </c>
      <c r="X294" s="19" t="str">
        <f>IF(BITWISE_AND('Raw Data'!M295, 1),"Bat Voltage", IF(BITWISE_AND('Raw Data'!M295, 2), "Charge Current", IF(BITWISE_AND('Raw Data'!M295, 4),"Input Ilim", IF(BITWISE_AND('Raw Data'!M295, 8), "Input UV", "none"))))</f>
        <v>none</v>
      </c>
    </row>
    <row r="295" spans="1:24" x14ac:dyDescent="0.2">
      <c r="A295" s="15">
        <f>A294+TIME(0,0,'Raw Data'!B295)</f>
        <v>0</v>
      </c>
      <c r="B295" s="4">
        <f>'Raw Data'!C296*0.025</f>
        <v>0</v>
      </c>
      <c r="C295" s="4">
        <f t="shared" si="15"/>
        <v>0</v>
      </c>
      <c r="D295" s="4">
        <f>'Raw Data'!D296*0.025</f>
        <v>0</v>
      </c>
      <c r="E295" s="4">
        <f t="shared" si="16"/>
        <v>0</v>
      </c>
      <c r="F295" s="4">
        <f>'Raw Data'!E296*0.001648</f>
        <v>0</v>
      </c>
      <c r="G295" s="4">
        <f>'Raw Data'!F296*0.001648</f>
        <v>0</v>
      </c>
      <c r="H295" s="4">
        <f>'Raw Data'!G296*6*0.000128176</f>
        <v>0</v>
      </c>
      <c r="I295" s="4">
        <f>'Raw Data'!H296*0.000732435</f>
        <v>0</v>
      </c>
      <c r="J295" s="4">
        <f t="shared" si="14"/>
        <v>0</v>
      </c>
      <c r="K295" s="36">
        <f>IF(('Raw Data'!I296-16384)/32768&lt;0,0,('Raw Data'!I296-16384)/32768)</f>
        <v>0</v>
      </c>
      <c r="L295" s="4">
        <f>IF(('Raw Data'!J296-12010)/45.6=-263.377192982456,0,('Raw Data'!J296-12010)/45.6)</f>
        <v>0</v>
      </c>
      <c r="M295" s="16">
        <f>'Raw Data'!N296*2^-8</f>
        <v>0</v>
      </c>
      <c r="N295" s="16">
        <f>'Raw Data'!O296*2^-8</f>
        <v>0</v>
      </c>
      <c r="O295" s="17" t="str">
        <f>IF(BITWISE_AND('Raw Data'!$K296, 8192),"X","")</f>
        <v/>
      </c>
      <c r="P295" s="17" t="str">
        <f>IF(BITWISE_AND('Raw Data'!$K296, 2048),"X","")</f>
        <v/>
      </c>
      <c r="Q295" s="17" t="str">
        <f>IF(BITWISE_AND('Raw Data'!$K296, 64),"X","")</f>
        <v/>
      </c>
      <c r="R295" s="18" t="str">
        <f>IF(BITWISE_AND('Raw Data'!$L296, 1024),"X","")</f>
        <v/>
      </c>
      <c r="S295" s="18" t="str">
        <f>IF(BITWISE_AND('Raw Data'!$L296, 512),"X","")</f>
        <v/>
      </c>
      <c r="T295" s="18" t="str">
        <f>IF(BITWISE_AND('Raw Data'!$L296, 256),"X","")</f>
        <v/>
      </c>
      <c r="U295" s="18" t="str">
        <f>IF(BITWISE_AND('Raw Data'!$L296, 64),"X","")</f>
        <v/>
      </c>
      <c r="V295" s="18" t="str">
        <f>IF(BITWISE_AND('Raw Data'!$L296, 2),"X","")</f>
        <v/>
      </c>
      <c r="W295" s="18" t="str">
        <f>IF(BITWISE_AND('Raw Data'!$L296, 1),"X","")</f>
        <v/>
      </c>
      <c r="X295" s="19" t="str">
        <f>IF(BITWISE_AND('Raw Data'!M296, 1),"Bat Voltage", IF(BITWISE_AND('Raw Data'!M296, 2), "Charge Current", IF(BITWISE_AND('Raw Data'!M296, 4),"Input Ilim", IF(BITWISE_AND('Raw Data'!M296, 8), "Input UV", "none"))))</f>
        <v>none</v>
      </c>
    </row>
    <row r="296" spans="1:24" x14ac:dyDescent="0.2">
      <c r="A296" s="15">
        <f>A295+TIME(0,0,'Raw Data'!B296)</f>
        <v>0</v>
      </c>
      <c r="B296" s="4">
        <f>'Raw Data'!C297*0.025</f>
        <v>0</v>
      </c>
      <c r="C296" s="4">
        <f t="shared" si="15"/>
        <v>0</v>
      </c>
      <c r="D296" s="4">
        <f>'Raw Data'!D297*0.025</f>
        <v>0</v>
      </c>
      <c r="E296" s="4">
        <f t="shared" si="16"/>
        <v>0</v>
      </c>
      <c r="F296" s="4">
        <f>'Raw Data'!E297*0.001648</f>
        <v>0</v>
      </c>
      <c r="G296" s="4">
        <f>'Raw Data'!F297*0.001648</f>
        <v>0</v>
      </c>
      <c r="H296" s="4">
        <f>'Raw Data'!G297*6*0.000128176</f>
        <v>0</v>
      </c>
      <c r="I296" s="4">
        <f>'Raw Data'!H297*0.000732435</f>
        <v>0</v>
      </c>
      <c r="J296" s="4">
        <f t="shared" si="14"/>
        <v>0</v>
      </c>
      <c r="K296" s="36">
        <f>IF(('Raw Data'!I297-16384)/32768&lt;0,0,('Raw Data'!I297-16384)/32768)</f>
        <v>0</v>
      </c>
      <c r="L296" s="4">
        <f>IF(('Raw Data'!J297-12010)/45.6=-263.377192982456,0,('Raw Data'!J297-12010)/45.6)</f>
        <v>0</v>
      </c>
      <c r="M296" s="16">
        <f>'Raw Data'!N297*2^-8</f>
        <v>0</v>
      </c>
      <c r="N296" s="16">
        <f>'Raw Data'!O297*2^-8</f>
        <v>0</v>
      </c>
      <c r="O296" s="17" t="str">
        <f>IF(BITWISE_AND('Raw Data'!$K297, 8192),"X","")</f>
        <v/>
      </c>
      <c r="P296" s="17" t="str">
        <f>IF(BITWISE_AND('Raw Data'!$K297, 2048),"X","")</f>
        <v/>
      </c>
      <c r="Q296" s="17" t="str">
        <f>IF(BITWISE_AND('Raw Data'!$K297, 64),"X","")</f>
        <v/>
      </c>
      <c r="R296" s="18" t="str">
        <f>IF(BITWISE_AND('Raw Data'!$L297, 1024),"X","")</f>
        <v/>
      </c>
      <c r="S296" s="18" t="str">
        <f>IF(BITWISE_AND('Raw Data'!$L297, 512),"X","")</f>
        <v/>
      </c>
      <c r="T296" s="18" t="str">
        <f>IF(BITWISE_AND('Raw Data'!$L297, 256),"X","")</f>
        <v/>
      </c>
      <c r="U296" s="18" t="str">
        <f>IF(BITWISE_AND('Raw Data'!$L297, 64),"X","")</f>
        <v/>
      </c>
      <c r="V296" s="18" t="str">
        <f>IF(BITWISE_AND('Raw Data'!$L297, 2),"X","")</f>
        <v/>
      </c>
      <c r="W296" s="18" t="str">
        <f>IF(BITWISE_AND('Raw Data'!$L297, 1),"X","")</f>
        <v/>
      </c>
      <c r="X296" s="19" t="str">
        <f>IF(BITWISE_AND('Raw Data'!M297, 1),"Bat Voltage", IF(BITWISE_AND('Raw Data'!M297, 2), "Charge Current", IF(BITWISE_AND('Raw Data'!M297, 4),"Input Ilim", IF(BITWISE_AND('Raw Data'!M297, 8), "Input UV", "none"))))</f>
        <v>none</v>
      </c>
    </row>
    <row r="297" spans="1:24" x14ac:dyDescent="0.2">
      <c r="A297" s="15">
        <f>A296+TIME(0,0,'Raw Data'!B297)</f>
        <v>0</v>
      </c>
      <c r="B297" s="4">
        <f>'Raw Data'!C298*0.025</f>
        <v>0</v>
      </c>
      <c r="C297" s="4">
        <f t="shared" si="15"/>
        <v>0</v>
      </c>
      <c r="D297" s="4">
        <f>'Raw Data'!D298*0.025</f>
        <v>0</v>
      </c>
      <c r="E297" s="4">
        <f t="shared" si="16"/>
        <v>0</v>
      </c>
      <c r="F297" s="4">
        <f>'Raw Data'!E298*0.001648</f>
        <v>0</v>
      </c>
      <c r="G297" s="4">
        <f>'Raw Data'!F298*0.001648</f>
        <v>0</v>
      </c>
      <c r="H297" s="4">
        <f>'Raw Data'!G298*6*0.000128176</f>
        <v>0</v>
      </c>
      <c r="I297" s="4">
        <f>'Raw Data'!H298*0.000732435</f>
        <v>0</v>
      </c>
      <c r="J297" s="4">
        <f t="shared" si="14"/>
        <v>0</v>
      </c>
      <c r="K297" s="36">
        <f>IF(('Raw Data'!I298-16384)/32768&lt;0,0,('Raw Data'!I298-16384)/32768)</f>
        <v>0</v>
      </c>
      <c r="L297" s="4">
        <f>IF(('Raw Data'!J298-12010)/45.6=-263.377192982456,0,('Raw Data'!J298-12010)/45.6)</f>
        <v>0</v>
      </c>
      <c r="M297" s="16">
        <f>'Raw Data'!N298*2^-8</f>
        <v>0</v>
      </c>
      <c r="N297" s="16">
        <f>'Raw Data'!O298*2^-8</f>
        <v>0</v>
      </c>
      <c r="O297" s="17" t="str">
        <f>IF(BITWISE_AND('Raw Data'!$K298, 8192),"X","")</f>
        <v/>
      </c>
      <c r="P297" s="17" t="str">
        <f>IF(BITWISE_AND('Raw Data'!$K298, 2048),"X","")</f>
        <v/>
      </c>
      <c r="Q297" s="17" t="str">
        <f>IF(BITWISE_AND('Raw Data'!$K298, 64),"X","")</f>
        <v/>
      </c>
      <c r="R297" s="18" t="str">
        <f>IF(BITWISE_AND('Raw Data'!$L298, 1024),"X","")</f>
        <v/>
      </c>
      <c r="S297" s="18" t="str">
        <f>IF(BITWISE_AND('Raw Data'!$L298, 512),"X","")</f>
        <v/>
      </c>
      <c r="T297" s="18" t="str">
        <f>IF(BITWISE_AND('Raw Data'!$L298, 256),"X","")</f>
        <v/>
      </c>
      <c r="U297" s="18" t="str">
        <f>IF(BITWISE_AND('Raw Data'!$L298, 64),"X","")</f>
        <v/>
      </c>
      <c r="V297" s="18" t="str">
        <f>IF(BITWISE_AND('Raw Data'!$L298, 2),"X","")</f>
        <v/>
      </c>
      <c r="W297" s="18" t="str">
        <f>IF(BITWISE_AND('Raw Data'!$L298, 1),"X","")</f>
        <v/>
      </c>
      <c r="X297" s="19" t="str">
        <f>IF(BITWISE_AND('Raw Data'!M298, 1),"Bat Voltage", IF(BITWISE_AND('Raw Data'!M298, 2), "Charge Current", IF(BITWISE_AND('Raw Data'!M298, 4),"Input Ilim", IF(BITWISE_AND('Raw Data'!M298, 8), "Input UV", "none"))))</f>
        <v>none</v>
      </c>
    </row>
    <row r="298" spans="1:24" x14ac:dyDescent="0.2">
      <c r="A298" s="15">
        <f>A297+TIME(0,0,'Raw Data'!B298)</f>
        <v>0</v>
      </c>
      <c r="B298" s="4">
        <f>'Raw Data'!C299*0.025</f>
        <v>0</v>
      </c>
      <c r="C298" s="4">
        <f t="shared" si="15"/>
        <v>0</v>
      </c>
      <c r="D298" s="4">
        <f>'Raw Data'!D299*0.025</f>
        <v>0</v>
      </c>
      <c r="E298" s="4">
        <f t="shared" si="16"/>
        <v>0</v>
      </c>
      <c r="F298" s="4">
        <f>'Raw Data'!E299*0.001648</f>
        <v>0</v>
      </c>
      <c r="G298" s="4">
        <f>'Raw Data'!F299*0.001648</f>
        <v>0</v>
      </c>
      <c r="H298" s="4">
        <f>'Raw Data'!G299*6*0.000128176</f>
        <v>0</v>
      </c>
      <c r="I298" s="4">
        <f>'Raw Data'!H299*0.000732435</f>
        <v>0</v>
      </c>
      <c r="J298" s="4">
        <f t="shared" si="14"/>
        <v>0</v>
      </c>
      <c r="K298" s="36">
        <f>IF(('Raw Data'!I299-16384)/32768&lt;0,0,('Raw Data'!I299-16384)/32768)</f>
        <v>0</v>
      </c>
      <c r="L298" s="4">
        <f>IF(('Raw Data'!J299-12010)/45.6=-263.377192982456,0,('Raw Data'!J299-12010)/45.6)</f>
        <v>0</v>
      </c>
      <c r="M298" s="16">
        <f>'Raw Data'!N299*2^-8</f>
        <v>0</v>
      </c>
      <c r="N298" s="16">
        <f>'Raw Data'!O299*2^-8</f>
        <v>0</v>
      </c>
      <c r="O298" s="17" t="str">
        <f>IF(BITWISE_AND('Raw Data'!$K299, 8192),"X","")</f>
        <v/>
      </c>
      <c r="P298" s="17" t="str">
        <f>IF(BITWISE_AND('Raw Data'!$K299, 2048),"X","")</f>
        <v/>
      </c>
      <c r="Q298" s="17" t="str">
        <f>IF(BITWISE_AND('Raw Data'!$K299, 64),"X","")</f>
        <v/>
      </c>
      <c r="R298" s="18" t="str">
        <f>IF(BITWISE_AND('Raw Data'!$L299, 1024),"X","")</f>
        <v/>
      </c>
      <c r="S298" s="18" t="str">
        <f>IF(BITWISE_AND('Raw Data'!$L299, 512),"X","")</f>
        <v/>
      </c>
      <c r="T298" s="18" t="str">
        <f>IF(BITWISE_AND('Raw Data'!$L299, 256),"X","")</f>
        <v/>
      </c>
      <c r="U298" s="18" t="str">
        <f>IF(BITWISE_AND('Raw Data'!$L299, 64),"X","")</f>
        <v/>
      </c>
      <c r="V298" s="18" t="str">
        <f>IF(BITWISE_AND('Raw Data'!$L299, 2),"X","")</f>
        <v/>
      </c>
      <c r="W298" s="18" t="str">
        <f>IF(BITWISE_AND('Raw Data'!$L299, 1),"X","")</f>
        <v/>
      </c>
      <c r="X298" s="19" t="str">
        <f>IF(BITWISE_AND('Raw Data'!M299, 1),"Bat Voltage", IF(BITWISE_AND('Raw Data'!M299, 2), "Charge Current", IF(BITWISE_AND('Raw Data'!M299, 4),"Input Ilim", IF(BITWISE_AND('Raw Data'!M299, 8), "Input UV", "none"))))</f>
        <v>none</v>
      </c>
    </row>
    <row r="299" spans="1:24" x14ac:dyDescent="0.2">
      <c r="A299" s="15">
        <f>A298+TIME(0,0,'Raw Data'!B299)</f>
        <v>0</v>
      </c>
      <c r="B299" s="4">
        <f>'Raw Data'!C300*0.025</f>
        <v>0</v>
      </c>
      <c r="C299" s="4">
        <f t="shared" si="15"/>
        <v>0</v>
      </c>
      <c r="D299" s="4">
        <f>'Raw Data'!D300*0.025</f>
        <v>0</v>
      </c>
      <c r="E299" s="4">
        <f t="shared" si="16"/>
        <v>0</v>
      </c>
      <c r="F299" s="4">
        <f>'Raw Data'!E300*0.001648</f>
        <v>0</v>
      </c>
      <c r="G299" s="4">
        <f>'Raw Data'!F300*0.001648</f>
        <v>0</v>
      </c>
      <c r="H299" s="4">
        <f>'Raw Data'!G300*6*0.000128176</f>
        <v>0</v>
      </c>
      <c r="I299" s="4">
        <f>'Raw Data'!H300*0.000732435</f>
        <v>0</v>
      </c>
      <c r="J299" s="4">
        <f t="shared" si="14"/>
        <v>0</v>
      </c>
      <c r="K299" s="36">
        <f>IF(('Raw Data'!I300-16384)/32768&lt;0,0,('Raw Data'!I300-16384)/32768)</f>
        <v>0</v>
      </c>
      <c r="L299" s="4">
        <f>IF(('Raw Data'!J300-12010)/45.6=-263.377192982456,0,('Raw Data'!J300-12010)/45.6)</f>
        <v>0</v>
      </c>
      <c r="M299" s="16">
        <f>'Raw Data'!N300*2^-8</f>
        <v>0</v>
      </c>
      <c r="N299" s="16">
        <f>'Raw Data'!O300*2^-8</f>
        <v>0</v>
      </c>
      <c r="O299" s="17" t="str">
        <f>IF(BITWISE_AND('Raw Data'!$K300, 8192),"X","")</f>
        <v/>
      </c>
      <c r="P299" s="17" t="str">
        <f>IF(BITWISE_AND('Raw Data'!$K300, 2048),"X","")</f>
        <v/>
      </c>
      <c r="Q299" s="17" t="str">
        <f>IF(BITWISE_AND('Raw Data'!$K300, 64),"X","")</f>
        <v/>
      </c>
      <c r="R299" s="18" t="str">
        <f>IF(BITWISE_AND('Raw Data'!$L300, 1024),"X","")</f>
        <v/>
      </c>
      <c r="S299" s="18" t="str">
        <f>IF(BITWISE_AND('Raw Data'!$L300, 512),"X","")</f>
        <v/>
      </c>
      <c r="T299" s="18" t="str">
        <f>IF(BITWISE_AND('Raw Data'!$L300, 256),"X","")</f>
        <v/>
      </c>
      <c r="U299" s="18" t="str">
        <f>IF(BITWISE_AND('Raw Data'!$L300, 64),"X","")</f>
        <v/>
      </c>
      <c r="V299" s="18" t="str">
        <f>IF(BITWISE_AND('Raw Data'!$L300, 2),"X","")</f>
        <v/>
      </c>
      <c r="W299" s="18" t="str">
        <f>IF(BITWISE_AND('Raw Data'!$L300, 1),"X","")</f>
        <v/>
      </c>
      <c r="X299" s="19" t="str">
        <f>IF(BITWISE_AND('Raw Data'!M300, 1),"Bat Voltage", IF(BITWISE_AND('Raw Data'!M300, 2), "Charge Current", IF(BITWISE_AND('Raw Data'!M300, 4),"Input Ilim", IF(BITWISE_AND('Raw Data'!M300, 8), "Input UV", "none"))))</f>
        <v>none</v>
      </c>
    </row>
    <row r="300" spans="1:24" x14ac:dyDescent="0.2">
      <c r="A300" s="15">
        <f>A299+TIME(0,0,'Raw Data'!B300)</f>
        <v>0</v>
      </c>
      <c r="B300" s="4">
        <f>'Raw Data'!C301*0.025</f>
        <v>0</v>
      </c>
      <c r="C300" s="4">
        <f t="shared" si="15"/>
        <v>0</v>
      </c>
      <c r="D300" s="4">
        <f>'Raw Data'!D301*0.025</f>
        <v>0</v>
      </c>
      <c r="E300" s="4">
        <f t="shared" si="16"/>
        <v>0</v>
      </c>
      <c r="F300" s="4">
        <f>'Raw Data'!E301*0.001648</f>
        <v>0</v>
      </c>
      <c r="G300" s="4">
        <f>'Raw Data'!F301*0.001648</f>
        <v>0</v>
      </c>
      <c r="H300" s="4">
        <f>'Raw Data'!G301*6*0.000128176</f>
        <v>0</v>
      </c>
      <c r="I300" s="4">
        <f>'Raw Data'!H301*0.000732435</f>
        <v>0</v>
      </c>
      <c r="J300" s="4">
        <f t="shared" si="14"/>
        <v>0</v>
      </c>
      <c r="K300" s="36">
        <f>IF(('Raw Data'!I301-16384)/32768&lt;0,0,('Raw Data'!I301-16384)/32768)</f>
        <v>0</v>
      </c>
      <c r="L300" s="4">
        <f>IF(('Raw Data'!J301-12010)/45.6=-263.377192982456,0,('Raw Data'!J301-12010)/45.6)</f>
        <v>0</v>
      </c>
      <c r="M300" s="16">
        <f>'Raw Data'!N301*2^-8</f>
        <v>0</v>
      </c>
      <c r="N300" s="16">
        <f>'Raw Data'!O301*2^-8</f>
        <v>0</v>
      </c>
      <c r="O300" s="17" t="str">
        <f>IF(BITWISE_AND('Raw Data'!$K301, 8192),"X","")</f>
        <v/>
      </c>
      <c r="P300" s="17" t="str">
        <f>IF(BITWISE_AND('Raw Data'!$K301, 2048),"X","")</f>
        <v/>
      </c>
      <c r="Q300" s="17" t="str">
        <f>IF(BITWISE_AND('Raw Data'!$K301, 64),"X","")</f>
        <v/>
      </c>
      <c r="R300" s="18" t="str">
        <f>IF(BITWISE_AND('Raw Data'!$L301, 1024),"X","")</f>
        <v/>
      </c>
      <c r="S300" s="18" t="str">
        <f>IF(BITWISE_AND('Raw Data'!$L301, 512),"X","")</f>
        <v/>
      </c>
      <c r="T300" s="18" t="str">
        <f>IF(BITWISE_AND('Raw Data'!$L301, 256),"X","")</f>
        <v/>
      </c>
      <c r="U300" s="18" t="str">
        <f>IF(BITWISE_AND('Raw Data'!$L301, 64),"X","")</f>
        <v/>
      </c>
      <c r="V300" s="18" t="str">
        <f>IF(BITWISE_AND('Raw Data'!$L301, 2),"X","")</f>
        <v/>
      </c>
      <c r="W300" s="18" t="str">
        <f>IF(BITWISE_AND('Raw Data'!$L301, 1),"X","")</f>
        <v/>
      </c>
      <c r="X300" s="19" t="str">
        <f>IF(BITWISE_AND('Raw Data'!M301, 1),"Bat Voltage", IF(BITWISE_AND('Raw Data'!M301, 2), "Charge Current", IF(BITWISE_AND('Raw Data'!M301, 4),"Input Ilim", IF(BITWISE_AND('Raw Data'!M301, 8), "Input UV", "none"))))</f>
        <v>none</v>
      </c>
    </row>
    <row r="301" spans="1:24" x14ac:dyDescent="0.2">
      <c r="A301" s="15">
        <f>A300+TIME(0,0,'Raw Data'!B301)</f>
        <v>0</v>
      </c>
      <c r="B301" s="4">
        <f>'Raw Data'!C302*0.025</f>
        <v>0</v>
      </c>
      <c r="C301" s="4">
        <f t="shared" si="15"/>
        <v>0</v>
      </c>
      <c r="D301" s="4">
        <f>'Raw Data'!D302*0.025</f>
        <v>0</v>
      </c>
      <c r="E301" s="4">
        <f t="shared" si="16"/>
        <v>0</v>
      </c>
      <c r="F301" s="4">
        <f>'Raw Data'!E302*0.001648</f>
        <v>0</v>
      </c>
      <c r="G301" s="4">
        <f>'Raw Data'!F302*0.001648</f>
        <v>0</v>
      </c>
      <c r="H301" s="4">
        <f>'Raw Data'!G302*6*0.000128176</f>
        <v>0</v>
      </c>
      <c r="I301" s="4">
        <f>'Raw Data'!H302*0.000732435</f>
        <v>0</v>
      </c>
      <c r="J301" s="4">
        <f t="shared" si="14"/>
        <v>0</v>
      </c>
      <c r="K301" s="36">
        <f>IF(('Raw Data'!I302-16384)/32768&lt;0,0,('Raw Data'!I302-16384)/32768)</f>
        <v>0</v>
      </c>
      <c r="L301" s="4">
        <f>IF(('Raw Data'!J302-12010)/45.6=-263.377192982456,0,('Raw Data'!J302-12010)/45.6)</f>
        <v>0</v>
      </c>
      <c r="M301" s="16">
        <f>'Raw Data'!N302*2^-8</f>
        <v>0</v>
      </c>
      <c r="N301" s="16">
        <f>'Raw Data'!O302*2^-8</f>
        <v>0</v>
      </c>
      <c r="O301" s="17" t="str">
        <f>IF(BITWISE_AND('Raw Data'!$K302, 8192),"X","")</f>
        <v/>
      </c>
      <c r="P301" s="17" t="str">
        <f>IF(BITWISE_AND('Raw Data'!$K302, 2048),"X","")</f>
        <v/>
      </c>
      <c r="Q301" s="17" t="str">
        <f>IF(BITWISE_AND('Raw Data'!$K302, 64),"X","")</f>
        <v/>
      </c>
      <c r="R301" s="18" t="str">
        <f>IF(BITWISE_AND('Raw Data'!$L302, 1024),"X","")</f>
        <v/>
      </c>
      <c r="S301" s="18" t="str">
        <f>IF(BITWISE_AND('Raw Data'!$L302, 512),"X","")</f>
        <v/>
      </c>
      <c r="T301" s="18" t="str">
        <f>IF(BITWISE_AND('Raw Data'!$L302, 256),"X","")</f>
        <v/>
      </c>
      <c r="U301" s="18" t="str">
        <f>IF(BITWISE_AND('Raw Data'!$L302, 64),"X","")</f>
        <v/>
      </c>
      <c r="V301" s="18" t="str">
        <f>IF(BITWISE_AND('Raw Data'!$L302, 2),"X","")</f>
        <v/>
      </c>
      <c r="W301" s="18" t="str">
        <f>IF(BITWISE_AND('Raw Data'!$L302, 1),"X","")</f>
        <v/>
      </c>
      <c r="X301" s="19" t="str">
        <f>IF(BITWISE_AND('Raw Data'!M302, 1),"Bat Voltage", IF(BITWISE_AND('Raw Data'!M302, 2), "Charge Current", IF(BITWISE_AND('Raw Data'!M302, 4),"Input Ilim", IF(BITWISE_AND('Raw Data'!M302, 8), "Input UV", "none"))))</f>
        <v>none</v>
      </c>
    </row>
    <row r="302" spans="1:24" x14ac:dyDescent="0.2">
      <c r="A302" s="15">
        <f>A301+TIME(0,0,'Raw Data'!B302)</f>
        <v>0</v>
      </c>
      <c r="B302" s="4">
        <f>'Raw Data'!C303*0.025</f>
        <v>0</v>
      </c>
      <c r="C302" s="4">
        <f t="shared" si="15"/>
        <v>0</v>
      </c>
      <c r="D302" s="4">
        <f>'Raw Data'!D303*0.025</f>
        <v>0</v>
      </c>
      <c r="E302" s="4">
        <f t="shared" si="16"/>
        <v>0</v>
      </c>
      <c r="F302" s="4">
        <f>'Raw Data'!E303*0.001648</f>
        <v>0</v>
      </c>
      <c r="G302" s="4">
        <f>'Raw Data'!F303*0.001648</f>
        <v>0</v>
      </c>
      <c r="H302" s="4">
        <f>'Raw Data'!G303*6*0.000128176</f>
        <v>0</v>
      </c>
      <c r="I302" s="4">
        <f>'Raw Data'!H303*0.000732435</f>
        <v>0</v>
      </c>
      <c r="J302" s="4">
        <f t="shared" si="14"/>
        <v>0</v>
      </c>
      <c r="K302" s="36">
        <f>IF(('Raw Data'!I303-16384)/32768&lt;0,0,('Raw Data'!I303-16384)/32768)</f>
        <v>0</v>
      </c>
      <c r="L302" s="4">
        <f>IF(('Raw Data'!J303-12010)/45.6=-263.377192982456,0,('Raw Data'!J303-12010)/45.6)</f>
        <v>0</v>
      </c>
      <c r="M302" s="16">
        <f>'Raw Data'!N303*2^-8</f>
        <v>0</v>
      </c>
      <c r="N302" s="16">
        <f>'Raw Data'!O303*2^-8</f>
        <v>0</v>
      </c>
      <c r="O302" s="17" t="str">
        <f>IF(BITWISE_AND('Raw Data'!$K303, 8192),"X","")</f>
        <v/>
      </c>
      <c r="P302" s="17" t="str">
        <f>IF(BITWISE_AND('Raw Data'!$K303, 2048),"X","")</f>
        <v/>
      </c>
      <c r="Q302" s="17" t="str">
        <f>IF(BITWISE_AND('Raw Data'!$K303, 64),"X","")</f>
        <v/>
      </c>
      <c r="R302" s="18" t="str">
        <f>IF(BITWISE_AND('Raw Data'!$L303, 1024),"X","")</f>
        <v/>
      </c>
      <c r="S302" s="18" t="str">
        <f>IF(BITWISE_AND('Raw Data'!$L303, 512),"X","")</f>
        <v/>
      </c>
      <c r="T302" s="18" t="str">
        <f>IF(BITWISE_AND('Raw Data'!$L303, 256),"X","")</f>
        <v/>
      </c>
      <c r="U302" s="18" t="str">
        <f>IF(BITWISE_AND('Raw Data'!$L303, 64),"X","")</f>
        <v/>
      </c>
      <c r="V302" s="18" t="str">
        <f>IF(BITWISE_AND('Raw Data'!$L303, 2),"X","")</f>
        <v/>
      </c>
      <c r="W302" s="18" t="str">
        <f>IF(BITWISE_AND('Raw Data'!$L303, 1),"X","")</f>
        <v/>
      </c>
      <c r="X302" s="19" t="str">
        <f>IF(BITWISE_AND('Raw Data'!M303, 1),"Bat Voltage", IF(BITWISE_AND('Raw Data'!M303, 2), "Charge Current", IF(BITWISE_AND('Raw Data'!M303, 4),"Input Ilim", IF(BITWISE_AND('Raw Data'!M303, 8), "Input UV", "none"))))</f>
        <v>none</v>
      </c>
    </row>
    <row r="303" spans="1:24" x14ac:dyDescent="0.2">
      <c r="A303" s="15">
        <f>A302+TIME(0,0,'Raw Data'!B303)</f>
        <v>0</v>
      </c>
      <c r="B303" s="4">
        <f>'Raw Data'!C304*0.025</f>
        <v>0</v>
      </c>
      <c r="C303" s="4">
        <f t="shared" si="15"/>
        <v>0</v>
      </c>
      <c r="D303" s="4">
        <f>'Raw Data'!D304*0.025</f>
        <v>0</v>
      </c>
      <c r="E303" s="4">
        <f t="shared" si="16"/>
        <v>0</v>
      </c>
      <c r="F303" s="4">
        <f>'Raw Data'!E304*0.001648</f>
        <v>0</v>
      </c>
      <c r="G303" s="4">
        <f>'Raw Data'!F304*0.001648</f>
        <v>0</v>
      </c>
      <c r="H303" s="4">
        <f>'Raw Data'!G304*6*0.000128176</f>
        <v>0</v>
      </c>
      <c r="I303" s="4">
        <f>'Raw Data'!H304*0.000732435</f>
        <v>0</v>
      </c>
      <c r="J303" s="4">
        <f t="shared" si="14"/>
        <v>0</v>
      </c>
      <c r="K303" s="36">
        <f>IF(('Raw Data'!I304-16384)/32768&lt;0,0,('Raw Data'!I304-16384)/32768)</f>
        <v>0</v>
      </c>
      <c r="L303" s="4">
        <f>IF(('Raw Data'!J304-12010)/45.6=-263.377192982456,0,('Raw Data'!J304-12010)/45.6)</f>
        <v>0</v>
      </c>
      <c r="M303" s="16">
        <f>'Raw Data'!N304*2^-8</f>
        <v>0</v>
      </c>
      <c r="N303" s="16">
        <f>'Raw Data'!O304*2^-8</f>
        <v>0</v>
      </c>
      <c r="O303" s="17" t="str">
        <f>IF(BITWISE_AND('Raw Data'!$K304, 8192),"X","")</f>
        <v/>
      </c>
      <c r="P303" s="17" t="str">
        <f>IF(BITWISE_AND('Raw Data'!$K304, 2048),"X","")</f>
        <v/>
      </c>
      <c r="Q303" s="17" t="str">
        <f>IF(BITWISE_AND('Raw Data'!$K304, 64),"X","")</f>
        <v/>
      </c>
      <c r="R303" s="18" t="str">
        <f>IF(BITWISE_AND('Raw Data'!$L304, 1024),"X","")</f>
        <v/>
      </c>
      <c r="S303" s="18" t="str">
        <f>IF(BITWISE_AND('Raw Data'!$L304, 512),"X","")</f>
        <v/>
      </c>
      <c r="T303" s="18" t="str">
        <f>IF(BITWISE_AND('Raw Data'!$L304, 256),"X","")</f>
        <v/>
      </c>
      <c r="U303" s="18" t="str">
        <f>IF(BITWISE_AND('Raw Data'!$L304, 64),"X","")</f>
        <v/>
      </c>
      <c r="V303" s="18" t="str">
        <f>IF(BITWISE_AND('Raw Data'!$L304, 2),"X","")</f>
        <v/>
      </c>
      <c r="W303" s="18" t="str">
        <f>IF(BITWISE_AND('Raw Data'!$L304, 1),"X","")</f>
        <v/>
      </c>
      <c r="X303" s="19" t="str">
        <f>IF(BITWISE_AND('Raw Data'!M304, 1),"Bat Voltage", IF(BITWISE_AND('Raw Data'!M304, 2), "Charge Current", IF(BITWISE_AND('Raw Data'!M304, 4),"Input Ilim", IF(BITWISE_AND('Raw Data'!M304, 8), "Input UV", "none"))))</f>
        <v>none</v>
      </c>
    </row>
    <row r="304" spans="1:24" x14ac:dyDescent="0.2">
      <c r="A304" s="15">
        <f>A303+TIME(0,0,'Raw Data'!B304)</f>
        <v>0</v>
      </c>
      <c r="B304" s="4">
        <f>'Raw Data'!C305*0.025</f>
        <v>0</v>
      </c>
      <c r="C304" s="4">
        <f t="shared" si="15"/>
        <v>0</v>
      </c>
      <c r="D304" s="4">
        <f>'Raw Data'!D305*0.025</f>
        <v>0</v>
      </c>
      <c r="E304" s="4">
        <f t="shared" si="16"/>
        <v>0</v>
      </c>
      <c r="F304" s="4">
        <f>'Raw Data'!E305*0.001648</f>
        <v>0</v>
      </c>
      <c r="G304" s="4">
        <f>'Raw Data'!F305*0.001648</f>
        <v>0</v>
      </c>
      <c r="H304" s="4">
        <f>'Raw Data'!G305*6*0.000128176</f>
        <v>0</v>
      </c>
      <c r="I304" s="4">
        <f>'Raw Data'!H305*0.000732435</f>
        <v>0</v>
      </c>
      <c r="J304" s="4">
        <f t="shared" si="14"/>
        <v>0</v>
      </c>
      <c r="K304" s="36">
        <f>IF(('Raw Data'!I305-16384)/32768&lt;0,0,('Raw Data'!I305-16384)/32768)</f>
        <v>0</v>
      </c>
      <c r="L304" s="4">
        <f>IF(('Raw Data'!J305-12010)/45.6=-263.377192982456,0,('Raw Data'!J305-12010)/45.6)</f>
        <v>0</v>
      </c>
      <c r="M304" s="16">
        <f>'Raw Data'!N305*2^-8</f>
        <v>0</v>
      </c>
      <c r="N304" s="16">
        <f>'Raw Data'!O305*2^-8</f>
        <v>0</v>
      </c>
      <c r="O304" s="17" t="str">
        <f>IF(BITWISE_AND('Raw Data'!$K305, 8192),"X","")</f>
        <v/>
      </c>
      <c r="P304" s="17" t="str">
        <f>IF(BITWISE_AND('Raw Data'!$K305, 2048),"X","")</f>
        <v/>
      </c>
      <c r="Q304" s="17" t="str">
        <f>IF(BITWISE_AND('Raw Data'!$K305, 64),"X","")</f>
        <v/>
      </c>
      <c r="R304" s="18" t="str">
        <f>IF(BITWISE_AND('Raw Data'!$L305, 1024),"X","")</f>
        <v/>
      </c>
      <c r="S304" s="18" t="str">
        <f>IF(BITWISE_AND('Raw Data'!$L305, 512),"X","")</f>
        <v/>
      </c>
      <c r="T304" s="18" t="str">
        <f>IF(BITWISE_AND('Raw Data'!$L305, 256),"X","")</f>
        <v/>
      </c>
      <c r="U304" s="18" t="str">
        <f>IF(BITWISE_AND('Raw Data'!$L305, 64),"X","")</f>
        <v/>
      </c>
      <c r="V304" s="18" t="str">
        <f>IF(BITWISE_AND('Raw Data'!$L305, 2),"X","")</f>
        <v/>
      </c>
      <c r="W304" s="18" t="str">
        <f>IF(BITWISE_AND('Raw Data'!$L305, 1),"X","")</f>
        <v/>
      </c>
      <c r="X304" s="19" t="str">
        <f>IF(BITWISE_AND('Raw Data'!M305, 1),"Bat Voltage", IF(BITWISE_AND('Raw Data'!M305, 2), "Charge Current", IF(BITWISE_AND('Raw Data'!M305, 4),"Input Ilim", IF(BITWISE_AND('Raw Data'!M305, 8), "Input UV", "none"))))</f>
        <v>none</v>
      </c>
    </row>
    <row r="305" spans="1:24" x14ac:dyDescent="0.2">
      <c r="A305" s="15">
        <f>A304+TIME(0,0,'Raw Data'!B305)</f>
        <v>0</v>
      </c>
      <c r="B305" s="4">
        <f>'Raw Data'!C306*0.025</f>
        <v>0</v>
      </c>
      <c r="C305" s="4">
        <f t="shared" si="15"/>
        <v>0</v>
      </c>
      <c r="D305" s="4">
        <f>'Raw Data'!D306*0.025</f>
        <v>0</v>
      </c>
      <c r="E305" s="4">
        <f t="shared" si="16"/>
        <v>0</v>
      </c>
      <c r="F305" s="4">
        <f>'Raw Data'!E306*0.001648</f>
        <v>0</v>
      </c>
      <c r="G305" s="4">
        <f>'Raw Data'!F306*0.001648</f>
        <v>0</v>
      </c>
      <c r="H305" s="4">
        <f>'Raw Data'!G306*6*0.000128176</f>
        <v>0</v>
      </c>
      <c r="I305" s="4">
        <f>'Raw Data'!H306*0.000732435</f>
        <v>0</v>
      </c>
      <c r="J305" s="4">
        <f t="shared" si="14"/>
        <v>0</v>
      </c>
      <c r="K305" s="36">
        <f>IF(('Raw Data'!I306-16384)/32768&lt;0,0,('Raw Data'!I306-16384)/32768)</f>
        <v>0</v>
      </c>
      <c r="L305" s="4">
        <f>IF(('Raw Data'!J306-12010)/45.6=-263.377192982456,0,('Raw Data'!J306-12010)/45.6)</f>
        <v>0</v>
      </c>
      <c r="M305" s="16">
        <f>'Raw Data'!N306*2^-8</f>
        <v>0</v>
      </c>
      <c r="N305" s="16">
        <f>'Raw Data'!O306*2^-8</f>
        <v>0</v>
      </c>
      <c r="O305" s="17" t="str">
        <f>IF(BITWISE_AND('Raw Data'!$K306, 8192),"X","")</f>
        <v/>
      </c>
      <c r="P305" s="17" t="str">
        <f>IF(BITWISE_AND('Raw Data'!$K306, 2048),"X","")</f>
        <v/>
      </c>
      <c r="Q305" s="17" t="str">
        <f>IF(BITWISE_AND('Raw Data'!$K306, 64),"X","")</f>
        <v/>
      </c>
      <c r="R305" s="18" t="str">
        <f>IF(BITWISE_AND('Raw Data'!$L306, 1024),"X","")</f>
        <v/>
      </c>
      <c r="S305" s="18" t="str">
        <f>IF(BITWISE_AND('Raw Data'!$L306, 512),"X","")</f>
        <v/>
      </c>
      <c r="T305" s="18" t="str">
        <f>IF(BITWISE_AND('Raw Data'!$L306, 256),"X","")</f>
        <v/>
      </c>
      <c r="U305" s="18" t="str">
        <f>IF(BITWISE_AND('Raw Data'!$L306, 64),"X","")</f>
        <v/>
      </c>
      <c r="V305" s="18" t="str">
        <f>IF(BITWISE_AND('Raw Data'!$L306, 2),"X","")</f>
        <v/>
      </c>
      <c r="W305" s="18" t="str">
        <f>IF(BITWISE_AND('Raw Data'!$L306, 1),"X","")</f>
        <v/>
      </c>
      <c r="X305" s="19" t="str">
        <f>IF(BITWISE_AND('Raw Data'!M306, 1),"Bat Voltage", IF(BITWISE_AND('Raw Data'!M306, 2), "Charge Current", IF(BITWISE_AND('Raw Data'!M306, 4),"Input Ilim", IF(BITWISE_AND('Raw Data'!M306, 8), "Input UV", "none"))))</f>
        <v>none</v>
      </c>
    </row>
    <row r="306" spans="1:24" x14ac:dyDescent="0.2">
      <c r="A306" s="15">
        <f>A305+TIME(0,0,'Raw Data'!B306)</f>
        <v>0</v>
      </c>
      <c r="B306" s="4">
        <f>'Raw Data'!C307*0.025</f>
        <v>0</v>
      </c>
      <c r="C306" s="4">
        <f t="shared" si="15"/>
        <v>0</v>
      </c>
      <c r="D306" s="4">
        <f>'Raw Data'!D307*0.025</f>
        <v>0</v>
      </c>
      <c r="E306" s="4">
        <f t="shared" si="16"/>
        <v>0</v>
      </c>
      <c r="F306" s="4">
        <f>'Raw Data'!E307*0.001648</f>
        <v>0</v>
      </c>
      <c r="G306" s="4">
        <f>'Raw Data'!F307*0.001648</f>
        <v>0</v>
      </c>
      <c r="H306" s="4">
        <f>'Raw Data'!G307*6*0.000128176</f>
        <v>0</v>
      </c>
      <c r="I306" s="4">
        <f>'Raw Data'!H307*0.000732435</f>
        <v>0</v>
      </c>
      <c r="J306" s="4">
        <f t="shared" si="14"/>
        <v>0</v>
      </c>
      <c r="K306" s="36">
        <f>IF(('Raw Data'!I307-16384)/32768&lt;0,0,('Raw Data'!I307-16384)/32768)</f>
        <v>0</v>
      </c>
      <c r="L306" s="4">
        <f>IF(('Raw Data'!J307-12010)/45.6=-263.377192982456,0,('Raw Data'!J307-12010)/45.6)</f>
        <v>0</v>
      </c>
      <c r="M306" s="16">
        <f>'Raw Data'!N307*2^-8</f>
        <v>0</v>
      </c>
      <c r="N306" s="16">
        <f>'Raw Data'!O307*2^-8</f>
        <v>0</v>
      </c>
      <c r="O306" s="17" t="str">
        <f>IF(BITWISE_AND('Raw Data'!$K307, 8192),"X","")</f>
        <v/>
      </c>
      <c r="P306" s="17" t="str">
        <f>IF(BITWISE_AND('Raw Data'!$K307, 2048),"X","")</f>
        <v/>
      </c>
      <c r="Q306" s="17" t="str">
        <f>IF(BITWISE_AND('Raw Data'!$K307, 64),"X","")</f>
        <v/>
      </c>
      <c r="R306" s="18" t="str">
        <f>IF(BITWISE_AND('Raw Data'!$L307, 1024),"X","")</f>
        <v/>
      </c>
      <c r="S306" s="18" t="str">
        <f>IF(BITWISE_AND('Raw Data'!$L307, 512),"X","")</f>
        <v/>
      </c>
      <c r="T306" s="18" t="str">
        <f>IF(BITWISE_AND('Raw Data'!$L307, 256),"X","")</f>
        <v/>
      </c>
      <c r="U306" s="18" t="str">
        <f>IF(BITWISE_AND('Raw Data'!$L307, 64),"X","")</f>
        <v/>
      </c>
      <c r="V306" s="18" t="str">
        <f>IF(BITWISE_AND('Raw Data'!$L307, 2),"X","")</f>
        <v/>
      </c>
      <c r="W306" s="18" t="str">
        <f>IF(BITWISE_AND('Raw Data'!$L307, 1),"X","")</f>
        <v/>
      </c>
      <c r="X306" s="19" t="str">
        <f>IF(BITWISE_AND('Raw Data'!M307, 1),"Bat Voltage", IF(BITWISE_AND('Raw Data'!M307, 2), "Charge Current", IF(BITWISE_AND('Raw Data'!M307, 4),"Input Ilim", IF(BITWISE_AND('Raw Data'!M307, 8), "Input UV", "none"))))</f>
        <v>none</v>
      </c>
    </row>
    <row r="307" spans="1:24" x14ac:dyDescent="0.2">
      <c r="A307" s="15">
        <f>A306+TIME(0,0,'Raw Data'!B307)</f>
        <v>0</v>
      </c>
      <c r="B307" s="4">
        <f>'Raw Data'!C308*0.025</f>
        <v>0</v>
      </c>
      <c r="C307" s="4">
        <f t="shared" si="15"/>
        <v>0</v>
      </c>
      <c r="D307" s="4">
        <f>'Raw Data'!D308*0.025</f>
        <v>0</v>
      </c>
      <c r="E307" s="4">
        <f t="shared" si="16"/>
        <v>0</v>
      </c>
      <c r="F307" s="4">
        <f>'Raw Data'!E308*0.001648</f>
        <v>0</v>
      </c>
      <c r="G307" s="4">
        <f>'Raw Data'!F308*0.001648</f>
        <v>0</v>
      </c>
      <c r="H307" s="4">
        <f>'Raw Data'!G308*6*0.000128176</f>
        <v>0</v>
      </c>
      <c r="I307" s="4">
        <f>'Raw Data'!H308*0.000732435</f>
        <v>0</v>
      </c>
      <c r="J307" s="4">
        <f t="shared" si="14"/>
        <v>0</v>
      </c>
      <c r="K307" s="36">
        <f>IF(('Raw Data'!I308-16384)/32768&lt;0,0,('Raw Data'!I308-16384)/32768)</f>
        <v>0</v>
      </c>
      <c r="L307" s="4">
        <f>IF(('Raw Data'!J308-12010)/45.6=-263.377192982456,0,('Raw Data'!J308-12010)/45.6)</f>
        <v>0</v>
      </c>
      <c r="M307" s="16">
        <f>'Raw Data'!N308*2^-8</f>
        <v>0</v>
      </c>
      <c r="N307" s="16">
        <f>'Raw Data'!O308*2^-8</f>
        <v>0</v>
      </c>
      <c r="O307" s="17" t="str">
        <f>IF(BITWISE_AND('Raw Data'!$K308, 8192),"X","")</f>
        <v/>
      </c>
      <c r="P307" s="17" t="str">
        <f>IF(BITWISE_AND('Raw Data'!$K308, 2048),"X","")</f>
        <v/>
      </c>
      <c r="Q307" s="17" t="str">
        <f>IF(BITWISE_AND('Raw Data'!$K308, 64),"X","")</f>
        <v/>
      </c>
      <c r="R307" s="18" t="str">
        <f>IF(BITWISE_AND('Raw Data'!$L308, 1024),"X","")</f>
        <v/>
      </c>
      <c r="S307" s="18" t="str">
        <f>IF(BITWISE_AND('Raw Data'!$L308, 512),"X","")</f>
        <v/>
      </c>
      <c r="T307" s="18" t="str">
        <f>IF(BITWISE_AND('Raw Data'!$L308, 256),"X","")</f>
        <v/>
      </c>
      <c r="U307" s="18" t="str">
        <f>IF(BITWISE_AND('Raw Data'!$L308, 64),"X","")</f>
        <v/>
      </c>
      <c r="V307" s="18" t="str">
        <f>IF(BITWISE_AND('Raw Data'!$L308, 2),"X","")</f>
        <v/>
      </c>
      <c r="W307" s="18" t="str">
        <f>IF(BITWISE_AND('Raw Data'!$L308, 1),"X","")</f>
        <v/>
      </c>
      <c r="X307" s="19" t="str">
        <f>IF(BITWISE_AND('Raw Data'!M308, 1),"Bat Voltage", IF(BITWISE_AND('Raw Data'!M308, 2), "Charge Current", IF(BITWISE_AND('Raw Data'!M308, 4),"Input Ilim", IF(BITWISE_AND('Raw Data'!M308, 8), "Input UV", "none"))))</f>
        <v>none</v>
      </c>
    </row>
    <row r="308" spans="1:24" x14ac:dyDescent="0.2">
      <c r="A308" s="15">
        <f>A307+TIME(0,0,'Raw Data'!B308)</f>
        <v>0</v>
      </c>
      <c r="B308" s="4">
        <f>'Raw Data'!C309*0.025</f>
        <v>0</v>
      </c>
      <c r="C308" s="4">
        <f t="shared" si="15"/>
        <v>0</v>
      </c>
      <c r="D308" s="4">
        <f>'Raw Data'!D309*0.025</f>
        <v>0</v>
      </c>
      <c r="E308" s="4">
        <f t="shared" si="16"/>
        <v>0</v>
      </c>
      <c r="F308" s="4">
        <f>'Raw Data'!E309*0.001648</f>
        <v>0</v>
      </c>
      <c r="G308" s="4">
        <f>'Raw Data'!F309*0.001648</f>
        <v>0</v>
      </c>
      <c r="H308" s="4">
        <f>'Raw Data'!G309*6*0.000128176</f>
        <v>0</v>
      </c>
      <c r="I308" s="4">
        <f>'Raw Data'!H309*0.000732435</f>
        <v>0</v>
      </c>
      <c r="J308" s="4">
        <f t="shared" si="14"/>
        <v>0</v>
      </c>
      <c r="K308" s="36">
        <f>IF(('Raw Data'!I309-16384)/32768&lt;0,0,('Raw Data'!I309-16384)/32768)</f>
        <v>0</v>
      </c>
      <c r="L308" s="4">
        <f>IF(('Raw Data'!J309-12010)/45.6=-263.377192982456,0,('Raw Data'!J309-12010)/45.6)</f>
        <v>0</v>
      </c>
      <c r="M308" s="16">
        <f>'Raw Data'!N309*2^-8</f>
        <v>0</v>
      </c>
      <c r="N308" s="16">
        <f>'Raw Data'!O309*2^-8</f>
        <v>0</v>
      </c>
      <c r="O308" s="17" t="str">
        <f>IF(BITWISE_AND('Raw Data'!$K309, 8192),"X","")</f>
        <v/>
      </c>
      <c r="P308" s="17" t="str">
        <f>IF(BITWISE_AND('Raw Data'!$K309, 2048),"X","")</f>
        <v/>
      </c>
      <c r="Q308" s="17" t="str">
        <f>IF(BITWISE_AND('Raw Data'!$K309, 64),"X","")</f>
        <v/>
      </c>
      <c r="R308" s="18" t="str">
        <f>IF(BITWISE_AND('Raw Data'!$L309, 1024),"X","")</f>
        <v/>
      </c>
      <c r="S308" s="18" t="str">
        <f>IF(BITWISE_AND('Raw Data'!$L309, 512),"X","")</f>
        <v/>
      </c>
      <c r="T308" s="18" t="str">
        <f>IF(BITWISE_AND('Raw Data'!$L309, 256),"X","")</f>
        <v/>
      </c>
      <c r="U308" s="18" t="str">
        <f>IF(BITWISE_AND('Raw Data'!$L309, 64),"X","")</f>
        <v/>
      </c>
      <c r="V308" s="18" t="str">
        <f>IF(BITWISE_AND('Raw Data'!$L309, 2),"X","")</f>
        <v/>
      </c>
      <c r="W308" s="18" t="str">
        <f>IF(BITWISE_AND('Raw Data'!$L309, 1),"X","")</f>
        <v/>
      </c>
      <c r="X308" s="19" t="str">
        <f>IF(BITWISE_AND('Raw Data'!M309, 1),"Bat Voltage", IF(BITWISE_AND('Raw Data'!M309, 2), "Charge Current", IF(BITWISE_AND('Raw Data'!M309, 4),"Input Ilim", IF(BITWISE_AND('Raw Data'!M309, 8), "Input UV", "none"))))</f>
        <v>none</v>
      </c>
    </row>
    <row r="309" spans="1:24" x14ac:dyDescent="0.2">
      <c r="A309" s="15">
        <f>A308+TIME(0,0,'Raw Data'!B309)</f>
        <v>0</v>
      </c>
      <c r="B309" s="4">
        <f>'Raw Data'!C310*0.025</f>
        <v>0</v>
      </c>
      <c r="C309" s="4">
        <f t="shared" si="15"/>
        <v>0</v>
      </c>
      <c r="D309" s="4">
        <f>'Raw Data'!D310*0.025</f>
        <v>0</v>
      </c>
      <c r="E309" s="4">
        <f t="shared" si="16"/>
        <v>0</v>
      </c>
      <c r="F309" s="4">
        <f>'Raw Data'!E310*0.001648</f>
        <v>0</v>
      </c>
      <c r="G309" s="4">
        <f>'Raw Data'!F310*0.001648</f>
        <v>0</v>
      </c>
      <c r="H309" s="4">
        <f>'Raw Data'!G310*6*0.000128176</f>
        <v>0</v>
      </c>
      <c r="I309" s="4">
        <f>'Raw Data'!H310*0.000732435</f>
        <v>0</v>
      </c>
      <c r="J309" s="4">
        <f t="shared" si="14"/>
        <v>0</v>
      </c>
      <c r="K309" s="36">
        <f>IF(('Raw Data'!I310-16384)/32768&lt;0,0,('Raw Data'!I310-16384)/32768)</f>
        <v>0</v>
      </c>
      <c r="L309" s="4">
        <f>IF(('Raw Data'!J310-12010)/45.6=-263.377192982456,0,('Raw Data'!J310-12010)/45.6)</f>
        <v>0</v>
      </c>
      <c r="M309" s="16">
        <f>'Raw Data'!N310*2^-8</f>
        <v>0</v>
      </c>
      <c r="N309" s="16">
        <f>'Raw Data'!O310*2^-8</f>
        <v>0</v>
      </c>
      <c r="O309" s="17" t="str">
        <f>IF(BITWISE_AND('Raw Data'!$K310, 8192),"X","")</f>
        <v/>
      </c>
      <c r="P309" s="17" t="str">
        <f>IF(BITWISE_AND('Raw Data'!$K310, 2048),"X","")</f>
        <v/>
      </c>
      <c r="Q309" s="17" t="str">
        <f>IF(BITWISE_AND('Raw Data'!$K310, 64),"X","")</f>
        <v/>
      </c>
      <c r="R309" s="18" t="str">
        <f>IF(BITWISE_AND('Raw Data'!$L310, 1024),"X","")</f>
        <v/>
      </c>
      <c r="S309" s="18" t="str">
        <f>IF(BITWISE_AND('Raw Data'!$L310, 512),"X","")</f>
        <v/>
      </c>
      <c r="T309" s="18" t="str">
        <f>IF(BITWISE_AND('Raw Data'!$L310, 256),"X","")</f>
        <v/>
      </c>
      <c r="U309" s="18" t="str">
        <f>IF(BITWISE_AND('Raw Data'!$L310, 64),"X","")</f>
        <v/>
      </c>
      <c r="V309" s="18" t="str">
        <f>IF(BITWISE_AND('Raw Data'!$L310, 2),"X","")</f>
        <v/>
      </c>
      <c r="W309" s="18" t="str">
        <f>IF(BITWISE_AND('Raw Data'!$L310, 1),"X","")</f>
        <v/>
      </c>
      <c r="X309" s="19" t="str">
        <f>IF(BITWISE_AND('Raw Data'!M310, 1),"Bat Voltage", IF(BITWISE_AND('Raw Data'!M310, 2), "Charge Current", IF(BITWISE_AND('Raw Data'!M310, 4),"Input Ilim", IF(BITWISE_AND('Raw Data'!M310, 8), "Input UV", "none"))))</f>
        <v>none</v>
      </c>
    </row>
    <row r="310" spans="1:24" x14ac:dyDescent="0.2">
      <c r="A310" s="15">
        <f>A309+TIME(0,0,'Raw Data'!B310)</f>
        <v>0</v>
      </c>
      <c r="B310" s="4">
        <f>'Raw Data'!C311*0.025</f>
        <v>0</v>
      </c>
      <c r="C310" s="4">
        <f t="shared" si="15"/>
        <v>0</v>
      </c>
      <c r="D310" s="4">
        <f>'Raw Data'!D311*0.025</f>
        <v>0</v>
      </c>
      <c r="E310" s="4">
        <f t="shared" si="16"/>
        <v>0</v>
      </c>
      <c r="F310" s="4">
        <f>'Raw Data'!E311*0.001648</f>
        <v>0</v>
      </c>
      <c r="G310" s="4">
        <f>'Raw Data'!F311*0.001648</f>
        <v>0</v>
      </c>
      <c r="H310" s="4">
        <f>'Raw Data'!G311*6*0.000128176</f>
        <v>0</v>
      </c>
      <c r="I310" s="4">
        <f>'Raw Data'!H311*0.000732435</f>
        <v>0</v>
      </c>
      <c r="J310" s="4">
        <f t="shared" si="14"/>
        <v>0</v>
      </c>
      <c r="K310" s="36">
        <f>IF(('Raw Data'!I311-16384)/32768&lt;0,0,('Raw Data'!I311-16384)/32768)</f>
        <v>0</v>
      </c>
      <c r="L310" s="4">
        <f>IF(('Raw Data'!J311-12010)/45.6=-263.377192982456,0,('Raw Data'!J311-12010)/45.6)</f>
        <v>0</v>
      </c>
      <c r="M310" s="16">
        <f>'Raw Data'!N311*2^-8</f>
        <v>0</v>
      </c>
      <c r="N310" s="16">
        <f>'Raw Data'!O311*2^-8</f>
        <v>0</v>
      </c>
      <c r="O310" s="17" t="str">
        <f>IF(BITWISE_AND('Raw Data'!$K311, 8192),"X","")</f>
        <v/>
      </c>
      <c r="P310" s="17" t="str">
        <f>IF(BITWISE_AND('Raw Data'!$K311, 2048),"X","")</f>
        <v/>
      </c>
      <c r="Q310" s="17" t="str">
        <f>IF(BITWISE_AND('Raw Data'!$K311, 64),"X","")</f>
        <v/>
      </c>
      <c r="R310" s="18" t="str">
        <f>IF(BITWISE_AND('Raw Data'!$L311, 1024),"X","")</f>
        <v/>
      </c>
      <c r="S310" s="18" t="str">
        <f>IF(BITWISE_AND('Raw Data'!$L311, 512),"X","")</f>
        <v/>
      </c>
      <c r="T310" s="18" t="str">
        <f>IF(BITWISE_AND('Raw Data'!$L311, 256),"X","")</f>
        <v/>
      </c>
      <c r="U310" s="18" t="str">
        <f>IF(BITWISE_AND('Raw Data'!$L311, 64),"X","")</f>
        <v/>
      </c>
      <c r="V310" s="18" t="str">
        <f>IF(BITWISE_AND('Raw Data'!$L311, 2),"X","")</f>
        <v/>
      </c>
      <c r="W310" s="18" t="str">
        <f>IF(BITWISE_AND('Raw Data'!$L311, 1),"X","")</f>
        <v/>
      </c>
      <c r="X310" s="19" t="str">
        <f>IF(BITWISE_AND('Raw Data'!M311, 1),"Bat Voltage", IF(BITWISE_AND('Raw Data'!M311, 2), "Charge Current", IF(BITWISE_AND('Raw Data'!M311, 4),"Input Ilim", IF(BITWISE_AND('Raw Data'!M311, 8), "Input UV", "none"))))</f>
        <v>none</v>
      </c>
    </row>
    <row r="311" spans="1:24" x14ac:dyDescent="0.2">
      <c r="A311" s="15">
        <f>A310+TIME(0,0,'Raw Data'!B311)</f>
        <v>0</v>
      </c>
      <c r="B311" s="4">
        <f>'Raw Data'!C312*0.025</f>
        <v>0</v>
      </c>
      <c r="C311" s="4">
        <f t="shared" si="15"/>
        <v>0</v>
      </c>
      <c r="D311" s="4">
        <f>'Raw Data'!D312*0.025</f>
        <v>0</v>
      </c>
      <c r="E311" s="4">
        <f t="shared" si="16"/>
        <v>0</v>
      </c>
      <c r="F311" s="4">
        <f>'Raw Data'!E312*0.001648</f>
        <v>0</v>
      </c>
      <c r="G311" s="4">
        <f>'Raw Data'!F312*0.001648</f>
        <v>0</v>
      </c>
      <c r="H311" s="4">
        <f>'Raw Data'!G312*6*0.000128176</f>
        <v>0</v>
      </c>
      <c r="I311" s="4">
        <f>'Raw Data'!H312*0.000732435</f>
        <v>0</v>
      </c>
      <c r="J311" s="4">
        <f t="shared" si="14"/>
        <v>0</v>
      </c>
      <c r="K311" s="36">
        <f>IF(('Raw Data'!I312-16384)/32768&lt;0,0,('Raw Data'!I312-16384)/32768)</f>
        <v>0</v>
      </c>
      <c r="L311" s="4">
        <f>IF(('Raw Data'!J312-12010)/45.6=-263.377192982456,0,('Raw Data'!J312-12010)/45.6)</f>
        <v>0</v>
      </c>
      <c r="M311" s="16">
        <f>'Raw Data'!N312*2^-8</f>
        <v>0</v>
      </c>
      <c r="N311" s="16">
        <f>'Raw Data'!O312*2^-8</f>
        <v>0</v>
      </c>
      <c r="O311" s="17" t="str">
        <f>IF(BITWISE_AND('Raw Data'!$K312, 8192),"X","")</f>
        <v/>
      </c>
      <c r="P311" s="17" t="str">
        <f>IF(BITWISE_AND('Raw Data'!$K312, 2048),"X","")</f>
        <v/>
      </c>
      <c r="Q311" s="17" t="str">
        <f>IF(BITWISE_AND('Raw Data'!$K312, 64),"X","")</f>
        <v/>
      </c>
      <c r="R311" s="18" t="str">
        <f>IF(BITWISE_AND('Raw Data'!$L312, 1024),"X","")</f>
        <v/>
      </c>
      <c r="S311" s="18" t="str">
        <f>IF(BITWISE_AND('Raw Data'!$L312, 512),"X","")</f>
        <v/>
      </c>
      <c r="T311" s="18" t="str">
        <f>IF(BITWISE_AND('Raw Data'!$L312, 256),"X","")</f>
        <v/>
      </c>
      <c r="U311" s="18" t="str">
        <f>IF(BITWISE_AND('Raw Data'!$L312, 64),"X","")</f>
        <v/>
      </c>
      <c r="V311" s="18" t="str">
        <f>IF(BITWISE_AND('Raw Data'!$L312, 2),"X","")</f>
        <v/>
      </c>
      <c r="W311" s="18" t="str">
        <f>IF(BITWISE_AND('Raw Data'!$L312, 1),"X","")</f>
        <v/>
      </c>
      <c r="X311" s="19" t="str">
        <f>IF(BITWISE_AND('Raw Data'!M312, 1),"Bat Voltage", IF(BITWISE_AND('Raw Data'!M312, 2), "Charge Current", IF(BITWISE_AND('Raw Data'!M312, 4),"Input Ilim", IF(BITWISE_AND('Raw Data'!M312, 8), "Input UV", "none"))))</f>
        <v>none</v>
      </c>
    </row>
    <row r="312" spans="1:24" x14ac:dyDescent="0.2">
      <c r="A312" s="15">
        <f>A311+TIME(0,0,'Raw Data'!B312)</f>
        <v>0</v>
      </c>
      <c r="B312" s="4">
        <f>'Raw Data'!C313*0.025</f>
        <v>0</v>
      </c>
      <c r="C312" s="4">
        <f t="shared" si="15"/>
        <v>0</v>
      </c>
      <c r="D312" s="4">
        <f>'Raw Data'!D313*0.025</f>
        <v>0</v>
      </c>
      <c r="E312" s="4">
        <f t="shared" si="16"/>
        <v>0</v>
      </c>
      <c r="F312" s="4">
        <f>'Raw Data'!E313*0.001648</f>
        <v>0</v>
      </c>
      <c r="G312" s="4">
        <f>'Raw Data'!F313*0.001648</f>
        <v>0</v>
      </c>
      <c r="H312" s="4">
        <f>'Raw Data'!G313*6*0.000128176</f>
        <v>0</v>
      </c>
      <c r="I312" s="4">
        <f>'Raw Data'!H313*0.000732435</f>
        <v>0</v>
      </c>
      <c r="J312" s="4">
        <f t="shared" si="14"/>
        <v>0</v>
      </c>
      <c r="K312" s="36">
        <f>IF(('Raw Data'!I313-16384)/32768&lt;0,0,('Raw Data'!I313-16384)/32768)</f>
        <v>0</v>
      </c>
      <c r="L312" s="4">
        <f>IF(('Raw Data'!J313-12010)/45.6=-263.377192982456,0,('Raw Data'!J313-12010)/45.6)</f>
        <v>0</v>
      </c>
      <c r="M312" s="16">
        <f>'Raw Data'!N313*2^-8</f>
        <v>0</v>
      </c>
      <c r="N312" s="16">
        <f>'Raw Data'!O313*2^-8</f>
        <v>0</v>
      </c>
      <c r="O312" s="17" t="str">
        <f>IF(BITWISE_AND('Raw Data'!$K313, 8192),"X","")</f>
        <v/>
      </c>
      <c r="P312" s="17" t="str">
        <f>IF(BITWISE_AND('Raw Data'!$K313, 2048),"X","")</f>
        <v/>
      </c>
      <c r="Q312" s="17" t="str">
        <f>IF(BITWISE_AND('Raw Data'!$K313, 64),"X","")</f>
        <v/>
      </c>
      <c r="R312" s="18" t="str">
        <f>IF(BITWISE_AND('Raw Data'!$L313, 1024),"X","")</f>
        <v/>
      </c>
      <c r="S312" s="18" t="str">
        <f>IF(BITWISE_AND('Raw Data'!$L313, 512),"X","")</f>
        <v/>
      </c>
      <c r="T312" s="18" t="str">
        <f>IF(BITWISE_AND('Raw Data'!$L313, 256),"X","")</f>
        <v/>
      </c>
      <c r="U312" s="18" t="str">
        <f>IF(BITWISE_AND('Raw Data'!$L313, 64),"X","")</f>
        <v/>
      </c>
      <c r="V312" s="18" t="str">
        <f>IF(BITWISE_AND('Raw Data'!$L313, 2),"X","")</f>
        <v/>
      </c>
      <c r="W312" s="18" t="str">
        <f>IF(BITWISE_AND('Raw Data'!$L313, 1),"X","")</f>
        <v/>
      </c>
      <c r="X312" s="19" t="str">
        <f>IF(BITWISE_AND('Raw Data'!M313, 1),"Bat Voltage", IF(BITWISE_AND('Raw Data'!M313, 2), "Charge Current", IF(BITWISE_AND('Raw Data'!M313, 4),"Input Ilim", IF(BITWISE_AND('Raw Data'!M313, 8), "Input UV", "none"))))</f>
        <v>none</v>
      </c>
    </row>
    <row r="313" spans="1:24" x14ac:dyDescent="0.2">
      <c r="A313" s="15">
        <f>A312+TIME(0,0,'Raw Data'!B313)</f>
        <v>0</v>
      </c>
      <c r="B313" s="4">
        <f>'Raw Data'!C314*0.025</f>
        <v>0</v>
      </c>
      <c r="C313" s="4">
        <f t="shared" si="15"/>
        <v>0</v>
      </c>
      <c r="D313" s="4">
        <f>'Raw Data'!D314*0.025</f>
        <v>0</v>
      </c>
      <c r="E313" s="4">
        <f t="shared" si="16"/>
        <v>0</v>
      </c>
      <c r="F313" s="4">
        <f>'Raw Data'!E314*0.001648</f>
        <v>0</v>
      </c>
      <c r="G313" s="4">
        <f>'Raw Data'!F314*0.001648</f>
        <v>0</v>
      </c>
      <c r="H313" s="4">
        <f>'Raw Data'!G314*6*0.000128176</f>
        <v>0</v>
      </c>
      <c r="I313" s="4">
        <f>'Raw Data'!H314*0.000732435</f>
        <v>0</v>
      </c>
      <c r="J313" s="4">
        <f t="shared" si="14"/>
        <v>0</v>
      </c>
      <c r="K313" s="36">
        <f>IF(('Raw Data'!I314-16384)/32768&lt;0,0,('Raw Data'!I314-16384)/32768)</f>
        <v>0</v>
      </c>
      <c r="L313" s="4">
        <f>IF(('Raw Data'!J314-12010)/45.6=-263.377192982456,0,('Raw Data'!J314-12010)/45.6)</f>
        <v>0</v>
      </c>
      <c r="M313" s="16">
        <f>'Raw Data'!N314*2^-8</f>
        <v>0</v>
      </c>
      <c r="N313" s="16">
        <f>'Raw Data'!O314*2^-8</f>
        <v>0</v>
      </c>
      <c r="O313" s="17" t="str">
        <f>IF(BITWISE_AND('Raw Data'!$K314, 8192),"X","")</f>
        <v/>
      </c>
      <c r="P313" s="17" t="str">
        <f>IF(BITWISE_AND('Raw Data'!$K314, 2048),"X","")</f>
        <v/>
      </c>
      <c r="Q313" s="17" t="str">
        <f>IF(BITWISE_AND('Raw Data'!$K314, 64),"X","")</f>
        <v/>
      </c>
      <c r="R313" s="18" t="str">
        <f>IF(BITWISE_AND('Raw Data'!$L314, 1024),"X","")</f>
        <v/>
      </c>
      <c r="S313" s="18" t="str">
        <f>IF(BITWISE_AND('Raw Data'!$L314, 512),"X","")</f>
        <v/>
      </c>
      <c r="T313" s="18" t="str">
        <f>IF(BITWISE_AND('Raw Data'!$L314, 256),"X","")</f>
        <v/>
      </c>
      <c r="U313" s="18" t="str">
        <f>IF(BITWISE_AND('Raw Data'!$L314, 64),"X","")</f>
        <v/>
      </c>
      <c r="V313" s="18" t="str">
        <f>IF(BITWISE_AND('Raw Data'!$L314, 2),"X","")</f>
        <v/>
      </c>
      <c r="W313" s="18" t="str">
        <f>IF(BITWISE_AND('Raw Data'!$L314, 1),"X","")</f>
        <v/>
      </c>
      <c r="X313" s="19" t="str">
        <f>IF(BITWISE_AND('Raw Data'!M314, 1),"Bat Voltage", IF(BITWISE_AND('Raw Data'!M314, 2), "Charge Current", IF(BITWISE_AND('Raw Data'!M314, 4),"Input Ilim", IF(BITWISE_AND('Raw Data'!M314, 8), "Input UV", "none"))))</f>
        <v>none</v>
      </c>
    </row>
    <row r="314" spans="1:24" x14ac:dyDescent="0.2">
      <c r="A314" s="15">
        <f>A313+TIME(0,0,'Raw Data'!B314)</f>
        <v>0</v>
      </c>
      <c r="B314" s="4">
        <f>'Raw Data'!C315*0.025</f>
        <v>0</v>
      </c>
      <c r="C314" s="4">
        <f t="shared" si="15"/>
        <v>0</v>
      </c>
      <c r="D314" s="4">
        <f>'Raw Data'!D315*0.025</f>
        <v>0</v>
      </c>
      <c r="E314" s="4">
        <f t="shared" si="16"/>
        <v>0</v>
      </c>
      <c r="F314" s="4">
        <f>'Raw Data'!E315*0.001648</f>
        <v>0</v>
      </c>
      <c r="G314" s="4">
        <f>'Raw Data'!F315*0.001648</f>
        <v>0</v>
      </c>
      <c r="H314" s="4">
        <f>'Raw Data'!G315*6*0.000128176</f>
        <v>0</v>
      </c>
      <c r="I314" s="4">
        <f>'Raw Data'!H315*0.000732435</f>
        <v>0</v>
      </c>
      <c r="J314" s="4">
        <f t="shared" si="14"/>
        <v>0</v>
      </c>
      <c r="K314" s="36">
        <f>IF(('Raw Data'!I315-16384)/32768&lt;0,0,('Raw Data'!I315-16384)/32768)</f>
        <v>0</v>
      </c>
      <c r="L314" s="4">
        <f>IF(('Raw Data'!J315-12010)/45.6=-263.377192982456,0,('Raw Data'!J315-12010)/45.6)</f>
        <v>0</v>
      </c>
      <c r="M314" s="16">
        <f>'Raw Data'!N315*2^-8</f>
        <v>0</v>
      </c>
      <c r="N314" s="16">
        <f>'Raw Data'!O315*2^-8</f>
        <v>0</v>
      </c>
      <c r="O314" s="17" t="str">
        <f>IF(BITWISE_AND('Raw Data'!$K315, 8192),"X","")</f>
        <v/>
      </c>
      <c r="P314" s="17" t="str">
        <f>IF(BITWISE_AND('Raw Data'!$K315, 2048),"X","")</f>
        <v/>
      </c>
      <c r="Q314" s="17" t="str">
        <f>IF(BITWISE_AND('Raw Data'!$K315, 64),"X","")</f>
        <v/>
      </c>
      <c r="R314" s="18" t="str">
        <f>IF(BITWISE_AND('Raw Data'!$L315, 1024),"X","")</f>
        <v/>
      </c>
      <c r="S314" s="18" t="str">
        <f>IF(BITWISE_AND('Raw Data'!$L315, 512),"X","")</f>
        <v/>
      </c>
      <c r="T314" s="18" t="str">
        <f>IF(BITWISE_AND('Raw Data'!$L315, 256),"X","")</f>
        <v/>
      </c>
      <c r="U314" s="18" t="str">
        <f>IF(BITWISE_AND('Raw Data'!$L315, 64),"X","")</f>
        <v/>
      </c>
      <c r="V314" s="18" t="str">
        <f>IF(BITWISE_AND('Raw Data'!$L315, 2),"X","")</f>
        <v/>
      </c>
      <c r="W314" s="18" t="str">
        <f>IF(BITWISE_AND('Raw Data'!$L315, 1),"X","")</f>
        <v/>
      </c>
      <c r="X314" s="19" t="str">
        <f>IF(BITWISE_AND('Raw Data'!M315, 1),"Bat Voltage", IF(BITWISE_AND('Raw Data'!M315, 2), "Charge Current", IF(BITWISE_AND('Raw Data'!M315, 4),"Input Ilim", IF(BITWISE_AND('Raw Data'!M315, 8), "Input UV", "none"))))</f>
        <v>none</v>
      </c>
    </row>
    <row r="315" spans="1:24" x14ac:dyDescent="0.2">
      <c r="A315" s="15">
        <f>A314+TIME(0,0,'Raw Data'!B315)</f>
        <v>0</v>
      </c>
      <c r="B315" s="4">
        <f>'Raw Data'!C316*0.025</f>
        <v>0</v>
      </c>
      <c r="C315" s="4">
        <f t="shared" si="15"/>
        <v>0</v>
      </c>
      <c r="D315" s="4">
        <f>'Raw Data'!D316*0.025</f>
        <v>0</v>
      </c>
      <c r="E315" s="4">
        <f t="shared" si="16"/>
        <v>0</v>
      </c>
      <c r="F315" s="4">
        <f>'Raw Data'!E316*0.001648</f>
        <v>0</v>
      </c>
      <c r="G315" s="4">
        <f>'Raw Data'!F316*0.001648</f>
        <v>0</v>
      </c>
      <c r="H315" s="4">
        <f>'Raw Data'!G316*6*0.000128176</f>
        <v>0</v>
      </c>
      <c r="I315" s="4">
        <f>'Raw Data'!H316*0.000732435</f>
        <v>0</v>
      </c>
      <c r="J315" s="4">
        <f t="shared" si="14"/>
        <v>0</v>
      </c>
      <c r="K315" s="36">
        <f>IF(('Raw Data'!I316-16384)/32768&lt;0,0,('Raw Data'!I316-16384)/32768)</f>
        <v>0</v>
      </c>
      <c r="L315" s="4">
        <f>IF(('Raw Data'!J316-12010)/45.6=-263.377192982456,0,('Raw Data'!J316-12010)/45.6)</f>
        <v>0</v>
      </c>
      <c r="M315" s="16">
        <f>'Raw Data'!N316*2^-8</f>
        <v>0</v>
      </c>
      <c r="N315" s="16">
        <f>'Raw Data'!O316*2^-8</f>
        <v>0</v>
      </c>
      <c r="O315" s="17" t="str">
        <f>IF(BITWISE_AND('Raw Data'!$K316, 8192),"X","")</f>
        <v/>
      </c>
      <c r="P315" s="17" t="str">
        <f>IF(BITWISE_AND('Raw Data'!$K316, 2048),"X","")</f>
        <v/>
      </c>
      <c r="Q315" s="17" t="str">
        <f>IF(BITWISE_AND('Raw Data'!$K316, 64),"X","")</f>
        <v/>
      </c>
      <c r="R315" s="18" t="str">
        <f>IF(BITWISE_AND('Raw Data'!$L316, 1024),"X","")</f>
        <v/>
      </c>
      <c r="S315" s="18" t="str">
        <f>IF(BITWISE_AND('Raw Data'!$L316, 512),"X","")</f>
        <v/>
      </c>
      <c r="T315" s="18" t="str">
        <f>IF(BITWISE_AND('Raw Data'!$L316, 256),"X","")</f>
        <v/>
      </c>
      <c r="U315" s="18" t="str">
        <f>IF(BITWISE_AND('Raw Data'!$L316, 64),"X","")</f>
        <v/>
      </c>
      <c r="V315" s="18" t="str">
        <f>IF(BITWISE_AND('Raw Data'!$L316, 2),"X","")</f>
        <v/>
      </c>
      <c r="W315" s="18" t="str">
        <f>IF(BITWISE_AND('Raw Data'!$L316, 1),"X","")</f>
        <v/>
      </c>
      <c r="X315" s="19" t="str">
        <f>IF(BITWISE_AND('Raw Data'!M316, 1),"Bat Voltage", IF(BITWISE_AND('Raw Data'!M316, 2), "Charge Current", IF(BITWISE_AND('Raw Data'!M316, 4),"Input Ilim", IF(BITWISE_AND('Raw Data'!M316, 8), "Input UV", "none"))))</f>
        <v>none</v>
      </c>
    </row>
    <row r="316" spans="1:24" x14ac:dyDescent="0.2">
      <c r="A316" s="15">
        <f>A315+TIME(0,0,'Raw Data'!B316)</f>
        <v>0</v>
      </c>
      <c r="B316" s="4">
        <f>'Raw Data'!C317*0.025</f>
        <v>0</v>
      </c>
      <c r="C316" s="4">
        <f t="shared" si="15"/>
        <v>0</v>
      </c>
      <c r="D316" s="4">
        <f>'Raw Data'!D317*0.025</f>
        <v>0</v>
      </c>
      <c r="E316" s="4">
        <f t="shared" si="16"/>
        <v>0</v>
      </c>
      <c r="F316" s="4">
        <f>'Raw Data'!E317*0.001648</f>
        <v>0</v>
      </c>
      <c r="G316" s="4">
        <f>'Raw Data'!F317*0.001648</f>
        <v>0</v>
      </c>
      <c r="H316" s="4">
        <f>'Raw Data'!G317*6*0.000128176</f>
        <v>0</v>
      </c>
      <c r="I316" s="4">
        <f>'Raw Data'!H317*0.000732435</f>
        <v>0</v>
      </c>
      <c r="J316" s="4">
        <f t="shared" si="14"/>
        <v>0</v>
      </c>
      <c r="K316" s="36">
        <f>IF(('Raw Data'!I317-16384)/32768&lt;0,0,('Raw Data'!I317-16384)/32768)</f>
        <v>0</v>
      </c>
      <c r="L316" s="4">
        <f>IF(('Raw Data'!J317-12010)/45.6=-263.377192982456,0,('Raw Data'!J317-12010)/45.6)</f>
        <v>0</v>
      </c>
      <c r="M316" s="16">
        <f>'Raw Data'!N317*2^-8</f>
        <v>0</v>
      </c>
      <c r="N316" s="16">
        <f>'Raw Data'!O317*2^-8</f>
        <v>0</v>
      </c>
      <c r="O316" s="17" t="str">
        <f>IF(BITWISE_AND('Raw Data'!$K317, 8192),"X","")</f>
        <v/>
      </c>
      <c r="P316" s="17" t="str">
        <f>IF(BITWISE_AND('Raw Data'!$K317, 2048),"X","")</f>
        <v/>
      </c>
      <c r="Q316" s="17" t="str">
        <f>IF(BITWISE_AND('Raw Data'!$K317, 64),"X","")</f>
        <v/>
      </c>
      <c r="R316" s="18" t="str">
        <f>IF(BITWISE_AND('Raw Data'!$L317, 1024),"X","")</f>
        <v/>
      </c>
      <c r="S316" s="18" t="str">
        <f>IF(BITWISE_AND('Raw Data'!$L317, 512),"X","")</f>
        <v/>
      </c>
      <c r="T316" s="18" t="str">
        <f>IF(BITWISE_AND('Raw Data'!$L317, 256),"X","")</f>
        <v/>
      </c>
      <c r="U316" s="18" t="str">
        <f>IF(BITWISE_AND('Raw Data'!$L317, 64),"X","")</f>
        <v/>
      </c>
      <c r="V316" s="18" t="str">
        <f>IF(BITWISE_AND('Raw Data'!$L317, 2),"X","")</f>
        <v/>
      </c>
      <c r="W316" s="18" t="str">
        <f>IF(BITWISE_AND('Raw Data'!$L317, 1),"X","")</f>
        <v/>
      </c>
      <c r="X316" s="19" t="str">
        <f>IF(BITWISE_AND('Raw Data'!M317, 1),"Bat Voltage", IF(BITWISE_AND('Raw Data'!M317, 2), "Charge Current", IF(BITWISE_AND('Raw Data'!M317, 4),"Input Ilim", IF(BITWISE_AND('Raw Data'!M317, 8), "Input UV", "none"))))</f>
        <v>none</v>
      </c>
    </row>
    <row r="317" spans="1:24" x14ac:dyDescent="0.2">
      <c r="A317" s="15">
        <f>A316+TIME(0,0,'Raw Data'!B317)</f>
        <v>0</v>
      </c>
      <c r="B317" s="4">
        <f>'Raw Data'!C318*0.025</f>
        <v>0</v>
      </c>
      <c r="C317" s="4">
        <f t="shared" si="15"/>
        <v>0</v>
      </c>
      <c r="D317" s="4">
        <f>'Raw Data'!D318*0.025</f>
        <v>0</v>
      </c>
      <c r="E317" s="4">
        <f t="shared" si="16"/>
        <v>0</v>
      </c>
      <c r="F317" s="4">
        <f>'Raw Data'!E318*0.001648</f>
        <v>0</v>
      </c>
      <c r="G317" s="4">
        <f>'Raw Data'!F318*0.001648</f>
        <v>0</v>
      </c>
      <c r="H317" s="4">
        <f>'Raw Data'!G318*6*0.000128176</f>
        <v>0</v>
      </c>
      <c r="I317" s="4">
        <f>'Raw Data'!H318*0.000732435</f>
        <v>0</v>
      </c>
      <c r="J317" s="4">
        <f t="shared" si="14"/>
        <v>0</v>
      </c>
      <c r="K317" s="36">
        <f>IF(('Raw Data'!I318-16384)/32768&lt;0,0,('Raw Data'!I318-16384)/32768)</f>
        <v>0</v>
      </c>
      <c r="L317" s="4">
        <f>IF(('Raw Data'!J318-12010)/45.6=-263.377192982456,0,('Raw Data'!J318-12010)/45.6)</f>
        <v>0</v>
      </c>
      <c r="M317" s="16">
        <f>'Raw Data'!N318*2^-8</f>
        <v>0</v>
      </c>
      <c r="N317" s="16">
        <f>'Raw Data'!O318*2^-8</f>
        <v>0</v>
      </c>
      <c r="O317" s="17" t="str">
        <f>IF(BITWISE_AND('Raw Data'!$K318, 8192),"X","")</f>
        <v/>
      </c>
      <c r="P317" s="17" t="str">
        <f>IF(BITWISE_AND('Raw Data'!$K318, 2048),"X","")</f>
        <v/>
      </c>
      <c r="Q317" s="17" t="str">
        <f>IF(BITWISE_AND('Raw Data'!$K318, 64),"X","")</f>
        <v/>
      </c>
      <c r="R317" s="18" t="str">
        <f>IF(BITWISE_AND('Raw Data'!$L318, 1024),"X","")</f>
        <v/>
      </c>
      <c r="S317" s="18" t="str">
        <f>IF(BITWISE_AND('Raw Data'!$L318, 512),"X","")</f>
        <v/>
      </c>
      <c r="T317" s="18" t="str">
        <f>IF(BITWISE_AND('Raw Data'!$L318, 256),"X","")</f>
        <v/>
      </c>
      <c r="U317" s="18" t="str">
        <f>IF(BITWISE_AND('Raw Data'!$L318, 64),"X","")</f>
        <v/>
      </c>
      <c r="V317" s="18" t="str">
        <f>IF(BITWISE_AND('Raw Data'!$L318, 2),"X","")</f>
        <v/>
      </c>
      <c r="W317" s="18" t="str">
        <f>IF(BITWISE_AND('Raw Data'!$L318, 1),"X","")</f>
        <v/>
      </c>
      <c r="X317" s="19" t="str">
        <f>IF(BITWISE_AND('Raw Data'!M318, 1),"Bat Voltage", IF(BITWISE_AND('Raw Data'!M318, 2), "Charge Current", IF(BITWISE_AND('Raw Data'!M318, 4),"Input Ilim", IF(BITWISE_AND('Raw Data'!M318, 8), "Input UV", "none"))))</f>
        <v>none</v>
      </c>
    </row>
    <row r="318" spans="1:24" x14ac:dyDescent="0.2">
      <c r="A318" s="15">
        <f>A317+TIME(0,0,'Raw Data'!B318)</f>
        <v>0</v>
      </c>
      <c r="B318" s="4">
        <f>'Raw Data'!C319*0.025</f>
        <v>0</v>
      </c>
      <c r="C318" s="4">
        <f t="shared" si="15"/>
        <v>0</v>
      </c>
      <c r="D318" s="4">
        <f>'Raw Data'!D319*0.025</f>
        <v>0</v>
      </c>
      <c r="E318" s="4">
        <f t="shared" si="16"/>
        <v>0</v>
      </c>
      <c r="F318" s="4">
        <f>'Raw Data'!E319*0.001648</f>
        <v>0</v>
      </c>
      <c r="G318" s="4">
        <f>'Raw Data'!F319*0.001648</f>
        <v>0</v>
      </c>
      <c r="H318" s="4">
        <f>'Raw Data'!G319*6*0.000128176</f>
        <v>0</v>
      </c>
      <c r="I318" s="4">
        <f>'Raw Data'!H319*0.000732435</f>
        <v>0</v>
      </c>
      <c r="J318" s="4">
        <f t="shared" si="14"/>
        <v>0</v>
      </c>
      <c r="K318" s="36">
        <f>IF(('Raw Data'!I319-16384)/32768&lt;0,0,('Raw Data'!I319-16384)/32768)</f>
        <v>0</v>
      </c>
      <c r="L318" s="4">
        <f>IF(('Raw Data'!J319-12010)/45.6=-263.377192982456,0,('Raw Data'!J319-12010)/45.6)</f>
        <v>0</v>
      </c>
      <c r="M318" s="16">
        <f>'Raw Data'!N319*2^-8</f>
        <v>0</v>
      </c>
      <c r="N318" s="16">
        <f>'Raw Data'!O319*2^-8</f>
        <v>0</v>
      </c>
      <c r="O318" s="17" t="str">
        <f>IF(BITWISE_AND('Raw Data'!$K319, 8192),"X","")</f>
        <v/>
      </c>
      <c r="P318" s="17" t="str">
        <f>IF(BITWISE_AND('Raw Data'!$K319, 2048),"X","")</f>
        <v/>
      </c>
      <c r="Q318" s="17" t="str">
        <f>IF(BITWISE_AND('Raw Data'!$K319, 64),"X","")</f>
        <v/>
      </c>
      <c r="R318" s="18" t="str">
        <f>IF(BITWISE_AND('Raw Data'!$L319, 1024),"X","")</f>
        <v/>
      </c>
      <c r="S318" s="18" t="str">
        <f>IF(BITWISE_AND('Raw Data'!$L319, 512),"X","")</f>
        <v/>
      </c>
      <c r="T318" s="18" t="str">
        <f>IF(BITWISE_AND('Raw Data'!$L319, 256),"X","")</f>
        <v/>
      </c>
      <c r="U318" s="18" t="str">
        <f>IF(BITWISE_AND('Raw Data'!$L319, 64),"X","")</f>
        <v/>
      </c>
      <c r="V318" s="18" t="str">
        <f>IF(BITWISE_AND('Raw Data'!$L319, 2),"X","")</f>
        <v/>
      </c>
      <c r="W318" s="18" t="str">
        <f>IF(BITWISE_AND('Raw Data'!$L319, 1),"X","")</f>
        <v/>
      </c>
      <c r="X318" s="19" t="str">
        <f>IF(BITWISE_AND('Raw Data'!M319, 1),"Bat Voltage", IF(BITWISE_AND('Raw Data'!M319, 2), "Charge Current", IF(BITWISE_AND('Raw Data'!M319, 4),"Input Ilim", IF(BITWISE_AND('Raw Data'!M319, 8), "Input UV", "none"))))</f>
        <v>none</v>
      </c>
    </row>
    <row r="319" spans="1:24" x14ac:dyDescent="0.2">
      <c r="A319" s="15">
        <f>A318+TIME(0,0,'Raw Data'!B319)</f>
        <v>0</v>
      </c>
      <c r="B319" s="4">
        <f>'Raw Data'!C320*0.025</f>
        <v>0</v>
      </c>
      <c r="C319" s="4">
        <f t="shared" si="15"/>
        <v>0</v>
      </c>
      <c r="D319" s="4">
        <f>'Raw Data'!D320*0.025</f>
        <v>0</v>
      </c>
      <c r="E319" s="4">
        <f t="shared" si="16"/>
        <v>0</v>
      </c>
      <c r="F319" s="4">
        <f>'Raw Data'!E320*0.001648</f>
        <v>0</v>
      </c>
      <c r="G319" s="4">
        <f>'Raw Data'!F320*0.001648</f>
        <v>0</v>
      </c>
      <c r="H319" s="4">
        <f>'Raw Data'!G320*6*0.000128176</f>
        <v>0</v>
      </c>
      <c r="I319" s="4">
        <f>'Raw Data'!H320*0.000732435</f>
        <v>0</v>
      </c>
      <c r="J319" s="4">
        <f t="shared" si="14"/>
        <v>0</v>
      </c>
      <c r="K319" s="36">
        <f>IF(('Raw Data'!I320-16384)/32768&lt;0,0,('Raw Data'!I320-16384)/32768)</f>
        <v>0</v>
      </c>
      <c r="L319" s="4">
        <f>IF(('Raw Data'!J320-12010)/45.6=-263.377192982456,0,('Raw Data'!J320-12010)/45.6)</f>
        <v>0</v>
      </c>
      <c r="M319" s="16">
        <f>'Raw Data'!N320*2^-8</f>
        <v>0</v>
      </c>
      <c r="N319" s="16">
        <f>'Raw Data'!O320*2^-8</f>
        <v>0</v>
      </c>
      <c r="O319" s="17" t="str">
        <f>IF(BITWISE_AND('Raw Data'!$K320, 8192),"X","")</f>
        <v/>
      </c>
      <c r="P319" s="17" t="str">
        <f>IF(BITWISE_AND('Raw Data'!$K320, 2048),"X","")</f>
        <v/>
      </c>
      <c r="Q319" s="17" t="str">
        <f>IF(BITWISE_AND('Raw Data'!$K320, 64),"X","")</f>
        <v/>
      </c>
      <c r="R319" s="18" t="str">
        <f>IF(BITWISE_AND('Raw Data'!$L320, 1024),"X","")</f>
        <v/>
      </c>
      <c r="S319" s="18" t="str">
        <f>IF(BITWISE_AND('Raw Data'!$L320, 512),"X","")</f>
        <v/>
      </c>
      <c r="T319" s="18" t="str">
        <f>IF(BITWISE_AND('Raw Data'!$L320, 256),"X","")</f>
        <v/>
      </c>
      <c r="U319" s="18" t="str">
        <f>IF(BITWISE_AND('Raw Data'!$L320, 64),"X","")</f>
        <v/>
      </c>
      <c r="V319" s="18" t="str">
        <f>IF(BITWISE_AND('Raw Data'!$L320, 2),"X","")</f>
        <v/>
      </c>
      <c r="W319" s="18" t="str">
        <f>IF(BITWISE_AND('Raw Data'!$L320, 1),"X","")</f>
        <v/>
      </c>
      <c r="X319" s="19" t="str">
        <f>IF(BITWISE_AND('Raw Data'!M320, 1),"Bat Voltage", IF(BITWISE_AND('Raw Data'!M320, 2), "Charge Current", IF(BITWISE_AND('Raw Data'!M320, 4),"Input Ilim", IF(BITWISE_AND('Raw Data'!M320, 8), "Input UV", "none"))))</f>
        <v>none</v>
      </c>
    </row>
    <row r="320" spans="1:24" x14ac:dyDescent="0.2">
      <c r="A320" s="15">
        <f>A319+TIME(0,0,'Raw Data'!B320)</f>
        <v>0</v>
      </c>
      <c r="B320" s="4">
        <f>'Raw Data'!C321*0.025</f>
        <v>0</v>
      </c>
      <c r="C320" s="4">
        <f t="shared" si="15"/>
        <v>0</v>
      </c>
      <c r="D320" s="4">
        <f>'Raw Data'!D321*0.025</f>
        <v>0</v>
      </c>
      <c r="E320" s="4">
        <f t="shared" si="16"/>
        <v>0</v>
      </c>
      <c r="F320" s="4">
        <f>'Raw Data'!E321*0.001648</f>
        <v>0</v>
      </c>
      <c r="G320" s="4">
        <f>'Raw Data'!F321*0.001648</f>
        <v>0</v>
      </c>
      <c r="H320" s="4">
        <f>'Raw Data'!G321*6*0.000128176</f>
        <v>0</v>
      </c>
      <c r="I320" s="4">
        <f>'Raw Data'!H321*0.000732435</f>
        <v>0</v>
      </c>
      <c r="J320" s="4">
        <f t="shared" si="14"/>
        <v>0</v>
      </c>
      <c r="K320" s="36">
        <f>IF(('Raw Data'!I321-16384)/32768&lt;0,0,('Raw Data'!I321-16384)/32768)</f>
        <v>0</v>
      </c>
      <c r="L320" s="4">
        <f>IF(('Raw Data'!J321-12010)/45.6=-263.377192982456,0,('Raw Data'!J321-12010)/45.6)</f>
        <v>0</v>
      </c>
      <c r="M320" s="16">
        <f>'Raw Data'!N321*2^-8</f>
        <v>0</v>
      </c>
      <c r="N320" s="16">
        <f>'Raw Data'!O321*2^-8</f>
        <v>0</v>
      </c>
      <c r="O320" s="17" t="str">
        <f>IF(BITWISE_AND('Raw Data'!$K321, 8192),"X","")</f>
        <v/>
      </c>
      <c r="P320" s="17" t="str">
        <f>IF(BITWISE_AND('Raw Data'!$K321, 2048),"X","")</f>
        <v/>
      </c>
      <c r="Q320" s="17" t="str">
        <f>IF(BITWISE_AND('Raw Data'!$K321, 64),"X","")</f>
        <v/>
      </c>
      <c r="R320" s="18" t="str">
        <f>IF(BITWISE_AND('Raw Data'!$L321, 1024),"X","")</f>
        <v/>
      </c>
      <c r="S320" s="18" t="str">
        <f>IF(BITWISE_AND('Raw Data'!$L321, 512),"X","")</f>
        <v/>
      </c>
      <c r="T320" s="18" t="str">
        <f>IF(BITWISE_AND('Raw Data'!$L321, 256),"X","")</f>
        <v/>
      </c>
      <c r="U320" s="18" t="str">
        <f>IF(BITWISE_AND('Raw Data'!$L321, 64),"X","")</f>
        <v/>
      </c>
      <c r="V320" s="18" t="str">
        <f>IF(BITWISE_AND('Raw Data'!$L321, 2),"X","")</f>
        <v/>
      </c>
      <c r="W320" s="18" t="str">
        <f>IF(BITWISE_AND('Raw Data'!$L321, 1),"X","")</f>
        <v/>
      </c>
      <c r="X320" s="19" t="str">
        <f>IF(BITWISE_AND('Raw Data'!M321, 1),"Bat Voltage", IF(BITWISE_AND('Raw Data'!M321, 2), "Charge Current", IF(BITWISE_AND('Raw Data'!M321, 4),"Input Ilim", IF(BITWISE_AND('Raw Data'!M321, 8), "Input UV", "none"))))</f>
        <v>none</v>
      </c>
    </row>
    <row r="321" spans="1:24" x14ac:dyDescent="0.2">
      <c r="A321" s="15">
        <f>A320+TIME(0,0,'Raw Data'!B321)</f>
        <v>0</v>
      </c>
      <c r="B321" s="4">
        <f>'Raw Data'!C322*0.025</f>
        <v>0</v>
      </c>
      <c r="C321" s="4">
        <f t="shared" si="15"/>
        <v>0</v>
      </c>
      <c r="D321" s="4">
        <f>'Raw Data'!D322*0.025</f>
        <v>0</v>
      </c>
      <c r="E321" s="4">
        <f t="shared" si="16"/>
        <v>0</v>
      </c>
      <c r="F321" s="4">
        <f>'Raw Data'!E322*0.001648</f>
        <v>0</v>
      </c>
      <c r="G321" s="4">
        <f>'Raw Data'!F322*0.001648</f>
        <v>0</v>
      </c>
      <c r="H321" s="4">
        <f>'Raw Data'!G322*6*0.000128176</f>
        <v>0</v>
      </c>
      <c r="I321" s="4">
        <f>'Raw Data'!H322*0.000732435</f>
        <v>0</v>
      </c>
      <c r="J321" s="4">
        <f t="shared" si="14"/>
        <v>0</v>
      </c>
      <c r="K321" s="36">
        <f>IF(('Raw Data'!I322-16384)/32768&lt;0,0,('Raw Data'!I322-16384)/32768)</f>
        <v>0</v>
      </c>
      <c r="L321" s="4">
        <f>IF(('Raw Data'!J322-12010)/45.6=-263.377192982456,0,('Raw Data'!J322-12010)/45.6)</f>
        <v>0</v>
      </c>
      <c r="M321" s="16">
        <f>'Raw Data'!N322*2^-8</f>
        <v>0</v>
      </c>
      <c r="N321" s="16">
        <f>'Raw Data'!O322*2^-8</f>
        <v>0</v>
      </c>
      <c r="O321" s="17" t="str">
        <f>IF(BITWISE_AND('Raw Data'!$K322, 8192),"X","")</f>
        <v/>
      </c>
      <c r="P321" s="17" t="str">
        <f>IF(BITWISE_AND('Raw Data'!$K322, 2048),"X","")</f>
        <v/>
      </c>
      <c r="Q321" s="17" t="str">
        <f>IF(BITWISE_AND('Raw Data'!$K322, 64),"X","")</f>
        <v/>
      </c>
      <c r="R321" s="18" t="str">
        <f>IF(BITWISE_AND('Raw Data'!$L322, 1024),"X","")</f>
        <v/>
      </c>
      <c r="S321" s="18" t="str">
        <f>IF(BITWISE_AND('Raw Data'!$L322, 512),"X","")</f>
        <v/>
      </c>
      <c r="T321" s="18" t="str">
        <f>IF(BITWISE_AND('Raw Data'!$L322, 256),"X","")</f>
        <v/>
      </c>
      <c r="U321" s="18" t="str">
        <f>IF(BITWISE_AND('Raw Data'!$L322, 64),"X","")</f>
        <v/>
      </c>
      <c r="V321" s="18" t="str">
        <f>IF(BITWISE_AND('Raw Data'!$L322, 2),"X","")</f>
        <v/>
      </c>
      <c r="W321" s="18" t="str">
        <f>IF(BITWISE_AND('Raw Data'!$L322, 1),"X","")</f>
        <v/>
      </c>
      <c r="X321" s="19" t="str">
        <f>IF(BITWISE_AND('Raw Data'!M322, 1),"Bat Voltage", IF(BITWISE_AND('Raw Data'!M322, 2), "Charge Current", IF(BITWISE_AND('Raw Data'!M322, 4),"Input Ilim", IF(BITWISE_AND('Raw Data'!M322, 8), "Input UV", "none"))))</f>
        <v>none</v>
      </c>
    </row>
    <row r="322" spans="1:24" x14ac:dyDescent="0.2">
      <c r="A322" s="15">
        <f>A321+TIME(0,0,'Raw Data'!B322)</f>
        <v>0</v>
      </c>
      <c r="B322" s="4">
        <f>'Raw Data'!C323*0.025</f>
        <v>0</v>
      </c>
      <c r="C322" s="4">
        <f t="shared" si="15"/>
        <v>0</v>
      </c>
      <c r="D322" s="4">
        <f>'Raw Data'!D323*0.025</f>
        <v>0</v>
      </c>
      <c r="E322" s="4">
        <f t="shared" si="16"/>
        <v>0</v>
      </c>
      <c r="F322" s="4">
        <f>'Raw Data'!E323*0.001648</f>
        <v>0</v>
      </c>
      <c r="G322" s="4">
        <f>'Raw Data'!F323*0.001648</f>
        <v>0</v>
      </c>
      <c r="H322" s="4">
        <f>'Raw Data'!G323*6*0.000128176</f>
        <v>0</v>
      </c>
      <c r="I322" s="4">
        <f>'Raw Data'!H323*0.000732435</f>
        <v>0</v>
      </c>
      <c r="J322" s="4">
        <f t="shared" si="14"/>
        <v>0</v>
      </c>
      <c r="K322" s="36">
        <f>IF(('Raw Data'!I323-16384)/32768&lt;0,0,('Raw Data'!I323-16384)/32768)</f>
        <v>0</v>
      </c>
      <c r="L322" s="4">
        <f>IF(('Raw Data'!J323-12010)/45.6=-263.377192982456,0,('Raw Data'!J323-12010)/45.6)</f>
        <v>0</v>
      </c>
      <c r="M322" s="16">
        <f>'Raw Data'!N323*2^-8</f>
        <v>0</v>
      </c>
      <c r="N322" s="16">
        <f>'Raw Data'!O323*2^-8</f>
        <v>0</v>
      </c>
      <c r="O322" s="17" t="str">
        <f>IF(BITWISE_AND('Raw Data'!$K323, 8192),"X","")</f>
        <v/>
      </c>
      <c r="P322" s="17" t="str">
        <f>IF(BITWISE_AND('Raw Data'!$K323, 2048),"X","")</f>
        <v/>
      </c>
      <c r="Q322" s="17" t="str">
        <f>IF(BITWISE_AND('Raw Data'!$K323, 64),"X","")</f>
        <v/>
      </c>
      <c r="R322" s="18" t="str">
        <f>IF(BITWISE_AND('Raw Data'!$L323, 1024),"X","")</f>
        <v/>
      </c>
      <c r="S322" s="18" t="str">
        <f>IF(BITWISE_AND('Raw Data'!$L323, 512),"X","")</f>
        <v/>
      </c>
      <c r="T322" s="18" t="str">
        <f>IF(BITWISE_AND('Raw Data'!$L323, 256),"X","")</f>
        <v/>
      </c>
      <c r="U322" s="18" t="str">
        <f>IF(BITWISE_AND('Raw Data'!$L323, 64),"X","")</f>
        <v/>
      </c>
      <c r="V322" s="18" t="str">
        <f>IF(BITWISE_AND('Raw Data'!$L323, 2),"X","")</f>
        <v/>
      </c>
      <c r="W322" s="18" t="str">
        <f>IF(BITWISE_AND('Raw Data'!$L323, 1),"X","")</f>
        <v/>
      </c>
      <c r="X322" s="19" t="str">
        <f>IF(BITWISE_AND('Raw Data'!M323, 1),"Bat Voltage", IF(BITWISE_AND('Raw Data'!M323, 2), "Charge Current", IF(BITWISE_AND('Raw Data'!M323, 4),"Input Ilim", IF(BITWISE_AND('Raw Data'!M323, 8), "Input UV", "none"))))</f>
        <v>none</v>
      </c>
    </row>
    <row r="323" spans="1:24" x14ac:dyDescent="0.2">
      <c r="A323" s="15">
        <f>A322+TIME(0,0,'Raw Data'!B323)</f>
        <v>0</v>
      </c>
      <c r="B323" s="4">
        <f>'Raw Data'!C324*0.025</f>
        <v>0</v>
      </c>
      <c r="C323" s="4">
        <f t="shared" si="15"/>
        <v>0</v>
      </c>
      <c r="D323" s="4">
        <f>'Raw Data'!D324*0.025</f>
        <v>0</v>
      </c>
      <c r="E323" s="4">
        <f t="shared" si="16"/>
        <v>0</v>
      </c>
      <c r="F323" s="4">
        <f>'Raw Data'!E324*0.001648</f>
        <v>0</v>
      </c>
      <c r="G323" s="4">
        <f>'Raw Data'!F324*0.001648</f>
        <v>0</v>
      </c>
      <c r="H323" s="4">
        <f>'Raw Data'!G324*6*0.000128176</f>
        <v>0</v>
      </c>
      <c r="I323" s="4">
        <f>'Raw Data'!H324*0.000732435</f>
        <v>0</v>
      </c>
      <c r="J323" s="4">
        <f t="shared" ref="J323:J386" si="17">H323*I323</f>
        <v>0</v>
      </c>
      <c r="K323" s="36">
        <f>IF(('Raw Data'!I324-16384)/32768&lt;0,0,('Raw Data'!I324-16384)/32768)</f>
        <v>0</v>
      </c>
      <c r="L323" s="4">
        <f>IF(('Raw Data'!J324-12010)/45.6=-263.377192982456,0,('Raw Data'!J324-12010)/45.6)</f>
        <v>0</v>
      </c>
      <c r="M323" s="16">
        <f>'Raw Data'!N324*2^-8</f>
        <v>0</v>
      </c>
      <c r="N323" s="16">
        <f>'Raw Data'!O324*2^-8</f>
        <v>0</v>
      </c>
      <c r="O323" s="17" t="str">
        <f>IF(BITWISE_AND('Raw Data'!$K324, 8192),"X","")</f>
        <v/>
      </c>
      <c r="P323" s="17" t="str">
        <f>IF(BITWISE_AND('Raw Data'!$K324, 2048),"X","")</f>
        <v/>
      </c>
      <c r="Q323" s="17" t="str">
        <f>IF(BITWISE_AND('Raw Data'!$K324, 64),"X","")</f>
        <v/>
      </c>
      <c r="R323" s="18" t="str">
        <f>IF(BITWISE_AND('Raw Data'!$L324, 1024),"X","")</f>
        <v/>
      </c>
      <c r="S323" s="18" t="str">
        <f>IF(BITWISE_AND('Raw Data'!$L324, 512),"X","")</f>
        <v/>
      </c>
      <c r="T323" s="18" t="str">
        <f>IF(BITWISE_AND('Raw Data'!$L324, 256),"X","")</f>
        <v/>
      </c>
      <c r="U323" s="18" t="str">
        <f>IF(BITWISE_AND('Raw Data'!$L324, 64),"X","")</f>
        <v/>
      </c>
      <c r="V323" s="18" t="str">
        <f>IF(BITWISE_AND('Raw Data'!$L324, 2),"X","")</f>
        <v/>
      </c>
      <c r="W323" s="18" t="str">
        <f>IF(BITWISE_AND('Raw Data'!$L324, 1),"X","")</f>
        <v/>
      </c>
      <c r="X323" s="19" t="str">
        <f>IF(BITWISE_AND('Raw Data'!M324, 1),"Bat Voltage", IF(BITWISE_AND('Raw Data'!M324, 2), "Charge Current", IF(BITWISE_AND('Raw Data'!M324, 4),"Input Ilim", IF(BITWISE_AND('Raw Data'!M324, 8), "Input UV", "none"))))</f>
        <v>none</v>
      </c>
    </row>
    <row r="324" spans="1:24" x14ac:dyDescent="0.2">
      <c r="A324" s="15">
        <f>A323+TIME(0,0,'Raw Data'!B324)</f>
        <v>0</v>
      </c>
      <c r="B324" s="4">
        <f>'Raw Data'!C325*0.025</f>
        <v>0</v>
      </c>
      <c r="C324" s="4">
        <f t="shared" si="15"/>
        <v>0</v>
      </c>
      <c r="D324" s="4">
        <f>'Raw Data'!D325*0.025</f>
        <v>0</v>
      </c>
      <c r="E324" s="4">
        <f t="shared" si="16"/>
        <v>0</v>
      </c>
      <c r="F324" s="4">
        <f>'Raw Data'!E325*0.001648</f>
        <v>0</v>
      </c>
      <c r="G324" s="4">
        <f>'Raw Data'!F325*0.001648</f>
        <v>0</v>
      </c>
      <c r="H324" s="4">
        <f>'Raw Data'!G325*6*0.000128176</f>
        <v>0</v>
      </c>
      <c r="I324" s="4">
        <f>'Raw Data'!H325*0.000732435</f>
        <v>0</v>
      </c>
      <c r="J324" s="4">
        <f t="shared" si="17"/>
        <v>0</v>
      </c>
      <c r="K324" s="36">
        <f>IF(('Raw Data'!I325-16384)/32768&lt;0,0,('Raw Data'!I325-16384)/32768)</f>
        <v>0</v>
      </c>
      <c r="L324" s="4">
        <f>IF(('Raw Data'!J325-12010)/45.6=-263.377192982456,0,('Raw Data'!J325-12010)/45.6)</f>
        <v>0</v>
      </c>
      <c r="M324" s="16">
        <f>'Raw Data'!N325*2^-8</f>
        <v>0</v>
      </c>
      <c r="N324" s="16">
        <f>'Raw Data'!O325*2^-8</f>
        <v>0</v>
      </c>
      <c r="O324" s="17" t="str">
        <f>IF(BITWISE_AND('Raw Data'!$K325, 8192),"X","")</f>
        <v/>
      </c>
      <c r="P324" s="17" t="str">
        <f>IF(BITWISE_AND('Raw Data'!$K325, 2048),"X","")</f>
        <v/>
      </c>
      <c r="Q324" s="17" t="str">
        <f>IF(BITWISE_AND('Raw Data'!$K325, 64),"X","")</f>
        <v/>
      </c>
      <c r="R324" s="18" t="str">
        <f>IF(BITWISE_AND('Raw Data'!$L325, 1024),"X","")</f>
        <v/>
      </c>
      <c r="S324" s="18" t="str">
        <f>IF(BITWISE_AND('Raw Data'!$L325, 512),"X","")</f>
        <v/>
      </c>
      <c r="T324" s="18" t="str">
        <f>IF(BITWISE_AND('Raw Data'!$L325, 256),"X","")</f>
        <v/>
      </c>
      <c r="U324" s="18" t="str">
        <f>IF(BITWISE_AND('Raw Data'!$L325, 64),"X","")</f>
        <v/>
      </c>
      <c r="V324" s="18" t="str">
        <f>IF(BITWISE_AND('Raw Data'!$L325, 2),"X","")</f>
        <v/>
      </c>
      <c r="W324" s="18" t="str">
        <f>IF(BITWISE_AND('Raw Data'!$L325, 1),"X","")</f>
        <v/>
      </c>
      <c r="X324" s="19" t="str">
        <f>IF(BITWISE_AND('Raw Data'!M325, 1),"Bat Voltage", IF(BITWISE_AND('Raw Data'!M325, 2), "Charge Current", IF(BITWISE_AND('Raw Data'!M325, 4),"Input Ilim", IF(BITWISE_AND('Raw Data'!M325, 8), "Input UV", "none"))))</f>
        <v>none</v>
      </c>
    </row>
    <row r="325" spans="1:24" x14ac:dyDescent="0.2">
      <c r="A325" s="15">
        <f>A324+TIME(0,0,'Raw Data'!B325)</f>
        <v>0</v>
      </c>
      <c r="B325" s="4">
        <f>'Raw Data'!C326*0.025</f>
        <v>0</v>
      </c>
      <c r="C325" s="4">
        <f t="shared" si="15"/>
        <v>0</v>
      </c>
      <c r="D325" s="4">
        <f>'Raw Data'!D326*0.025</f>
        <v>0</v>
      </c>
      <c r="E325" s="4">
        <f t="shared" si="16"/>
        <v>0</v>
      </c>
      <c r="F325" s="4">
        <f>'Raw Data'!E326*0.001648</f>
        <v>0</v>
      </c>
      <c r="G325" s="4">
        <f>'Raw Data'!F326*0.001648</f>
        <v>0</v>
      </c>
      <c r="H325" s="4">
        <f>'Raw Data'!G326*6*0.000128176</f>
        <v>0</v>
      </c>
      <c r="I325" s="4">
        <f>'Raw Data'!H326*0.000732435</f>
        <v>0</v>
      </c>
      <c r="J325" s="4">
        <f t="shared" si="17"/>
        <v>0</v>
      </c>
      <c r="K325" s="36">
        <f>IF(('Raw Data'!I326-16384)/32768&lt;0,0,('Raw Data'!I326-16384)/32768)</f>
        <v>0</v>
      </c>
      <c r="L325" s="4">
        <f>IF(('Raw Data'!J326-12010)/45.6=-263.377192982456,0,('Raw Data'!J326-12010)/45.6)</f>
        <v>0</v>
      </c>
      <c r="M325" s="16">
        <f>'Raw Data'!N326*2^-8</f>
        <v>0</v>
      </c>
      <c r="N325" s="16">
        <f>'Raw Data'!O326*2^-8</f>
        <v>0</v>
      </c>
      <c r="O325" s="17" t="str">
        <f>IF(BITWISE_AND('Raw Data'!$K326, 8192),"X","")</f>
        <v/>
      </c>
      <c r="P325" s="17" t="str">
        <f>IF(BITWISE_AND('Raw Data'!$K326, 2048),"X","")</f>
        <v/>
      </c>
      <c r="Q325" s="17" t="str">
        <f>IF(BITWISE_AND('Raw Data'!$K326, 64),"X","")</f>
        <v/>
      </c>
      <c r="R325" s="18" t="str">
        <f>IF(BITWISE_AND('Raw Data'!$L326, 1024),"X","")</f>
        <v/>
      </c>
      <c r="S325" s="18" t="str">
        <f>IF(BITWISE_AND('Raw Data'!$L326, 512),"X","")</f>
        <v/>
      </c>
      <c r="T325" s="18" t="str">
        <f>IF(BITWISE_AND('Raw Data'!$L326, 256),"X","")</f>
        <v/>
      </c>
      <c r="U325" s="18" t="str">
        <f>IF(BITWISE_AND('Raw Data'!$L326, 64),"X","")</f>
        <v/>
      </c>
      <c r="V325" s="18" t="str">
        <f>IF(BITWISE_AND('Raw Data'!$L326, 2),"X","")</f>
        <v/>
      </c>
      <c r="W325" s="18" t="str">
        <f>IF(BITWISE_AND('Raw Data'!$L326, 1),"X","")</f>
        <v/>
      </c>
      <c r="X325" s="19" t="str">
        <f>IF(BITWISE_AND('Raw Data'!M326, 1),"Bat Voltage", IF(BITWISE_AND('Raw Data'!M326, 2), "Charge Current", IF(BITWISE_AND('Raw Data'!M326, 4),"Input Ilim", IF(BITWISE_AND('Raw Data'!M326, 8), "Input UV", "none"))))</f>
        <v>none</v>
      </c>
    </row>
    <row r="326" spans="1:24" x14ac:dyDescent="0.2">
      <c r="A326" s="15">
        <f>A325+TIME(0,0,'Raw Data'!B326)</f>
        <v>0</v>
      </c>
      <c r="B326" s="4">
        <f>'Raw Data'!C327*0.025</f>
        <v>0</v>
      </c>
      <c r="C326" s="4">
        <f t="shared" si="15"/>
        <v>0</v>
      </c>
      <c r="D326" s="4">
        <f>'Raw Data'!D327*0.025</f>
        <v>0</v>
      </c>
      <c r="E326" s="4">
        <f t="shared" si="16"/>
        <v>0</v>
      </c>
      <c r="F326" s="4">
        <f>'Raw Data'!E327*0.001648</f>
        <v>0</v>
      </c>
      <c r="G326" s="4">
        <f>'Raw Data'!F327*0.001648</f>
        <v>0</v>
      </c>
      <c r="H326" s="4">
        <f>'Raw Data'!G327*6*0.000128176</f>
        <v>0</v>
      </c>
      <c r="I326" s="4">
        <f>'Raw Data'!H327*0.000732435</f>
        <v>0</v>
      </c>
      <c r="J326" s="4">
        <f t="shared" si="17"/>
        <v>0</v>
      </c>
      <c r="K326" s="36">
        <f>IF(('Raw Data'!I327-16384)/32768&lt;0,0,('Raw Data'!I327-16384)/32768)</f>
        <v>0</v>
      </c>
      <c r="L326" s="4">
        <f>IF(('Raw Data'!J327-12010)/45.6=-263.377192982456,0,('Raw Data'!J327-12010)/45.6)</f>
        <v>0</v>
      </c>
      <c r="M326" s="16">
        <f>'Raw Data'!N327*2^-8</f>
        <v>0</v>
      </c>
      <c r="N326" s="16">
        <f>'Raw Data'!O327*2^-8</f>
        <v>0</v>
      </c>
      <c r="O326" s="17" t="str">
        <f>IF(BITWISE_AND('Raw Data'!$K327, 8192),"X","")</f>
        <v/>
      </c>
      <c r="P326" s="17" t="str">
        <f>IF(BITWISE_AND('Raw Data'!$K327, 2048),"X","")</f>
        <v/>
      </c>
      <c r="Q326" s="17" t="str">
        <f>IF(BITWISE_AND('Raw Data'!$K327, 64),"X","")</f>
        <v/>
      </c>
      <c r="R326" s="18" t="str">
        <f>IF(BITWISE_AND('Raw Data'!$L327, 1024),"X","")</f>
        <v/>
      </c>
      <c r="S326" s="18" t="str">
        <f>IF(BITWISE_AND('Raw Data'!$L327, 512),"X","")</f>
        <v/>
      </c>
      <c r="T326" s="18" t="str">
        <f>IF(BITWISE_AND('Raw Data'!$L327, 256),"X","")</f>
        <v/>
      </c>
      <c r="U326" s="18" t="str">
        <f>IF(BITWISE_AND('Raw Data'!$L327, 64),"X","")</f>
        <v/>
      </c>
      <c r="V326" s="18" t="str">
        <f>IF(BITWISE_AND('Raw Data'!$L327, 2),"X","")</f>
        <v/>
      </c>
      <c r="W326" s="18" t="str">
        <f>IF(BITWISE_AND('Raw Data'!$L327, 1),"X","")</f>
        <v/>
      </c>
      <c r="X326" s="19" t="str">
        <f>IF(BITWISE_AND('Raw Data'!M327, 1),"Bat Voltage", IF(BITWISE_AND('Raw Data'!M327, 2), "Charge Current", IF(BITWISE_AND('Raw Data'!M327, 4),"Input Ilim", IF(BITWISE_AND('Raw Data'!M327, 8), "Input UV", "none"))))</f>
        <v>none</v>
      </c>
    </row>
    <row r="327" spans="1:24" x14ac:dyDescent="0.2">
      <c r="A327" s="15">
        <f>A326+TIME(0,0,'Raw Data'!B327)</f>
        <v>0</v>
      </c>
      <c r="B327" s="4">
        <f>'Raw Data'!C328*0.025</f>
        <v>0</v>
      </c>
      <c r="C327" s="4">
        <f t="shared" si="15"/>
        <v>0</v>
      </c>
      <c r="D327" s="4">
        <f>'Raw Data'!D328*0.025</f>
        <v>0</v>
      </c>
      <c r="E327" s="4">
        <f t="shared" si="16"/>
        <v>0</v>
      </c>
      <c r="F327" s="4">
        <f>'Raw Data'!E328*0.001648</f>
        <v>0</v>
      </c>
      <c r="G327" s="4">
        <f>'Raw Data'!F328*0.001648</f>
        <v>0</v>
      </c>
      <c r="H327" s="4">
        <f>'Raw Data'!G328*6*0.000128176</f>
        <v>0</v>
      </c>
      <c r="I327" s="4">
        <f>'Raw Data'!H328*0.000732435</f>
        <v>0</v>
      </c>
      <c r="J327" s="4">
        <f t="shared" si="17"/>
        <v>0</v>
      </c>
      <c r="K327" s="36">
        <f>IF(('Raw Data'!I328-16384)/32768&lt;0,0,('Raw Data'!I328-16384)/32768)</f>
        <v>0</v>
      </c>
      <c r="L327" s="4">
        <f>IF(('Raw Data'!J328-12010)/45.6=-263.377192982456,0,('Raw Data'!J328-12010)/45.6)</f>
        <v>0</v>
      </c>
      <c r="M327" s="16">
        <f>'Raw Data'!N328*2^-8</f>
        <v>0</v>
      </c>
      <c r="N327" s="16">
        <f>'Raw Data'!O328*2^-8</f>
        <v>0</v>
      </c>
      <c r="O327" s="17" t="str">
        <f>IF(BITWISE_AND('Raw Data'!$K328, 8192),"X","")</f>
        <v/>
      </c>
      <c r="P327" s="17" t="str">
        <f>IF(BITWISE_AND('Raw Data'!$K328, 2048),"X","")</f>
        <v/>
      </c>
      <c r="Q327" s="17" t="str">
        <f>IF(BITWISE_AND('Raw Data'!$K328, 64),"X","")</f>
        <v/>
      </c>
      <c r="R327" s="18" t="str">
        <f>IF(BITWISE_AND('Raw Data'!$L328, 1024),"X","")</f>
        <v/>
      </c>
      <c r="S327" s="18" t="str">
        <f>IF(BITWISE_AND('Raw Data'!$L328, 512),"X","")</f>
        <v/>
      </c>
      <c r="T327" s="18" t="str">
        <f>IF(BITWISE_AND('Raw Data'!$L328, 256),"X","")</f>
        <v/>
      </c>
      <c r="U327" s="18" t="str">
        <f>IF(BITWISE_AND('Raw Data'!$L328, 64),"X","")</f>
        <v/>
      </c>
      <c r="V327" s="18" t="str">
        <f>IF(BITWISE_AND('Raw Data'!$L328, 2),"X","")</f>
        <v/>
      </c>
      <c r="W327" s="18" t="str">
        <f>IF(BITWISE_AND('Raw Data'!$L328, 1),"X","")</f>
        <v/>
      </c>
      <c r="X327" s="19" t="str">
        <f>IF(BITWISE_AND('Raw Data'!M328, 1),"Bat Voltage", IF(BITWISE_AND('Raw Data'!M328, 2), "Charge Current", IF(BITWISE_AND('Raw Data'!M328, 4),"Input Ilim", IF(BITWISE_AND('Raw Data'!M328, 8), "Input UV", "none"))))</f>
        <v>none</v>
      </c>
    </row>
    <row r="328" spans="1:24" x14ac:dyDescent="0.2">
      <c r="A328" s="15">
        <f>A327+TIME(0,0,'Raw Data'!B328)</f>
        <v>0</v>
      </c>
      <c r="B328" s="4">
        <f>'Raw Data'!C329*0.025</f>
        <v>0</v>
      </c>
      <c r="C328" s="4">
        <f t="shared" si="15"/>
        <v>0</v>
      </c>
      <c r="D328" s="4">
        <f>'Raw Data'!D329*0.025</f>
        <v>0</v>
      </c>
      <c r="E328" s="4">
        <f t="shared" si="16"/>
        <v>0</v>
      </c>
      <c r="F328" s="4">
        <f>'Raw Data'!E329*0.001648</f>
        <v>0</v>
      </c>
      <c r="G328" s="4">
        <f>'Raw Data'!F329*0.001648</f>
        <v>0</v>
      </c>
      <c r="H328" s="4">
        <f>'Raw Data'!G329*6*0.000128176</f>
        <v>0</v>
      </c>
      <c r="I328" s="4">
        <f>'Raw Data'!H329*0.000732435</f>
        <v>0</v>
      </c>
      <c r="J328" s="4">
        <f t="shared" si="17"/>
        <v>0</v>
      </c>
      <c r="K328" s="36">
        <f>IF(('Raw Data'!I329-16384)/32768&lt;0,0,('Raw Data'!I329-16384)/32768)</f>
        <v>0</v>
      </c>
      <c r="L328" s="4">
        <f>IF(('Raw Data'!J329-12010)/45.6=-263.377192982456,0,('Raw Data'!J329-12010)/45.6)</f>
        <v>0</v>
      </c>
      <c r="M328" s="16">
        <f>'Raw Data'!N329*2^-8</f>
        <v>0</v>
      </c>
      <c r="N328" s="16">
        <f>'Raw Data'!O329*2^-8</f>
        <v>0</v>
      </c>
      <c r="O328" s="17" t="str">
        <f>IF(BITWISE_AND('Raw Data'!$K329, 8192),"X","")</f>
        <v/>
      </c>
      <c r="P328" s="17" t="str">
        <f>IF(BITWISE_AND('Raw Data'!$K329, 2048),"X","")</f>
        <v/>
      </c>
      <c r="Q328" s="17" t="str">
        <f>IF(BITWISE_AND('Raw Data'!$K329, 64),"X","")</f>
        <v/>
      </c>
      <c r="R328" s="18" t="str">
        <f>IF(BITWISE_AND('Raw Data'!$L329, 1024),"X","")</f>
        <v/>
      </c>
      <c r="S328" s="18" t="str">
        <f>IF(BITWISE_AND('Raw Data'!$L329, 512),"X","")</f>
        <v/>
      </c>
      <c r="T328" s="18" t="str">
        <f>IF(BITWISE_AND('Raw Data'!$L329, 256),"X","")</f>
        <v/>
      </c>
      <c r="U328" s="18" t="str">
        <f>IF(BITWISE_AND('Raw Data'!$L329, 64),"X","")</f>
        <v/>
      </c>
      <c r="V328" s="18" t="str">
        <f>IF(BITWISE_AND('Raw Data'!$L329, 2),"X","")</f>
        <v/>
      </c>
      <c r="W328" s="18" t="str">
        <f>IF(BITWISE_AND('Raw Data'!$L329, 1),"X","")</f>
        <v/>
      </c>
      <c r="X328" s="19" t="str">
        <f>IF(BITWISE_AND('Raw Data'!M329, 1),"Bat Voltage", IF(BITWISE_AND('Raw Data'!M329, 2), "Charge Current", IF(BITWISE_AND('Raw Data'!M329, 4),"Input Ilim", IF(BITWISE_AND('Raw Data'!M329, 8), "Input UV", "none"))))</f>
        <v>none</v>
      </c>
    </row>
    <row r="329" spans="1:24" x14ac:dyDescent="0.2">
      <c r="A329" s="15">
        <f>A328+TIME(0,0,'Raw Data'!B329)</f>
        <v>0</v>
      </c>
      <c r="B329" s="4">
        <f>'Raw Data'!C330*0.025</f>
        <v>0</v>
      </c>
      <c r="C329" s="4">
        <f t="shared" si="15"/>
        <v>0</v>
      </c>
      <c r="D329" s="4">
        <f>'Raw Data'!D330*0.025</f>
        <v>0</v>
      </c>
      <c r="E329" s="4">
        <f t="shared" si="16"/>
        <v>0</v>
      </c>
      <c r="F329" s="4">
        <f>'Raw Data'!E330*0.001648</f>
        <v>0</v>
      </c>
      <c r="G329" s="4">
        <f>'Raw Data'!F330*0.001648</f>
        <v>0</v>
      </c>
      <c r="H329" s="4">
        <f>'Raw Data'!G330*6*0.000128176</f>
        <v>0</v>
      </c>
      <c r="I329" s="4">
        <f>'Raw Data'!H330*0.000732435</f>
        <v>0</v>
      </c>
      <c r="J329" s="4">
        <f t="shared" si="17"/>
        <v>0</v>
      </c>
      <c r="K329" s="36">
        <f>IF(('Raw Data'!I330-16384)/32768&lt;0,0,('Raw Data'!I330-16384)/32768)</f>
        <v>0</v>
      </c>
      <c r="L329" s="4">
        <f>IF(('Raw Data'!J330-12010)/45.6=-263.377192982456,0,('Raw Data'!J330-12010)/45.6)</f>
        <v>0</v>
      </c>
      <c r="M329" s="16">
        <f>'Raw Data'!N330*2^-8</f>
        <v>0</v>
      </c>
      <c r="N329" s="16">
        <f>'Raw Data'!O330*2^-8</f>
        <v>0</v>
      </c>
      <c r="O329" s="17" t="str">
        <f>IF(BITWISE_AND('Raw Data'!$K330, 8192),"X","")</f>
        <v/>
      </c>
      <c r="P329" s="17" t="str">
        <f>IF(BITWISE_AND('Raw Data'!$K330, 2048),"X","")</f>
        <v/>
      </c>
      <c r="Q329" s="17" t="str">
        <f>IF(BITWISE_AND('Raw Data'!$K330, 64),"X","")</f>
        <v/>
      </c>
      <c r="R329" s="18" t="str">
        <f>IF(BITWISE_AND('Raw Data'!$L330, 1024),"X","")</f>
        <v/>
      </c>
      <c r="S329" s="18" t="str">
        <f>IF(BITWISE_AND('Raw Data'!$L330, 512),"X","")</f>
        <v/>
      </c>
      <c r="T329" s="18" t="str">
        <f>IF(BITWISE_AND('Raw Data'!$L330, 256),"X","")</f>
        <v/>
      </c>
      <c r="U329" s="18" t="str">
        <f>IF(BITWISE_AND('Raw Data'!$L330, 64),"X","")</f>
        <v/>
      </c>
      <c r="V329" s="18" t="str">
        <f>IF(BITWISE_AND('Raw Data'!$L330, 2),"X","")</f>
        <v/>
      </c>
      <c r="W329" s="18" t="str">
        <f>IF(BITWISE_AND('Raw Data'!$L330, 1),"X","")</f>
        <v/>
      </c>
      <c r="X329" s="19" t="str">
        <f>IF(BITWISE_AND('Raw Data'!M330, 1),"Bat Voltage", IF(BITWISE_AND('Raw Data'!M330, 2), "Charge Current", IF(BITWISE_AND('Raw Data'!M330, 4),"Input Ilim", IF(BITWISE_AND('Raw Data'!M330, 8), "Input UV", "none"))))</f>
        <v>none</v>
      </c>
    </row>
    <row r="330" spans="1:24" x14ac:dyDescent="0.2">
      <c r="A330" s="15">
        <f>A329+TIME(0,0,'Raw Data'!B330)</f>
        <v>0</v>
      </c>
      <c r="B330" s="4">
        <f>'Raw Data'!C331*0.025</f>
        <v>0</v>
      </c>
      <c r="C330" s="4">
        <f t="shared" si="15"/>
        <v>0</v>
      </c>
      <c r="D330" s="4">
        <f>'Raw Data'!D331*0.025</f>
        <v>0</v>
      </c>
      <c r="E330" s="4">
        <f t="shared" si="16"/>
        <v>0</v>
      </c>
      <c r="F330" s="4">
        <f>'Raw Data'!E331*0.001648</f>
        <v>0</v>
      </c>
      <c r="G330" s="4">
        <f>'Raw Data'!F331*0.001648</f>
        <v>0</v>
      </c>
      <c r="H330" s="4">
        <f>'Raw Data'!G331*6*0.000128176</f>
        <v>0</v>
      </c>
      <c r="I330" s="4">
        <f>'Raw Data'!H331*0.000732435</f>
        <v>0</v>
      </c>
      <c r="J330" s="4">
        <f t="shared" si="17"/>
        <v>0</v>
      </c>
      <c r="K330" s="36">
        <f>IF(('Raw Data'!I331-16384)/32768&lt;0,0,('Raw Data'!I331-16384)/32768)</f>
        <v>0</v>
      </c>
      <c r="L330" s="4">
        <f>IF(('Raw Data'!J331-12010)/45.6=-263.377192982456,0,('Raw Data'!J331-12010)/45.6)</f>
        <v>0</v>
      </c>
      <c r="M330" s="16">
        <f>'Raw Data'!N331*2^-8</f>
        <v>0</v>
      </c>
      <c r="N330" s="16">
        <f>'Raw Data'!O331*2^-8</f>
        <v>0</v>
      </c>
      <c r="O330" s="17" t="str">
        <f>IF(BITWISE_AND('Raw Data'!$K331, 8192),"X","")</f>
        <v/>
      </c>
      <c r="P330" s="17" t="str">
        <f>IF(BITWISE_AND('Raw Data'!$K331, 2048),"X","")</f>
        <v/>
      </c>
      <c r="Q330" s="17" t="str">
        <f>IF(BITWISE_AND('Raw Data'!$K331, 64),"X","")</f>
        <v/>
      </c>
      <c r="R330" s="18" t="str">
        <f>IF(BITWISE_AND('Raw Data'!$L331, 1024),"X","")</f>
        <v/>
      </c>
      <c r="S330" s="18" t="str">
        <f>IF(BITWISE_AND('Raw Data'!$L331, 512),"X","")</f>
        <v/>
      </c>
      <c r="T330" s="18" t="str">
        <f>IF(BITWISE_AND('Raw Data'!$L331, 256),"X","")</f>
        <v/>
      </c>
      <c r="U330" s="18" t="str">
        <f>IF(BITWISE_AND('Raw Data'!$L331, 64),"X","")</f>
        <v/>
      </c>
      <c r="V330" s="18" t="str">
        <f>IF(BITWISE_AND('Raw Data'!$L331, 2),"X","")</f>
        <v/>
      </c>
      <c r="W330" s="18" t="str">
        <f>IF(BITWISE_AND('Raw Data'!$L331, 1),"X","")</f>
        <v/>
      </c>
      <c r="X330" s="19" t="str">
        <f>IF(BITWISE_AND('Raw Data'!M331, 1),"Bat Voltage", IF(BITWISE_AND('Raw Data'!M331, 2), "Charge Current", IF(BITWISE_AND('Raw Data'!M331, 4),"Input Ilim", IF(BITWISE_AND('Raw Data'!M331, 8), "Input UV", "none"))))</f>
        <v>none</v>
      </c>
    </row>
    <row r="331" spans="1:24" x14ac:dyDescent="0.2">
      <c r="A331" s="15">
        <f>A330+TIME(0,0,'Raw Data'!B331)</f>
        <v>0</v>
      </c>
      <c r="B331" s="4">
        <f>'Raw Data'!C332*0.025</f>
        <v>0</v>
      </c>
      <c r="C331" s="4">
        <f t="shared" si="15"/>
        <v>0</v>
      </c>
      <c r="D331" s="4">
        <f>'Raw Data'!D332*0.025</f>
        <v>0</v>
      </c>
      <c r="E331" s="4">
        <f t="shared" si="16"/>
        <v>0</v>
      </c>
      <c r="F331" s="4">
        <f>'Raw Data'!E332*0.001648</f>
        <v>0</v>
      </c>
      <c r="G331" s="4">
        <f>'Raw Data'!F332*0.001648</f>
        <v>0</v>
      </c>
      <c r="H331" s="4">
        <f>'Raw Data'!G332*6*0.000128176</f>
        <v>0</v>
      </c>
      <c r="I331" s="4">
        <f>'Raw Data'!H332*0.000732435</f>
        <v>0</v>
      </c>
      <c r="J331" s="4">
        <f t="shared" si="17"/>
        <v>0</v>
      </c>
      <c r="K331" s="36">
        <f>IF(('Raw Data'!I332-16384)/32768&lt;0,0,('Raw Data'!I332-16384)/32768)</f>
        <v>0</v>
      </c>
      <c r="L331" s="4">
        <f>IF(('Raw Data'!J332-12010)/45.6=-263.377192982456,0,('Raw Data'!J332-12010)/45.6)</f>
        <v>0</v>
      </c>
      <c r="M331" s="16">
        <f>'Raw Data'!N332*2^-8</f>
        <v>0</v>
      </c>
      <c r="N331" s="16">
        <f>'Raw Data'!O332*2^-8</f>
        <v>0</v>
      </c>
      <c r="O331" s="17" t="str">
        <f>IF(BITWISE_AND('Raw Data'!$K332, 8192),"X","")</f>
        <v/>
      </c>
      <c r="P331" s="17" t="str">
        <f>IF(BITWISE_AND('Raw Data'!$K332, 2048),"X","")</f>
        <v/>
      </c>
      <c r="Q331" s="17" t="str">
        <f>IF(BITWISE_AND('Raw Data'!$K332, 64),"X","")</f>
        <v/>
      </c>
      <c r="R331" s="18" t="str">
        <f>IF(BITWISE_AND('Raw Data'!$L332, 1024),"X","")</f>
        <v/>
      </c>
      <c r="S331" s="18" t="str">
        <f>IF(BITWISE_AND('Raw Data'!$L332, 512),"X","")</f>
        <v/>
      </c>
      <c r="T331" s="18" t="str">
        <f>IF(BITWISE_AND('Raw Data'!$L332, 256),"X","")</f>
        <v/>
      </c>
      <c r="U331" s="18" t="str">
        <f>IF(BITWISE_AND('Raw Data'!$L332, 64),"X","")</f>
        <v/>
      </c>
      <c r="V331" s="18" t="str">
        <f>IF(BITWISE_AND('Raw Data'!$L332, 2),"X","")</f>
        <v/>
      </c>
      <c r="W331" s="18" t="str">
        <f>IF(BITWISE_AND('Raw Data'!$L332, 1),"X","")</f>
        <v/>
      </c>
      <c r="X331" s="19" t="str">
        <f>IF(BITWISE_AND('Raw Data'!M332, 1),"Bat Voltage", IF(BITWISE_AND('Raw Data'!M332, 2), "Charge Current", IF(BITWISE_AND('Raw Data'!M332, 4),"Input Ilim", IF(BITWISE_AND('Raw Data'!M332, 8), "Input UV", "none"))))</f>
        <v>none</v>
      </c>
    </row>
    <row r="332" spans="1:24" x14ac:dyDescent="0.2">
      <c r="A332" s="15">
        <f>A331+TIME(0,0,'Raw Data'!B332)</f>
        <v>0</v>
      </c>
      <c r="B332" s="4">
        <f>'Raw Data'!C333*0.025</f>
        <v>0</v>
      </c>
      <c r="C332" s="4">
        <f t="shared" si="15"/>
        <v>0</v>
      </c>
      <c r="D332" s="4">
        <f>'Raw Data'!D333*0.025</f>
        <v>0</v>
      </c>
      <c r="E332" s="4">
        <f t="shared" si="16"/>
        <v>0</v>
      </c>
      <c r="F332" s="4">
        <f>'Raw Data'!E333*0.001648</f>
        <v>0</v>
      </c>
      <c r="G332" s="4">
        <f>'Raw Data'!F333*0.001648</f>
        <v>0</v>
      </c>
      <c r="H332" s="4">
        <f>'Raw Data'!G333*6*0.000128176</f>
        <v>0</v>
      </c>
      <c r="I332" s="4">
        <f>'Raw Data'!H333*0.000732435</f>
        <v>0</v>
      </c>
      <c r="J332" s="4">
        <f t="shared" si="17"/>
        <v>0</v>
      </c>
      <c r="K332" s="36">
        <f>IF(('Raw Data'!I333-16384)/32768&lt;0,0,('Raw Data'!I333-16384)/32768)</f>
        <v>0</v>
      </c>
      <c r="L332" s="4">
        <f>IF(('Raw Data'!J333-12010)/45.6=-263.377192982456,0,('Raw Data'!J333-12010)/45.6)</f>
        <v>0</v>
      </c>
      <c r="M332" s="16">
        <f>'Raw Data'!N333*2^-8</f>
        <v>0</v>
      </c>
      <c r="N332" s="16">
        <f>'Raw Data'!O333*2^-8</f>
        <v>0</v>
      </c>
      <c r="O332" s="17" t="str">
        <f>IF(BITWISE_AND('Raw Data'!$K333, 8192),"X","")</f>
        <v/>
      </c>
      <c r="P332" s="17" t="str">
        <f>IF(BITWISE_AND('Raw Data'!$K333, 2048),"X","")</f>
        <v/>
      </c>
      <c r="Q332" s="17" t="str">
        <f>IF(BITWISE_AND('Raw Data'!$K333, 64),"X","")</f>
        <v/>
      </c>
      <c r="R332" s="18" t="str">
        <f>IF(BITWISE_AND('Raw Data'!$L333, 1024),"X","")</f>
        <v/>
      </c>
      <c r="S332" s="18" t="str">
        <f>IF(BITWISE_AND('Raw Data'!$L333, 512),"X","")</f>
        <v/>
      </c>
      <c r="T332" s="18" t="str">
        <f>IF(BITWISE_AND('Raw Data'!$L333, 256),"X","")</f>
        <v/>
      </c>
      <c r="U332" s="18" t="str">
        <f>IF(BITWISE_AND('Raw Data'!$L333, 64),"X","")</f>
        <v/>
      </c>
      <c r="V332" s="18" t="str">
        <f>IF(BITWISE_AND('Raw Data'!$L333, 2),"X","")</f>
        <v/>
      </c>
      <c r="W332" s="18" t="str">
        <f>IF(BITWISE_AND('Raw Data'!$L333, 1),"X","")</f>
        <v/>
      </c>
      <c r="X332" s="19" t="str">
        <f>IF(BITWISE_AND('Raw Data'!M333, 1),"Bat Voltage", IF(BITWISE_AND('Raw Data'!M333, 2), "Charge Current", IF(BITWISE_AND('Raw Data'!M333, 4),"Input Ilim", IF(BITWISE_AND('Raw Data'!M333, 8), "Input UV", "none"))))</f>
        <v>none</v>
      </c>
    </row>
    <row r="333" spans="1:24" x14ac:dyDescent="0.2">
      <c r="A333" s="15">
        <f>A332+TIME(0,0,'Raw Data'!B333)</f>
        <v>0</v>
      </c>
      <c r="B333" s="4">
        <f>'Raw Data'!C334*0.025</f>
        <v>0</v>
      </c>
      <c r="C333" s="4">
        <f t="shared" si="15"/>
        <v>0</v>
      </c>
      <c r="D333" s="4">
        <f>'Raw Data'!D334*0.025</f>
        <v>0</v>
      </c>
      <c r="E333" s="4">
        <f t="shared" si="16"/>
        <v>0</v>
      </c>
      <c r="F333" s="4">
        <f>'Raw Data'!E334*0.001648</f>
        <v>0</v>
      </c>
      <c r="G333" s="4">
        <f>'Raw Data'!F334*0.001648</f>
        <v>0</v>
      </c>
      <c r="H333" s="4">
        <f>'Raw Data'!G334*6*0.000128176</f>
        <v>0</v>
      </c>
      <c r="I333" s="4">
        <f>'Raw Data'!H334*0.000732435</f>
        <v>0</v>
      </c>
      <c r="J333" s="4">
        <f t="shared" si="17"/>
        <v>0</v>
      </c>
      <c r="K333" s="36">
        <f>IF(('Raw Data'!I334-16384)/32768&lt;0,0,('Raw Data'!I334-16384)/32768)</f>
        <v>0</v>
      </c>
      <c r="L333" s="4">
        <f>IF(('Raw Data'!J334-12010)/45.6=-263.377192982456,0,('Raw Data'!J334-12010)/45.6)</f>
        <v>0</v>
      </c>
      <c r="M333" s="16">
        <f>'Raw Data'!N334*2^-8</f>
        <v>0</v>
      </c>
      <c r="N333" s="16">
        <f>'Raw Data'!O334*2^-8</f>
        <v>0</v>
      </c>
      <c r="O333" s="17" t="str">
        <f>IF(BITWISE_AND('Raw Data'!$K334, 8192),"X","")</f>
        <v/>
      </c>
      <c r="P333" s="17" t="str">
        <f>IF(BITWISE_AND('Raw Data'!$K334, 2048),"X","")</f>
        <v/>
      </c>
      <c r="Q333" s="17" t="str">
        <f>IF(BITWISE_AND('Raw Data'!$K334, 64),"X","")</f>
        <v/>
      </c>
      <c r="R333" s="18" t="str">
        <f>IF(BITWISE_AND('Raw Data'!$L334, 1024),"X","")</f>
        <v/>
      </c>
      <c r="S333" s="18" t="str">
        <f>IF(BITWISE_AND('Raw Data'!$L334, 512),"X","")</f>
        <v/>
      </c>
      <c r="T333" s="18" t="str">
        <f>IF(BITWISE_AND('Raw Data'!$L334, 256),"X","")</f>
        <v/>
      </c>
      <c r="U333" s="18" t="str">
        <f>IF(BITWISE_AND('Raw Data'!$L334, 64),"X","")</f>
        <v/>
      </c>
      <c r="V333" s="18" t="str">
        <f>IF(BITWISE_AND('Raw Data'!$L334, 2),"X","")</f>
        <v/>
      </c>
      <c r="W333" s="18" t="str">
        <f>IF(BITWISE_AND('Raw Data'!$L334, 1),"X","")</f>
        <v/>
      </c>
      <c r="X333" s="19" t="str">
        <f>IF(BITWISE_AND('Raw Data'!M334, 1),"Bat Voltage", IF(BITWISE_AND('Raw Data'!M334, 2), "Charge Current", IF(BITWISE_AND('Raw Data'!M334, 4),"Input Ilim", IF(BITWISE_AND('Raw Data'!M334, 8), "Input UV", "none"))))</f>
        <v>none</v>
      </c>
    </row>
    <row r="334" spans="1:24" x14ac:dyDescent="0.2">
      <c r="A334" s="15">
        <f>A333+TIME(0,0,'Raw Data'!B334)</f>
        <v>0</v>
      </c>
      <c r="B334" s="4">
        <f>'Raw Data'!C335*0.025</f>
        <v>0</v>
      </c>
      <c r="C334" s="4">
        <f t="shared" si="15"/>
        <v>0</v>
      </c>
      <c r="D334" s="4">
        <f>'Raw Data'!D335*0.025</f>
        <v>0</v>
      </c>
      <c r="E334" s="4">
        <f t="shared" si="16"/>
        <v>0</v>
      </c>
      <c r="F334" s="4">
        <f>'Raw Data'!E335*0.001648</f>
        <v>0</v>
      </c>
      <c r="G334" s="4">
        <f>'Raw Data'!F335*0.001648</f>
        <v>0</v>
      </c>
      <c r="H334" s="4">
        <f>'Raw Data'!G335*6*0.000128176</f>
        <v>0</v>
      </c>
      <c r="I334" s="4">
        <f>'Raw Data'!H335*0.000732435</f>
        <v>0</v>
      </c>
      <c r="J334" s="4">
        <f t="shared" si="17"/>
        <v>0</v>
      </c>
      <c r="K334" s="36">
        <f>IF(('Raw Data'!I335-16384)/32768&lt;0,0,('Raw Data'!I335-16384)/32768)</f>
        <v>0</v>
      </c>
      <c r="L334" s="4">
        <f>IF(('Raw Data'!J335-12010)/45.6=-263.377192982456,0,('Raw Data'!J335-12010)/45.6)</f>
        <v>0</v>
      </c>
      <c r="M334" s="16">
        <f>'Raw Data'!N335*2^-8</f>
        <v>0</v>
      </c>
      <c r="N334" s="16">
        <f>'Raw Data'!O335*2^-8</f>
        <v>0</v>
      </c>
      <c r="O334" s="17" t="str">
        <f>IF(BITWISE_AND('Raw Data'!$K335, 8192),"X","")</f>
        <v/>
      </c>
      <c r="P334" s="17" t="str">
        <f>IF(BITWISE_AND('Raw Data'!$K335, 2048),"X","")</f>
        <v/>
      </c>
      <c r="Q334" s="17" t="str">
        <f>IF(BITWISE_AND('Raw Data'!$K335, 64),"X","")</f>
        <v/>
      </c>
      <c r="R334" s="18" t="str">
        <f>IF(BITWISE_AND('Raw Data'!$L335, 1024),"X","")</f>
        <v/>
      </c>
      <c r="S334" s="18" t="str">
        <f>IF(BITWISE_AND('Raw Data'!$L335, 512),"X","")</f>
        <v/>
      </c>
      <c r="T334" s="18" t="str">
        <f>IF(BITWISE_AND('Raw Data'!$L335, 256),"X","")</f>
        <v/>
      </c>
      <c r="U334" s="18" t="str">
        <f>IF(BITWISE_AND('Raw Data'!$L335, 64),"X","")</f>
        <v/>
      </c>
      <c r="V334" s="18" t="str">
        <f>IF(BITWISE_AND('Raw Data'!$L335, 2),"X","")</f>
        <v/>
      </c>
      <c r="W334" s="18" t="str">
        <f>IF(BITWISE_AND('Raw Data'!$L335, 1),"X","")</f>
        <v/>
      </c>
      <c r="X334" s="19" t="str">
        <f>IF(BITWISE_AND('Raw Data'!M335, 1),"Bat Voltage", IF(BITWISE_AND('Raw Data'!M335, 2), "Charge Current", IF(BITWISE_AND('Raw Data'!M335, 4),"Input Ilim", IF(BITWISE_AND('Raw Data'!M335, 8), "Input UV", "none"))))</f>
        <v>none</v>
      </c>
    </row>
    <row r="335" spans="1:24" x14ac:dyDescent="0.2">
      <c r="A335" s="15">
        <f>A334+TIME(0,0,'Raw Data'!B335)</f>
        <v>0</v>
      </c>
      <c r="B335" s="4">
        <f>'Raw Data'!C336*0.025</f>
        <v>0</v>
      </c>
      <c r="C335" s="4">
        <f t="shared" si="15"/>
        <v>0</v>
      </c>
      <c r="D335" s="4">
        <f>'Raw Data'!D336*0.025</f>
        <v>0</v>
      </c>
      <c r="E335" s="4">
        <f t="shared" si="16"/>
        <v>0</v>
      </c>
      <c r="F335" s="4">
        <f>'Raw Data'!E336*0.001648</f>
        <v>0</v>
      </c>
      <c r="G335" s="4">
        <f>'Raw Data'!F336*0.001648</f>
        <v>0</v>
      </c>
      <c r="H335" s="4">
        <f>'Raw Data'!G336*6*0.000128176</f>
        <v>0</v>
      </c>
      <c r="I335" s="4">
        <f>'Raw Data'!H336*0.000732435</f>
        <v>0</v>
      </c>
      <c r="J335" s="4">
        <f t="shared" si="17"/>
        <v>0</v>
      </c>
      <c r="K335" s="36">
        <f>IF(('Raw Data'!I336-16384)/32768&lt;0,0,('Raw Data'!I336-16384)/32768)</f>
        <v>0</v>
      </c>
      <c r="L335" s="4">
        <f>IF(('Raw Data'!J336-12010)/45.6=-263.377192982456,0,('Raw Data'!J336-12010)/45.6)</f>
        <v>0</v>
      </c>
      <c r="M335" s="16">
        <f>'Raw Data'!N336*2^-8</f>
        <v>0</v>
      </c>
      <c r="N335" s="16">
        <f>'Raw Data'!O336*2^-8</f>
        <v>0</v>
      </c>
      <c r="O335" s="17" t="str">
        <f>IF(BITWISE_AND('Raw Data'!$K336, 8192),"X","")</f>
        <v/>
      </c>
      <c r="P335" s="17" t="str">
        <f>IF(BITWISE_AND('Raw Data'!$K336, 2048),"X","")</f>
        <v/>
      </c>
      <c r="Q335" s="17" t="str">
        <f>IF(BITWISE_AND('Raw Data'!$K336, 64),"X","")</f>
        <v/>
      </c>
      <c r="R335" s="18" t="str">
        <f>IF(BITWISE_AND('Raw Data'!$L336, 1024),"X","")</f>
        <v/>
      </c>
      <c r="S335" s="18" t="str">
        <f>IF(BITWISE_AND('Raw Data'!$L336, 512),"X","")</f>
        <v/>
      </c>
      <c r="T335" s="18" t="str">
        <f>IF(BITWISE_AND('Raw Data'!$L336, 256),"X","")</f>
        <v/>
      </c>
      <c r="U335" s="18" t="str">
        <f>IF(BITWISE_AND('Raw Data'!$L336, 64),"X","")</f>
        <v/>
      </c>
      <c r="V335" s="18" t="str">
        <f>IF(BITWISE_AND('Raw Data'!$L336, 2),"X","")</f>
        <v/>
      </c>
      <c r="W335" s="18" t="str">
        <f>IF(BITWISE_AND('Raw Data'!$L336, 1),"X","")</f>
        <v/>
      </c>
      <c r="X335" s="19" t="str">
        <f>IF(BITWISE_AND('Raw Data'!M336, 1),"Bat Voltage", IF(BITWISE_AND('Raw Data'!M336, 2), "Charge Current", IF(BITWISE_AND('Raw Data'!M336, 4),"Input Ilim", IF(BITWISE_AND('Raw Data'!M336, 8), "Input UV", "none"))))</f>
        <v>none</v>
      </c>
    </row>
    <row r="336" spans="1:24" x14ac:dyDescent="0.2">
      <c r="A336" s="15">
        <f>A335+TIME(0,0,'Raw Data'!B336)</f>
        <v>0</v>
      </c>
      <c r="B336" s="4">
        <f>'Raw Data'!C337*0.025</f>
        <v>0</v>
      </c>
      <c r="C336" s="4">
        <f t="shared" si="15"/>
        <v>0</v>
      </c>
      <c r="D336" s="4">
        <f>'Raw Data'!D337*0.025</f>
        <v>0</v>
      </c>
      <c r="E336" s="4">
        <f t="shared" si="16"/>
        <v>0</v>
      </c>
      <c r="F336" s="4">
        <f>'Raw Data'!E337*0.001648</f>
        <v>0</v>
      </c>
      <c r="G336" s="4">
        <f>'Raw Data'!F337*0.001648</f>
        <v>0</v>
      </c>
      <c r="H336" s="4">
        <f>'Raw Data'!G337*6*0.000128176</f>
        <v>0</v>
      </c>
      <c r="I336" s="4">
        <f>'Raw Data'!H337*0.000732435</f>
        <v>0</v>
      </c>
      <c r="J336" s="4">
        <f t="shared" si="17"/>
        <v>0</v>
      </c>
      <c r="K336" s="36">
        <f>IF(('Raw Data'!I337-16384)/32768&lt;0,0,('Raw Data'!I337-16384)/32768)</f>
        <v>0</v>
      </c>
      <c r="L336" s="4">
        <f>IF(('Raw Data'!J337-12010)/45.6=-263.377192982456,0,('Raw Data'!J337-12010)/45.6)</f>
        <v>0</v>
      </c>
      <c r="M336" s="16">
        <f>'Raw Data'!N337*2^-8</f>
        <v>0</v>
      </c>
      <c r="N336" s="16">
        <f>'Raw Data'!O337*2^-8</f>
        <v>0</v>
      </c>
      <c r="O336" s="17" t="str">
        <f>IF(BITWISE_AND('Raw Data'!$K337, 8192),"X","")</f>
        <v/>
      </c>
      <c r="P336" s="17" t="str">
        <f>IF(BITWISE_AND('Raw Data'!$K337, 2048),"X","")</f>
        <v/>
      </c>
      <c r="Q336" s="17" t="str">
        <f>IF(BITWISE_AND('Raw Data'!$K337, 64),"X","")</f>
        <v/>
      </c>
      <c r="R336" s="18" t="str">
        <f>IF(BITWISE_AND('Raw Data'!$L337, 1024),"X","")</f>
        <v/>
      </c>
      <c r="S336" s="18" t="str">
        <f>IF(BITWISE_AND('Raw Data'!$L337, 512),"X","")</f>
        <v/>
      </c>
      <c r="T336" s="18" t="str">
        <f>IF(BITWISE_AND('Raw Data'!$L337, 256),"X","")</f>
        <v/>
      </c>
      <c r="U336" s="18" t="str">
        <f>IF(BITWISE_AND('Raw Data'!$L337, 64),"X","")</f>
        <v/>
      </c>
      <c r="V336" s="18" t="str">
        <f>IF(BITWISE_AND('Raw Data'!$L337, 2),"X","")</f>
        <v/>
      </c>
      <c r="W336" s="18" t="str">
        <f>IF(BITWISE_AND('Raw Data'!$L337, 1),"X","")</f>
        <v/>
      </c>
      <c r="X336" s="19" t="str">
        <f>IF(BITWISE_AND('Raw Data'!M337, 1),"Bat Voltage", IF(BITWISE_AND('Raw Data'!M337, 2), "Charge Current", IF(BITWISE_AND('Raw Data'!M337, 4),"Input Ilim", IF(BITWISE_AND('Raw Data'!M337, 8), "Input UV", "none"))))</f>
        <v>none</v>
      </c>
    </row>
    <row r="337" spans="1:24" x14ac:dyDescent="0.2">
      <c r="A337" s="15">
        <f>A336+TIME(0,0,'Raw Data'!B337)</f>
        <v>0</v>
      </c>
      <c r="B337" s="4">
        <f>'Raw Data'!C338*0.025</f>
        <v>0</v>
      </c>
      <c r="C337" s="4">
        <f t="shared" si="15"/>
        <v>0</v>
      </c>
      <c r="D337" s="4">
        <f>'Raw Data'!D338*0.025</f>
        <v>0</v>
      </c>
      <c r="E337" s="4">
        <f t="shared" si="16"/>
        <v>0</v>
      </c>
      <c r="F337" s="4">
        <f>'Raw Data'!E338*0.001648</f>
        <v>0</v>
      </c>
      <c r="G337" s="4">
        <f>'Raw Data'!F338*0.001648</f>
        <v>0</v>
      </c>
      <c r="H337" s="4">
        <f>'Raw Data'!G338*6*0.000128176</f>
        <v>0</v>
      </c>
      <c r="I337" s="4">
        <f>'Raw Data'!H338*0.000732435</f>
        <v>0</v>
      </c>
      <c r="J337" s="4">
        <f t="shared" si="17"/>
        <v>0</v>
      </c>
      <c r="K337" s="36">
        <f>IF(('Raw Data'!I338-16384)/32768&lt;0,0,('Raw Data'!I338-16384)/32768)</f>
        <v>0</v>
      </c>
      <c r="L337" s="4">
        <f>IF(('Raw Data'!J338-12010)/45.6=-263.377192982456,0,('Raw Data'!J338-12010)/45.6)</f>
        <v>0</v>
      </c>
      <c r="M337" s="16">
        <f>'Raw Data'!N338*2^-8</f>
        <v>0</v>
      </c>
      <c r="N337" s="16">
        <f>'Raw Data'!O338*2^-8</f>
        <v>0</v>
      </c>
      <c r="O337" s="17" t="str">
        <f>IF(BITWISE_AND('Raw Data'!$K338, 8192),"X","")</f>
        <v/>
      </c>
      <c r="P337" s="17" t="str">
        <f>IF(BITWISE_AND('Raw Data'!$K338, 2048),"X","")</f>
        <v/>
      </c>
      <c r="Q337" s="17" t="str">
        <f>IF(BITWISE_AND('Raw Data'!$K338, 64),"X","")</f>
        <v/>
      </c>
      <c r="R337" s="18" t="str">
        <f>IF(BITWISE_AND('Raw Data'!$L338, 1024),"X","")</f>
        <v/>
      </c>
      <c r="S337" s="18" t="str">
        <f>IF(BITWISE_AND('Raw Data'!$L338, 512),"X","")</f>
        <v/>
      </c>
      <c r="T337" s="18" t="str">
        <f>IF(BITWISE_AND('Raw Data'!$L338, 256),"X","")</f>
        <v/>
      </c>
      <c r="U337" s="18" t="str">
        <f>IF(BITWISE_AND('Raw Data'!$L338, 64),"X","")</f>
        <v/>
      </c>
      <c r="V337" s="18" t="str">
        <f>IF(BITWISE_AND('Raw Data'!$L338, 2),"X","")</f>
        <v/>
      </c>
      <c r="W337" s="18" t="str">
        <f>IF(BITWISE_AND('Raw Data'!$L338, 1),"X","")</f>
        <v/>
      </c>
      <c r="X337" s="19" t="str">
        <f>IF(BITWISE_AND('Raw Data'!M338, 1),"Bat Voltage", IF(BITWISE_AND('Raw Data'!M338, 2), "Charge Current", IF(BITWISE_AND('Raw Data'!M338, 4),"Input Ilim", IF(BITWISE_AND('Raw Data'!M338, 8), "Input UV", "none"))))</f>
        <v>none</v>
      </c>
    </row>
    <row r="338" spans="1:24" x14ac:dyDescent="0.2">
      <c r="A338" s="15">
        <f>A337+TIME(0,0,'Raw Data'!B338)</f>
        <v>0</v>
      </c>
      <c r="B338" s="4">
        <f>'Raw Data'!C339*0.025</f>
        <v>0</v>
      </c>
      <c r="C338" s="4">
        <f t="shared" si="15"/>
        <v>0</v>
      </c>
      <c r="D338" s="4">
        <f>'Raw Data'!D339*0.025</f>
        <v>0</v>
      </c>
      <c r="E338" s="4">
        <f t="shared" si="16"/>
        <v>0</v>
      </c>
      <c r="F338" s="4">
        <f>'Raw Data'!E339*0.001648</f>
        <v>0</v>
      </c>
      <c r="G338" s="4">
        <f>'Raw Data'!F339*0.001648</f>
        <v>0</v>
      </c>
      <c r="H338" s="4">
        <f>'Raw Data'!G339*6*0.000128176</f>
        <v>0</v>
      </c>
      <c r="I338" s="4">
        <f>'Raw Data'!H339*0.000732435</f>
        <v>0</v>
      </c>
      <c r="J338" s="4">
        <f t="shared" si="17"/>
        <v>0</v>
      </c>
      <c r="K338" s="36">
        <f>IF(('Raw Data'!I339-16384)/32768&lt;0,0,('Raw Data'!I339-16384)/32768)</f>
        <v>0</v>
      </c>
      <c r="L338" s="4">
        <f>IF(('Raw Data'!J339-12010)/45.6=-263.377192982456,0,('Raw Data'!J339-12010)/45.6)</f>
        <v>0</v>
      </c>
      <c r="M338" s="16">
        <f>'Raw Data'!N339*2^-8</f>
        <v>0</v>
      </c>
      <c r="N338" s="16">
        <f>'Raw Data'!O339*2^-8</f>
        <v>0</v>
      </c>
      <c r="O338" s="17" t="str">
        <f>IF(BITWISE_AND('Raw Data'!$K339, 8192),"X","")</f>
        <v/>
      </c>
      <c r="P338" s="17" t="str">
        <f>IF(BITWISE_AND('Raw Data'!$K339, 2048),"X","")</f>
        <v/>
      </c>
      <c r="Q338" s="17" t="str">
        <f>IF(BITWISE_AND('Raw Data'!$K339, 64),"X","")</f>
        <v/>
      </c>
      <c r="R338" s="18" t="str">
        <f>IF(BITWISE_AND('Raw Data'!$L339, 1024),"X","")</f>
        <v/>
      </c>
      <c r="S338" s="18" t="str">
        <f>IF(BITWISE_AND('Raw Data'!$L339, 512),"X","")</f>
        <v/>
      </c>
      <c r="T338" s="18" t="str">
        <f>IF(BITWISE_AND('Raw Data'!$L339, 256),"X","")</f>
        <v/>
      </c>
      <c r="U338" s="18" t="str">
        <f>IF(BITWISE_AND('Raw Data'!$L339, 64),"X","")</f>
        <v/>
      </c>
      <c r="V338" s="18" t="str">
        <f>IF(BITWISE_AND('Raw Data'!$L339, 2),"X","")</f>
        <v/>
      </c>
      <c r="W338" s="18" t="str">
        <f>IF(BITWISE_AND('Raw Data'!$L339, 1),"X","")</f>
        <v/>
      </c>
      <c r="X338" s="19" t="str">
        <f>IF(BITWISE_AND('Raw Data'!M339, 1),"Bat Voltage", IF(BITWISE_AND('Raw Data'!M339, 2), "Charge Current", IF(BITWISE_AND('Raw Data'!M339, 4),"Input Ilim", IF(BITWISE_AND('Raw Data'!M339, 8), "Input UV", "none"))))</f>
        <v>none</v>
      </c>
    </row>
    <row r="339" spans="1:24" x14ac:dyDescent="0.2">
      <c r="A339" s="15">
        <f>A338+TIME(0,0,'Raw Data'!B339)</f>
        <v>0</v>
      </c>
      <c r="B339" s="4">
        <f>'Raw Data'!C340*0.025</f>
        <v>0</v>
      </c>
      <c r="C339" s="4">
        <f t="shared" si="15"/>
        <v>0</v>
      </c>
      <c r="D339" s="4">
        <f>'Raw Data'!D340*0.025</f>
        <v>0</v>
      </c>
      <c r="E339" s="4">
        <f t="shared" si="16"/>
        <v>0</v>
      </c>
      <c r="F339" s="4">
        <f>'Raw Data'!E340*0.001648</f>
        <v>0</v>
      </c>
      <c r="G339" s="4">
        <f>'Raw Data'!F340*0.001648</f>
        <v>0</v>
      </c>
      <c r="H339" s="4">
        <f>'Raw Data'!G340*6*0.000128176</f>
        <v>0</v>
      </c>
      <c r="I339" s="4">
        <f>'Raw Data'!H340*0.000732435</f>
        <v>0</v>
      </c>
      <c r="J339" s="4">
        <f t="shared" si="17"/>
        <v>0</v>
      </c>
      <c r="K339" s="36">
        <f>IF(('Raw Data'!I340-16384)/32768&lt;0,0,('Raw Data'!I340-16384)/32768)</f>
        <v>0</v>
      </c>
      <c r="L339" s="4">
        <f>IF(('Raw Data'!J340-12010)/45.6=-263.377192982456,0,('Raw Data'!J340-12010)/45.6)</f>
        <v>0</v>
      </c>
      <c r="M339" s="16">
        <f>'Raw Data'!N340*2^-8</f>
        <v>0</v>
      </c>
      <c r="N339" s="16">
        <f>'Raw Data'!O340*2^-8</f>
        <v>0</v>
      </c>
      <c r="O339" s="17" t="str">
        <f>IF(BITWISE_AND('Raw Data'!$K340, 8192),"X","")</f>
        <v/>
      </c>
      <c r="P339" s="17" t="str">
        <f>IF(BITWISE_AND('Raw Data'!$K340, 2048),"X","")</f>
        <v/>
      </c>
      <c r="Q339" s="17" t="str">
        <f>IF(BITWISE_AND('Raw Data'!$K340, 64),"X","")</f>
        <v/>
      </c>
      <c r="R339" s="18" t="str">
        <f>IF(BITWISE_AND('Raw Data'!$L340, 1024),"X","")</f>
        <v/>
      </c>
      <c r="S339" s="18" t="str">
        <f>IF(BITWISE_AND('Raw Data'!$L340, 512),"X","")</f>
        <v/>
      </c>
      <c r="T339" s="18" t="str">
        <f>IF(BITWISE_AND('Raw Data'!$L340, 256),"X","")</f>
        <v/>
      </c>
      <c r="U339" s="18" t="str">
        <f>IF(BITWISE_AND('Raw Data'!$L340, 64),"X","")</f>
        <v/>
      </c>
      <c r="V339" s="18" t="str">
        <f>IF(BITWISE_AND('Raw Data'!$L340, 2),"X","")</f>
        <v/>
      </c>
      <c r="W339" s="18" t="str">
        <f>IF(BITWISE_AND('Raw Data'!$L340, 1),"X","")</f>
        <v/>
      </c>
      <c r="X339" s="19" t="str">
        <f>IF(BITWISE_AND('Raw Data'!M340, 1),"Bat Voltage", IF(BITWISE_AND('Raw Data'!M340, 2), "Charge Current", IF(BITWISE_AND('Raw Data'!M340, 4),"Input Ilim", IF(BITWISE_AND('Raw Data'!M340, 8), "Input UV", "none"))))</f>
        <v>none</v>
      </c>
    </row>
    <row r="340" spans="1:24" x14ac:dyDescent="0.2">
      <c r="A340" s="15">
        <f>A339+TIME(0,0,'Raw Data'!B340)</f>
        <v>0</v>
      </c>
      <c r="B340" s="4">
        <f>'Raw Data'!C341*0.025</f>
        <v>0</v>
      </c>
      <c r="C340" s="4">
        <f t="shared" si="15"/>
        <v>0</v>
      </c>
      <c r="D340" s="4">
        <f>'Raw Data'!D341*0.025</f>
        <v>0</v>
      </c>
      <c r="E340" s="4">
        <f t="shared" si="16"/>
        <v>0</v>
      </c>
      <c r="F340" s="4">
        <f>'Raw Data'!E341*0.001648</f>
        <v>0</v>
      </c>
      <c r="G340" s="4">
        <f>'Raw Data'!F341*0.001648</f>
        <v>0</v>
      </c>
      <c r="H340" s="4">
        <f>'Raw Data'!G341*6*0.000128176</f>
        <v>0</v>
      </c>
      <c r="I340" s="4">
        <f>'Raw Data'!H341*0.000732435</f>
        <v>0</v>
      </c>
      <c r="J340" s="4">
        <f t="shared" si="17"/>
        <v>0</v>
      </c>
      <c r="K340" s="36">
        <f>IF(('Raw Data'!I341-16384)/32768&lt;0,0,('Raw Data'!I341-16384)/32768)</f>
        <v>0</v>
      </c>
      <c r="L340" s="4">
        <f>IF(('Raw Data'!J341-12010)/45.6=-263.377192982456,0,('Raw Data'!J341-12010)/45.6)</f>
        <v>0</v>
      </c>
      <c r="M340" s="16">
        <f>'Raw Data'!N341*2^-8</f>
        <v>0</v>
      </c>
      <c r="N340" s="16">
        <f>'Raw Data'!O341*2^-8</f>
        <v>0</v>
      </c>
      <c r="O340" s="17" t="str">
        <f>IF(BITWISE_AND('Raw Data'!$K341, 8192),"X","")</f>
        <v/>
      </c>
      <c r="P340" s="17" t="str">
        <f>IF(BITWISE_AND('Raw Data'!$K341, 2048),"X","")</f>
        <v/>
      </c>
      <c r="Q340" s="17" t="str">
        <f>IF(BITWISE_AND('Raw Data'!$K341, 64),"X","")</f>
        <v/>
      </c>
      <c r="R340" s="18" t="str">
        <f>IF(BITWISE_AND('Raw Data'!$L341, 1024),"X","")</f>
        <v/>
      </c>
      <c r="S340" s="18" t="str">
        <f>IF(BITWISE_AND('Raw Data'!$L341, 512),"X","")</f>
        <v/>
      </c>
      <c r="T340" s="18" t="str">
        <f>IF(BITWISE_AND('Raw Data'!$L341, 256),"X","")</f>
        <v/>
      </c>
      <c r="U340" s="18" t="str">
        <f>IF(BITWISE_AND('Raw Data'!$L341, 64),"X","")</f>
        <v/>
      </c>
      <c r="V340" s="18" t="str">
        <f>IF(BITWISE_AND('Raw Data'!$L341, 2),"X","")</f>
        <v/>
      </c>
      <c r="W340" s="18" t="str">
        <f>IF(BITWISE_AND('Raw Data'!$L341, 1),"X","")</f>
        <v/>
      </c>
      <c r="X340" s="19" t="str">
        <f>IF(BITWISE_AND('Raw Data'!M341, 1),"Bat Voltage", IF(BITWISE_AND('Raw Data'!M341, 2), "Charge Current", IF(BITWISE_AND('Raw Data'!M341, 4),"Input Ilim", IF(BITWISE_AND('Raw Data'!M341, 8), "Input UV", "none"))))</f>
        <v>none</v>
      </c>
    </row>
    <row r="341" spans="1:24" x14ac:dyDescent="0.2">
      <c r="A341" s="15">
        <f>A340+TIME(0,0,'Raw Data'!B341)</f>
        <v>0</v>
      </c>
      <c r="B341" s="4">
        <f>'Raw Data'!C342*0.025</f>
        <v>0</v>
      </c>
      <c r="C341" s="4">
        <f t="shared" ref="C341:C404" si="18">C340+B341/60</f>
        <v>0</v>
      </c>
      <c r="D341" s="4">
        <f>'Raw Data'!D342*0.025</f>
        <v>0</v>
      </c>
      <c r="E341" s="4">
        <f t="shared" ref="E341:E404" si="19">E340+D341/60</f>
        <v>0</v>
      </c>
      <c r="F341" s="4">
        <f>'Raw Data'!E342*0.001648</f>
        <v>0</v>
      </c>
      <c r="G341" s="4">
        <f>'Raw Data'!F342*0.001648</f>
        <v>0</v>
      </c>
      <c r="H341" s="4">
        <f>'Raw Data'!G342*6*0.000128176</f>
        <v>0</v>
      </c>
      <c r="I341" s="4">
        <f>'Raw Data'!H342*0.000732435</f>
        <v>0</v>
      </c>
      <c r="J341" s="4">
        <f t="shared" si="17"/>
        <v>0</v>
      </c>
      <c r="K341" s="36">
        <f>IF(('Raw Data'!I342-16384)/32768&lt;0,0,('Raw Data'!I342-16384)/32768)</f>
        <v>0</v>
      </c>
      <c r="L341" s="4">
        <f>IF(('Raw Data'!J342-12010)/45.6=-263.377192982456,0,('Raw Data'!J342-12010)/45.6)</f>
        <v>0</v>
      </c>
      <c r="M341" s="16">
        <f>'Raw Data'!N342*2^-8</f>
        <v>0</v>
      </c>
      <c r="N341" s="16">
        <f>'Raw Data'!O342*2^-8</f>
        <v>0</v>
      </c>
      <c r="O341" s="17" t="str">
        <f>IF(BITWISE_AND('Raw Data'!$K342, 8192),"X","")</f>
        <v/>
      </c>
      <c r="P341" s="17" t="str">
        <f>IF(BITWISE_AND('Raw Data'!$K342, 2048),"X","")</f>
        <v/>
      </c>
      <c r="Q341" s="17" t="str">
        <f>IF(BITWISE_AND('Raw Data'!$K342, 64),"X","")</f>
        <v/>
      </c>
      <c r="R341" s="18" t="str">
        <f>IF(BITWISE_AND('Raw Data'!$L342, 1024),"X","")</f>
        <v/>
      </c>
      <c r="S341" s="18" t="str">
        <f>IF(BITWISE_AND('Raw Data'!$L342, 512),"X","")</f>
        <v/>
      </c>
      <c r="T341" s="18" t="str">
        <f>IF(BITWISE_AND('Raw Data'!$L342, 256),"X","")</f>
        <v/>
      </c>
      <c r="U341" s="18" t="str">
        <f>IF(BITWISE_AND('Raw Data'!$L342, 64),"X","")</f>
        <v/>
      </c>
      <c r="V341" s="18" t="str">
        <f>IF(BITWISE_AND('Raw Data'!$L342, 2),"X","")</f>
        <v/>
      </c>
      <c r="W341" s="18" t="str">
        <f>IF(BITWISE_AND('Raw Data'!$L342, 1),"X","")</f>
        <v/>
      </c>
      <c r="X341" s="19" t="str">
        <f>IF(BITWISE_AND('Raw Data'!M342, 1),"Bat Voltage", IF(BITWISE_AND('Raw Data'!M342, 2), "Charge Current", IF(BITWISE_AND('Raw Data'!M342, 4),"Input Ilim", IF(BITWISE_AND('Raw Data'!M342, 8), "Input UV", "none"))))</f>
        <v>none</v>
      </c>
    </row>
    <row r="342" spans="1:24" x14ac:dyDescent="0.2">
      <c r="A342" s="15">
        <f>A341+TIME(0,0,'Raw Data'!B342)</f>
        <v>0</v>
      </c>
      <c r="B342" s="4">
        <f>'Raw Data'!C343*0.025</f>
        <v>0</v>
      </c>
      <c r="C342" s="4">
        <f t="shared" si="18"/>
        <v>0</v>
      </c>
      <c r="D342" s="4">
        <f>'Raw Data'!D343*0.025</f>
        <v>0</v>
      </c>
      <c r="E342" s="4">
        <f t="shared" si="19"/>
        <v>0</v>
      </c>
      <c r="F342" s="4">
        <f>'Raw Data'!E343*0.001648</f>
        <v>0</v>
      </c>
      <c r="G342" s="4">
        <f>'Raw Data'!F343*0.001648</f>
        <v>0</v>
      </c>
      <c r="H342" s="4">
        <f>'Raw Data'!G343*6*0.000128176</f>
        <v>0</v>
      </c>
      <c r="I342" s="4">
        <f>'Raw Data'!H343*0.000732435</f>
        <v>0</v>
      </c>
      <c r="J342" s="4">
        <f t="shared" si="17"/>
        <v>0</v>
      </c>
      <c r="K342" s="36">
        <f>IF(('Raw Data'!I343-16384)/32768&lt;0,0,('Raw Data'!I343-16384)/32768)</f>
        <v>0</v>
      </c>
      <c r="L342" s="4">
        <f>IF(('Raw Data'!J343-12010)/45.6=-263.377192982456,0,('Raw Data'!J343-12010)/45.6)</f>
        <v>0</v>
      </c>
      <c r="M342" s="16">
        <f>'Raw Data'!N343*2^-8</f>
        <v>0</v>
      </c>
      <c r="N342" s="16">
        <f>'Raw Data'!O343*2^-8</f>
        <v>0</v>
      </c>
      <c r="O342" s="17" t="str">
        <f>IF(BITWISE_AND('Raw Data'!$K343, 8192),"X","")</f>
        <v/>
      </c>
      <c r="P342" s="17" t="str">
        <f>IF(BITWISE_AND('Raw Data'!$K343, 2048),"X","")</f>
        <v/>
      </c>
      <c r="Q342" s="17" t="str">
        <f>IF(BITWISE_AND('Raw Data'!$K343, 64),"X","")</f>
        <v/>
      </c>
      <c r="R342" s="18" t="str">
        <f>IF(BITWISE_AND('Raw Data'!$L343, 1024),"X","")</f>
        <v/>
      </c>
      <c r="S342" s="18" t="str">
        <f>IF(BITWISE_AND('Raw Data'!$L343, 512),"X","")</f>
        <v/>
      </c>
      <c r="T342" s="18" t="str">
        <f>IF(BITWISE_AND('Raw Data'!$L343, 256),"X","")</f>
        <v/>
      </c>
      <c r="U342" s="18" t="str">
        <f>IF(BITWISE_AND('Raw Data'!$L343, 64),"X","")</f>
        <v/>
      </c>
      <c r="V342" s="18" t="str">
        <f>IF(BITWISE_AND('Raw Data'!$L343, 2),"X","")</f>
        <v/>
      </c>
      <c r="W342" s="18" t="str">
        <f>IF(BITWISE_AND('Raw Data'!$L343, 1),"X","")</f>
        <v/>
      </c>
      <c r="X342" s="19" t="str">
        <f>IF(BITWISE_AND('Raw Data'!M343, 1),"Bat Voltage", IF(BITWISE_AND('Raw Data'!M343, 2), "Charge Current", IF(BITWISE_AND('Raw Data'!M343, 4),"Input Ilim", IF(BITWISE_AND('Raw Data'!M343, 8), "Input UV", "none"))))</f>
        <v>none</v>
      </c>
    </row>
    <row r="343" spans="1:24" x14ac:dyDescent="0.2">
      <c r="A343" s="15">
        <f>A342+TIME(0,0,'Raw Data'!B343)</f>
        <v>0</v>
      </c>
      <c r="B343" s="4">
        <f>'Raw Data'!C344*0.025</f>
        <v>0</v>
      </c>
      <c r="C343" s="4">
        <f t="shared" si="18"/>
        <v>0</v>
      </c>
      <c r="D343" s="4">
        <f>'Raw Data'!D344*0.025</f>
        <v>0</v>
      </c>
      <c r="E343" s="4">
        <f t="shared" si="19"/>
        <v>0</v>
      </c>
      <c r="F343" s="4">
        <f>'Raw Data'!E344*0.001648</f>
        <v>0</v>
      </c>
      <c r="G343" s="4">
        <f>'Raw Data'!F344*0.001648</f>
        <v>0</v>
      </c>
      <c r="H343" s="4">
        <f>'Raw Data'!G344*6*0.000128176</f>
        <v>0</v>
      </c>
      <c r="I343" s="4">
        <f>'Raw Data'!H344*0.000732435</f>
        <v>0</v>
      </c>
      <c r="J343" s="4">
        <f t="shared" si="17"/>
        <v>0</v>
      </c>
      <c r="K343" s="36">
        <f>IF(('Raw Data'!I344-16384)/32768&lt;0,0,('Raw Data'!I344-16384)/32768)</f>
        <v>0</v>
      </c>
      <c r="L343" s="4">
        <f>IF(('Raw Data'!J344-12010)/45.6=-263.377192982456,0,('Raw Data'!J344-12010)/45.6)</f>
        <v>0</v>
      </c>
      <c r="M343" s="16">
        <f>'Raw Data'!N344*2^-8</f>
        <v>0</v>
      </c>
      <c r="N343" s="16">
        <f>'Raw Data'!O344*2^-8</f>
        <v>0</v>
      </c>
      <c r="O343" s="17" t="str">
        <f>IF(BITWISE_AND('Raw Data'!$K344, 8192),"X","")</f>
        <v/>
      </c>
      <c r="P343" s="17" t="str">
        <f>IF(BITWISE_AND('Raw Data'!$K344, 2048),"X","")</f>
        <v/>
      </c>
      <c r="Q343" s="17" t="str">
        <f>IF(BITWISE_AND('Raw Data'!$K344, 64),"X","")</f>
        <v/>
      </c>
      <c r="R343" s="18" t="str">
        <f>IF(BITWISE_AND('Raw Data'!$L344, 1024),"X","")</f>
        <v/>
      </c>
      <c r="S343" s="18" t="str">
        <f>IF(BITWISE_AND('Raw Data'!$L344, 512),"X","")</f>
        <v/>
      </c>
      <c r="T343" s="18" t="str">
        <f>IF(BITWISE_AND('Raw Data'!$L344, 256),"X","")</f>
        <v/>
      </c>
      <c r="U343" s="18" t="str">
        <f>IF(BITWISE_AND('Raw Data'!$L344, 64),"X","")</f>
        <v/>
      </c>
      <c r="V343" s="18" t="str">
        <f>IF(BITWISE_AND('Raw Data'!$L344, 2),"X","")</f>
        <v/>
      </c>
      <c r="W343" s="18" t="str">
        <f>IF(BITWISE_AND('Raw Data'!$L344, 1),"X","")</f>
        <v/>
      </c>
      <c r="X343" s="19" t="str">
        <f>IF(BITWISE_AND('Raw Data'!M344, 1),"Bat Voltage", IF(BITWISE_AND('Raw Data'!M344, 2), "Charge Current", IF(BITWISE_AND('Raw Data'!M344, 4),"Input Ilim", IF(BITWISE_AND('Raw Data'!M344, 8), "Input UV", "none"))))</f>
        <v>none</v>
      </c>
    </row>
    <row r="344" spans="1:24" x14ac:dyDescent="0.2">
      <c r="A344" s="15">
        <f>A343+TIME(0,0,'Raw Data'!B344)</f>
        <v>0</v>
      </c>
      <c r="B344" s="4">
        <f>'Raw Data'!C345*0.025</f>
        <v>0</v>
      </c>
      <c r="C344" s="4">
        <f t="shared" si="18"/>
        <v>0</v>
      </c>
      <c r="D344" s="4">
        <f>'Raw Data'!D345*0.025</f>
        <v>0</v>
      </c>
      <c r="E344" s="4">
        <f t="shared" si="19"/>
        <v>0</v>
      </c>
      <c r="F344" s="4">
        <f>'Raw Data'!E345*0.001648</f>
        <v>0</v>
      </c>
      <c r="G344" s="4">
        <f>'Raw Data'!F345*0.001648</f>
        <v>0</v>
      </c>
      <c r="H344" s="4">
        <f>'Raw Data'!G345*6*0.000128176</f>
        <v>0</v>
      </c>
      <c r="I344" s="4">
        <f>'Raw Data'!H345*0.000732435</f>
        <v>0</v>
      </c>
      <c r="J344" s="4">
        <f t="shared" si="17"/>
        <v>0</v>
      </c>
      <c r="K344" s="36">
        <f>IF(('Raw Data'!I345-16384)/32768&lt;0,0,('Raw Data'!I345-16384)/32768)</f>
        <v>0</v>
      </c>
      <c r="L344" s="4">
        <f>IF(('Raw Data'!J345-12010)/45.6=-263.377192982456,0,('Raw Data'!J345-12010)/45.6)</f>
        <v>0</v>
      </c>
      <c r="M344" s="16">
        <f>'Raw Data'!N345*2^-8</f>
        <v>0</v>
      </c>
      <c r="N344" s="16">
        <f>'Raw Data'!O345*2^-8</f>
        <v>0</v>
      </c>
      <c r="O344" s="17" t="str">
        <f>IF(BITWISE_AND('Raw Data'!$K345, 8192),"X","")</f>
        <v/>
      </c>
      <c r="P344" s="17" t="str">
        <f>IF(BITWISE_AND('Raw Data'!$K345, 2048),"X","")</f>
        <v/>
      </c>
      <c r="Q344" s="17" t="str">
        <f>IF(BITWISE_AND('Raw Data'!$K345, 64),"X","")</f>
        <v/>
      </c>
      <c r="R344" s="18" t="str">
        <f>IF(BITWISE_AND('Raw Data'!$L345, 1024),"X","")</f>
        <v/>
      </c>
      <c r="S344" s="18" t="str">
        <f>IF(BITWISE_AND('Raw Data'!$L345, 512),"X","")</f>
        <v/>
      </c>
      <c r="T344" s="18" t="str">
        <f>IF(BITWISE_AND('Raw Data'!$L345, 256),"X","")</f>
        <v/>
      </c>
      <c r="U344" s="18" t="str">
        <f>IF(BITWISE_AND('Raw Data'!$L345, 64),"X","")</f>
        <v/>
      </c>
      <c r="V344" s="18" t="str">
        <f>IF(BITWISE_AND('Raw Data'!$L345, 2),"X","")</f>
        <v/>
      </c>
      <c r="W344" s="18" t="str">
        <f>IF(BITWISE_AND('Raw Data'!$L345, 1),"X","")</f>
        <v/>
      </c>
      <c r="X344" s="19" t="str">
        <f>IF(BITWISE_AND('Raw Data'!M345, 1),"Bat Voltage", IF(BITWISE_AND('Raw Data'!M345, 2), "Charge Current", IF(BITWISE_AND('Raw Data'!M345, 4),"Input Ilim", IF(BITWISE_AND('Raw Data'!M345, 8), "Input UV", "none"))))</f>
        <v>none</v>
      </c>
    </row>
    <row r="345" spans="1:24" x14ac:dyDescent="0.2">
      <c r="A345" s="15">
        <f>A344+TIME(0,0,'Raw Data'!B345)</f>
        <v>0</v>
      </c>
      <c r="B345" s="4">
        <f>'Raw Data'!C346*0.025</f>
        <v>0</v>
      </c>
      <c r="C345" s="4">
        <f t="shared" si="18"/>
        <v>0</v>
      </c>
      <c r="D345" s="4">
        <f>'Raw Data'!D346*0.025</f>
        <v>0</v>
      </c>
      <c r="E345" s="4">
        <f t="shared" si="19"/>
        <v>0</v>
      </c>
      <c r="F345" s="4">
        <f>'Raw Data'!E346*0.001648</f>
        <v>0</v>
      </c>
      <c r="G345" s="4">
        <f>'Raw Data'!F346*0.001648</f>
        <v>0</v>
      </c>
      <c r="H345" s="4">
        <f>'Raw Data'!G346*6*0.000128176</f>
        <v>0</v>
      </c>
      <c r="I345" s="4">
        <f>'Raw Data'!H346*0.000732435</f>
        <v>0</v>
      </c>
      <c r="J345" s="4">
        <f t="shared" si="17"/>
        <v>0</v>
      </c>
      <c r="K345" s="36">
        <f>IF(('Raw Data'!I346-16384)/32768&lt;0,0,('Raw Data'!I346-16384)/32768)</f>
        <v>0</v>
      </c>
      <c r="L345" s="4">
        <f>IF(('Raw Data'!J346-12010)/45.6=-263.377192982456,0,('Raw Data'!J346-12010)/45.6)</f>
        <v>0</v>
      </c>
      <c r="M345" s="16">
        <f>'Raw Data'!N346*2^-8</f>
        <v>0</v>
      </c>
      <c r="N345" s="16">
        <f>'Raw Data'!O346*2^-8</f>
        <v>0</v>
      </c>
      <c r="O345" s="17" t="str">
        <f>IF(BITWISE_AND('Raw Data'!$K346, 8192),"X","")</f>
        <v/>
      </c>
      <c r="P345" s="17" t="str">
        <f>IF(BITWISE_AND('Raw Data'!$K346, 2048),"X","")</f>
        <v/>
      </c>
      <c r="Q345" s="17" t="str">
        <f>IF(BITWISE_AND('Raw Data'!$K346, 64),"X","")</f>
        <v/>
      </c>
      <c r="R345" s="18" t="str">
        <f>IF(BITWISE_AND('Raw Data'!$L346, 1024),"X","")</f>
        <v/>
      </c>
      <c r="S345" s="18" t="str">
        <f>IF(BITWISE_AND('Raw Data'!$L346, 512),"X","")</f>
        <v/>
      </c>
      <c r="T345" s="18" t="str">
        <f>IF(BITWISE_AND('Raw Data'!$L346, 256),"X","")</f>
        <v/>
      </c>
      <c r="U345" s="18" t="str">
        <f>IF(BITWISE_AND('Raw Data'!$L346, 64),"X","")</f>
        <v/>
      </c>
      <c r="V345" s="18" t="str">
        <f>IF(BITWISE_AND('Raw Data'!$L346, 2),"X","")</f>
        <v/>
      </c>
      <c r="W345" s="18" t="str">
        <f>IF(BITWISE_AND('Raw Data'!$L346, 1),"X","")</f>
        <v/>
      </c>
      <c r="X345" s="19" t="str">
        <f>IF(BITWISE_AND('Raw Data'!M346, 1),"Bat Voltage", IF(BITWISE_AND('Raw Data'!M346, 2), "Charge Current", IF(BITWISE_AND('Raw Data'!M346, 4),"Input Ilim", IF(BITWISE_AND('Raw Data'!M346, 8), "Input UV", "none"))))</f>
        <v>none</v>
      </c>
    </row>
    <row r="346" spans="1:24" x14ac:dyDescent="0.2">
      <c r="A346" s="15">
        <f>A345+TIME(0,0,'Raw Data'!B346)</f>
        <v>0</v>
      </c>
      <c r="B346" s="4">
        <f>'Raw Data'!C347*0.025</f>
        <v>0</v>
      </c>
      <c r="C346" s="4">
        <f t="shared" si="18"/>
        <v>0</v>
      </c>
      <c r="D346" s="4">
        <f>'Raw Data'!D347*0.025</f>
        <v>0</v>
      </c>
      <c r="E346" s="4">
        <f t="shared" si="19"/>
        <v>0</v>
      </c>
      <c r="F346" s="4">
        <f>'Raw Data'!E347*0.001648</f>
        <v>0</v>
      </c>
      <c r="G346" s="4">
        <f>'Raw Data'!F347*0.001648</f>
        <v>0</v>
      </c>
      <c r="H346" s="4">
        <f>'Raw Data'!G347*6*0.000128176</f>
        <v>0</v>
      </c>
      <c r="I346" s="4">
        <f>'Raw Data'!H347*0.000732435</f>
        <v>0</v>
      </c>
      <c r="J346" s="4">
        <f t="shared" si="17"/>
        <v>0</v>
      </c>
      <c r="K346" s="36">
        <f>IF(('Raw Data'!I347-16384)/32768&lt;0,0,('Raw Data'!I347-16384)/32768)</f>
        <v>0</v>
      </c>
      <c r="L346" s="4">
        <f>IF(('Raw Data'!J347-12010)/45.6=-263.377192982456,0,('Raw Data'!J347-12010)/45.6)</f>
        <v>0</v>
      </c>
      <c r="M346" s="16">
        <f>'Raw Data'!N347*2^-8</f>
        <v>0</v>
      </c>
      <c r="N346" s="16">
        <f>'Raw Data'!O347*2^-8</f>
        <v>0</v>
      </c>
      <c r="O346" s="17" t="str">
        <f>IF(BITWISE_AND('Raw Data'!$K347, 8192),"X","")</f>
        <v/>
      </c>
      <c r="P346" s="17" t="str">
        <f>IF(BITWISE_AND('Raw Data'!$K347, 2048),"X","")</f>
        <v/>
      </c>
      <c r="Q346" s="17" t="str">
        <f>IF(BITWISE_AND('Raw Data'!$K347, 64),"X","")</f>
        <v/>
      </c>
      <c r="R346" s="18" t="str">
        <f>IF(BITWISE_AND('Raw Data'!$L347, 1024),"X","")</f>
        <v/>
      </c>
      <c r="S346" s="18" t="str">
        <f>IF(BITWISE_AND('Raw Data'!$L347, 512),"X","")</f>
        <v/>
      </c>
      <c r="T346" s="18" t="str">
        <f>IF(BITWISE_AND('Raw Data'!$L347, 256),"X","")</f>
        <v/>
      </c>
      <c r="U346" s="18" t="str">
        <f>IF(BITWISE_AND('Raw Data'!$L347, 64),"X","")</f>
        <v/>
      </c>
      <c r="V346" s="18" t="str">
        <f>IF(BITWISE_AND('Raw Data'!$L347, 2),"X","")</f>
        <v/>
      </c>
      <c r="W346" s="18" t="str">
        <f>IF(BITWISE_AND('Raw Data'!$L347, 1),"X","")</f>
        <v/>
      </c>
      <c r="X346" s="19" t="str">
        <f>IF(BITWISE_AND('Raw Data'!M347, 1),"Bat Voltage", IF(BITWISE_AND('Raw Data'!M347, 2), "Charge Current", IF(BITWISE_AND('Raw Data'!M347, 4),"Input Ilim", IF(BITWISE_AND('Raw Data'!M347, 8), "Input UV", "none"))))</f>
        <v>none</v>
      </c>
    </row>
    <row r="347" spans="1:24" x14ac:dyDescent="0.2">
      <c r="A347" s="15">
        <f>A346+TIME(0,0,'Raw Data'!B347)</f>
        <v>0</v>
      </c>
      <c r="B347" s="4">
        <f>'Raw Data'!C348*0.025</f>
        <v>0</v>
      </c>
      <c r="C347" s="4">
        <f t="shared" si="18"/>
        <v>0</v>
      </c>
      <c r="D347" s="4">
        <f>'Raw Data'!D348*0.025</f>
        <v>0</v>
      </c>
      <c r="E347" s="4">
        <f t="shared" si="19"/>
        <v>0</v>
      </c>
      <c r="F347" s="4">
        <f>'Raw Data'!E348*0.001648</f>
        <v>0</v>
      </c>
      <c r="G347" s="4">
        <f>'Raw Data'!F348*0.001648</f>
        <v>0</v>
      </c>
      <c r="H347" s="4">
        <f>'Raw Data'!G348*6*0.000128176</f>
        <v>0</v>
      </c>
      <c r="I347" s="4">
        <f>'Raw Data'!H348*0.000732435</f>
        <v>0</v>
      </c>
      <c r="J347" s="4">
        <f t="shared" si="17"/>
        <v>0</v>
      </c>
      <c r="K347" s="36">
        <f>IF(('Raw Data'!I348-16384)/32768&lt;0,0,('Raw Data'!I348-16384)/32768)</f>
        <v>0</v>
      </c>
      <c r="L347" s="4">
        <f>IF(('Raw Data'!J348-12010)/45.6=-263.377192982456,0,('Raw Data'!J348-12010)/45.6)</f>
        <v>0</v>
      </c>
      <c r="M347" s="16">
        <f>'Raw Data'!N348*2^-8</f>
        <v>0</v>
      </c>
      <c r="N347" s="16">
        <f>'Raw Data'!O348*2^-8</f>
        <v>0</v>
      </c>
      <c r="O347" s="17" t="str">
        <f>IF(BITWISE_AND('Raw Data'!$K348, 8192),"X","")</f>
        <v/>
      </c>
      <c r="P347" s="17" t="str">
        <f>IF(BITWISE_AND('Raw Data'!$K348, 2048),"X","")</f>
        <v/>
      </c>
      <c r="Q347" s="17" t="str">
        <f>IF(BITWISE_AND('Raw Data'!$K348, 64),"X","")</f>
        <v/>
      </c>
      <c r="R347" s="18" t="str">
        <f>IF(BITWISE_AND('Raw Data'!$L348, 1024),"X","")</f>
        <v/>
      </c>
      <c r="S347" s="18" t="str">
        <f>IF(BITWISE_AND('Raw Data'!$L348, 512),"X","")</f>
        <v/>
      </c>
      <c r="T347" s="18" t="str">
        <f>IF(BITWISE_AND('Raw Data'!$L348, 256),"X","")</f>
        <v/>
      </c>
      <c r="U347" s="18" t="str">
        <f>IF(BITWISE_AND('Raw Data'!$L348, 64),"X","")</f>
        <v/>
      </c>
      <c r="V347" s="18" t="str">
        <f>IF(BITWISE_AND('Raw Data'!$L348, 2),"X","")</f>
        <v/>
      </c>
      <c r="W347" s="18" t="str">
        <f>IF(BITWISE_AND('Raw Data'!$L348, 1),"X","")</f>
        <v/>
      </c>
      <c r="X347" s="19" t="str">
        <f>IF(BITWISE_AND('Raw Data'!M348, 1),"Bat Voltage", IF(BITWISE_AND('Raw Data'!M348, 2), "Charge Current", IF(BITWISE_AND('Raw Data'!M348, 4),"Input Ilim", IF(BITWISE_AND('Raw Data'!M348, 8), "Input UV", "none"))))</f>
        <v>none</v>
      </c>
    </row>
    <row r="348" spans="1:24" x14ac:dyDescent="0.2">
      <c r="A348" s="15">
        <f>A347+TIME(0,0,'Raw Data'!B348)</f>
        <v>0</v>
      </c>
      <c r="B348" s="4">
        <f>'Raw Data'!C349*0.025</f>
        <v>0</v>
      </c>
      <c r="C348" s="4">
        <f t="shared" si="18"/>
        <v>0</v>
      </c>
      <c r="D348" s="4">
        <f>'Raw Data'!D349*0.025</f>
        <v>0</v>
      </c>
      <c r="E348" s="4">
        <f t="shared" si="19"/>
        <v>0</v>
      </c>
      <c r="F348" s="4">
        <f>'Raw Data'!E349*0.001648</f>
        <v>0</v>
      </c>
      <c r="G348" s="4">
        <f>'Raw Data'!F349*0.001648</f>
        <v>0</v>
      </c>
      <c r="H348" s="4">
        <f>'Raw Data'!G349*6*0.000128176</f>
        <v>0</v>
      </c>
      <c r="I348" s="4">
        <f>'Raw Data'!H349*0.000732435</f>
        <v>0</v>
      </c>
      <c r="J348" s="4">
        <f t="shared" si="17"/>
        <v>0</v>
      </c>
      <c r="K348" s="36">
        <f>IF(('Raw Data'!I349-16384)/32768&lt;0,0,('Raw Data'!I349-16384)/32768)</f>
        <v>0</v>
      </c>
      <c r="L348" s="4">
        <f>IF(('Raw Data'!J349-12010)/45.6=-263.377192982456,0,('Raw Data'!J349-12010)/45.6)</f>
        <v>0</v>
      </c>
      <c r="M348" s="16">
        <f>'Raw Data'!N349*2^-8</f>
        <v>0</v>
      </c>
      <c r="N348" s="16">
        <f>'Raw Data'!O349*2^-8</f>
        <v>0</v>
      </c>
      <c r="O348" s="17" t="str">
        <f>IF(BITWISE_AND('Raw Data'!$K349, 8192),"X","")</f>
        <v/>
      </c>
      <c r="P348" s="17" t="str">
        <f>IF(BITWISE_AND('Raw Data'!$K349, 2048),"X","")</f>
        <v/>
      </c>
      <c r="Q348" s="17" t="str">
        <f>IF(BITWISE_AND('Raw Data'!$K349, 64),"X","")</f>
        <v/>
      </c>
      <c r="R348" s="18" t="str">
        <f>IF(BITWISE_AND('Raw Data'!$L349, 1024),"X","")</f>
        <v/>
      </c>
      <c r="S348" s="18" t="str">
        <f>IF(BITWISE_AND('Raw Data'!$L349, 512),"X","")</f>
        <v/>
      </c>
      <c r="T348" s="18" t="str">
        <f>IF(BITWISE_AND('Raw Data'!$L349, 256),"X","")</f>
        <v/>
      </c>
      <c r="U348" s="18" t="str">
        <f>IF(BITWISE_AND('Raw Data'!$L349, 64),"X","")</f>
        <v/>
      </c>
      <c r="V348" s="18" t="str">
        <f>IF(BITWISE_AND('Raw Data'!$L349, 2),"X","")</f>
        <v/>
      </c>
      <c r="W348" s="18" t="str">
        <f>IF(BITWISE_AND('Raw Data'!$L349, 1),"X","")</f>
        <v/>
      </c>
      <c r="X348" s="19" t="str">
        <f>IF(BITWISE_AND('Raw Data'!M349, 1),"Bat Voltage", IF(BITWISE_AND('Raw Data'!M349, 2), "Charge Current", IF(BITWISE_AND('Raw Data'!M349, 4),"Input Ilim", IF(BITWISE_AND('Raw Data'!M349, 8), "Input UV", "none"))))</f>
        <v>none</v>
      </c>
    </row>
    <row r="349" spans="1:24" x14ac:dyDescent="0.2">
      <c r="A349" s="15">
        <f>A348+TIME(0,0,'Raw Data'!B349)</f>
        <v>0</v>
      </c>
      <c r="B349" s="4">
        <f>'Raw Data'!C350*0.025</f>
        <v>0</v>
      </c>
      <c r="C349" s="4">
        <f t="shared" si="18"/>
        <v>0</v>
      </c>
      <c r="D349" s="4">
        <f>'Raw Data'!D350*0.025</f>
        <v>0</v>
      </c>
      <c r="E349" s="4">
        <f t="shared" si="19"/>
        <v>0</v>
      </c>
      <c r="F349" s="4">
        <f>'Raw Data'!E350*0.001648</f>
        <v>0</v>
      </c>
      <c r="G349" s="4">
        <f>'Raw Data'!F350*0.001648</f>
        <v>0</v>
      </c>
      <c r="H349" s="4">
        <f>'Raw Data'!G350*6*0.000128176</f>
        <v>0</v>
      </c>
      <c r="I349" s="4">
        <f>'Raw Data'!H350*0.000732435</f>
        <v>0</v>
      </c>
      <c r="J349" s="4">
        <f t="shared" si="17"/>
        <v>0</v>
      </c>
      <c r="K349" s="36">
        <f>IF(('Raw Data'!I350-16384)/32768&lt;0,0,('Raw Data'!I350-16384)/32768)</f>
        <v>0</v>
      </c>
      <c r="L349" s="4">
        <f>IF(('Raw Data'!J350-12010)/45.6=-263.377192982456,0,('Raw Data'!J350-12010)/45.6)</f>
        <v>0</v>
      </c>
      <c r="M349" s="16">
        <f>'Raw Data'!N350*2^-8</f>
        <v>0</v>
      </c>
      <c r="N349" s="16">
        <f>'Raw Data'!O350*2^-8</f>
        <v>0</v>
      </c>
      <c r="O349" s="17" t="str">
        <f>IF(BITWISE_AND('Raw Data'!$K350, 8192),"X","")</f>
        <v/>
      </c>
      <c r="P349" s="17" t="str">
        <f>IF(BITWISE_AND('Raw Data'!$K350, 2048),"X","")</f>
        <v/>
      </c>
      <c r="Q349" s="17" t="str">
        <f>IF(BITWISE_AND('Raw Data'!$K350, 64),"X","")</f>
        <v/>
      </c>
      <c r="R349" s="18" t="str">
        <f>IF(BITWISE_AND('Raw Data'!$L350, 1024),"X","")</f>
        <v/>
      </c>
      <c r="S349" s="18" t="str">
        <f>IF(BITWISE_AND('Raw Data'!$L350, 512),"X","")</f>
        <v/>
      </c>
      <c r="T349" s="18" t="str">
        <f>IF(BITWISE_AND('Raw Data'!$L350, 256),"X","")</f>
        <v/>
      </c>
      <c r="U349" s="18" t="str">
        <f>IF(BITWISE_AND('Raw Data'!$L350, 64),"X","")</f>
        <v/>
      </c>
      <c r="V349" s="18" t="str">
        <f>IF(BITWISE_AND('Raw Data'!$L350, 2),"X","")</f>
        <v/>
      </c>
      <c r="W349" s="18" t="str">
        <f>IF(BITWISE_AND('Raw Data'!$L350, 1),"X","")</f>
        <v/>
      </c>
      <c r="X349" s="19" t="str">
        <f>IF(BITWISE_AND('Raw Data'!M350, 1),"Bat Voltage", IF(BITWISE_AND('Raw Data'!M350, 2), "Charge Current", IF(BITWISE_AND('Raw Data'!M350, 4),"Input Ilim", IF(BITWISE_AND('Raw Data'!M350, 8), "Input UV", "none"))))</f>
        <v>none</v>
      </c>
    </row>
    <row r="350" spans="1:24" x14ac:dyDescent="0.2">
      <c r="A350" s="15">
        <f>A349+TIME(0,0,'Raw Data'!B350)</f>
        <v>0</v>
      </c>
      <c r="B350" s="4">
        <f>'Raw Data'!C351*0.025</f>
        <v>0</v>
      </c>
      <c r="C350" s="4">
        <f t="shared" si="18"/>
        <v>0</v>
      </c>
      <c r="D350" s="4">
        <f>'Raw Data'!D351*0.025</f>
        <v>0</v>
      </c>
      <c r="E350" s="4">
        <f t="shared" si="19"/>
        <v>0</v>
      </c>
      <c r="F350" s="4">
        <f>'Raw Data'!E351*0.001648</f>
        <v>0</v>
      </c>
      <c r="G350" s="4">
        <f>'Raw Data'!F351*0.001648</f>
        <v>0</v>
      </c>
      <c r="H350" s="4">
        <f>'Raw Data'!G351*6*0.000128176</f>
        <v>0</v>
      </c>
      <c r="I350" s="4">
        <f>'Raw Data'!H351*0.000732435</f>
        <v>0</v>
      </c>
      <c r="J350" s="4">
        <f t="shared" si="17"/>
        <v>0</v>
      </c>
      <c r="K350" s="36">
        <f>IF(('Raw Data'!I351-16384)/32768&lt;0,0,('Raw Data'!I351-16384)/32768)</f>
        <v>0</v>
      </c>
      <c r="L350" s="4">
        <f>IF(('Raw Data'!J351-12010)/45.6=-263.377192982456,0,('Raw Data'!J351-12010)/45.6)</f>
        <v>0</v>
      </c>
      <c r="M350" s="16">
        <f>'Raw Data'!N351*2^-8</f>
        <v>0</v>
      </c>
      <c r="N350" s="16">
        <f>'Raw Data'!O351*2^-8</f>
        <v>0</v>
      </c>
      <c r="O350" s="17" t="str">
        <f>IF(BITWISE_AND('Raw Data'!$K351, 8192),"X","")</f>
        <v/>
      </c>
      <c r="P350" s="17" t="str">
        <f>IF(BITWISE_AND('Raw Data'!$K351, 2048),"X","")</f>
        <v/>
      </c>
      <c r="Q350" s="17" t="str">
        <f>IF(BITWISE_AND('Raw Data'!$K351, 64),"X","")</f>
        <v/>
      </c>
      <c r="R350" s="18" t="str">
        <f>IF(BITWISE_AND('Raw Data'!$L351, 1024),"X","")</f>
        <v/>
      </c>
      <c r="S350" s="18" t="str">
        <f>IF(BITWISE_AND('Raw Data'!$L351, 512),"X","")</f>
        <v/>
      </c>
      <c r="T350" s="18" t="str">
        <f>IF(BITWISE_AND('Raw Data'!$L351, 256),"X","")</f>
        <v/>
      </c>
      <c r="U350" s="18" t="str">
        <f>IF(BITWISE_AND('Raw Data'!$L351, 64),"X","")</f>
        <v/>
      </c>
      <c r="V350" s="18" t="str">
        <f>IF(BITWISE_AND('Raw Data'!$L351, 2),"X","")</f>
        <v/>
      </c>
      <c r="W350" s="18" t="str">
        <f>IF(BITWISE_AND('Raw Data'!$L351, 1),"X","")</f>
        <v/>
      </c>
      <c r="X350" s="19" t="str">
        <f>IF(BITWISE_AND('Raw Data'!M351, 1),"Bat Voltage", IF(BITWISE_AND('Raw Data'!M351, 2), "Charge Current", IF(BITWISE_AND('Raw Data'!M351, 4),"Input Ilim", IF(BITWISE_AND('Raw Data'!M351, 8), "Input UV", "none"))))</f>
        <v>none</v>
      </c>
    </row>
    <row r="351" spans="1:24" x14ac:dyDescent="0.2">
      <c r="A351" s="15">
        <f>A350+TIME(0,0,'Raw Data'!B351)</f>
        <v>0</v>
      </c>
      <c r="B351" s="4">
        <f>'Raw Data'!C352*0.025</f>
        <v>0</v>
      </c>
      <c r="C351" s="4">
        <f t="shared" si="18"/>
        <v>0</v>
      </c>
      <c r="D351" s="4">
        <f>'Raw Data'!D352*0.025</f>
        <v>0</v>
      </c>
      <c r="E351" s="4">
        <f t="shared" si="19"/>
        <v>0</v>
      </c>
      <c r="F351" s="4">
        <f>'Raw Data'!E352*0.001648</f>
        <v>0</v>
      </c>
      <c r="G351" s="4">
        <f>'Raw Data'!F352*0.001648</f>
        <v>0</v>
      </c>
      <c r="H351" s="4">
        <f>'Raw Data'!G352*6*0.000128176</f>
        <v>0</v>
      </c>
      <c r="I351" s="4">
        <f>'Raw Data'!H352*0.000732435</f>
        <v>0</v>
      </c>
      <c r="J351" s="4">
        <f t="shared" si="17"/>
        <v>0</v>
      </c>
      <c r="K351" s="36">
        <f>IF(('Raw Data'!I352-16384)/32768&lt;0,0,('Raw Data'!I352-16384)/32768)</f>
        <v>0</v>
      </c>
      <c r="L351" s="4">
        <f>IF(('Raw Data'!J352-12010)/45.6=-263.377192982456,0,('Raw Data'!J352-12010)/45.6)</f>
        <v>0</v>
      </c>
      <c r="M351" s="16">
        <f>'Raw Data'!N352*2^-8</f>
        <v>0</v>
      </c>
      <c r="N351" s="16">
        <f>'Raw Data'!O352*2^-8</f>
        <v>0</v>
      </c>
      <c r="O351" s="17" t="str">
        <f>IF(BITWISE_AND('Raw Data'!$K352, 8192),"X","")</f>
        <v/>
      </c>
      <c r="P351" s="17" t="str">
        <f>IF(BITWISE_AND('Raw Data'!$K352, 2048),"X","")</f>
        <v/>
      </c>
      <c r="Q351" s="17" t="str">
        <f>IF(BITWISE_AND('Raw Data'!$K352, 64),"X","")</f>
        <v/>
      </c>
      <c r="R351" s="18" t="str">
        <f>IF(BITWISE_AND('Raw Data'!$L352, 1024),"X","")</f>
        <v/>
      </c>
      <c r="S351" s="18" t="str">
        <f>IF(BITWISE_AND('Raw Data'!$L352, 512),"X","")</f>
        <v/>
      </c>
      <c r="T351" s="18" t="str">
        <f>IF(BITWISE_AND('Raw Data'!$L352, 256),"X","")</f>
        <v/>
      </c>
      <c r="U351" s="18" t="str">
        <f>IF(BITWISE_AND('Raw Data'!$L352, 64),"X","")</f>
        <v/>
      </c>
      <c r="V351" s="18" t="str">
        <f>IF(BITWISE_AND('Raw Data'!$L352, 2),"X","")</f>
        <v/>
      </c>
      <c r="W351" s="18" t="str">
        <f>IF(BITWISE_AND('Raw Data'!$L352, 1),"X","")</f>
        <v/>
      </c>
      <c r="X351" s="19" t="str">
        <f>IF(BITWISE_AND('Raw Data'!M352, 1),"Bat Voltage", IF(BITWISE_AND('Raw Data'!M352, 2), "Charge Current", IF(BITWISE_AND('Raw Data'!M352, 4),"Input Ilim", IF(BITWISE_AND('Raw Data'!M352, 8), "Input UV", "none"))))</f>
        <v>none</v>
      </c>
    </row>
    <row r="352" spans="1:24" x14ac:dyDescent="0.2">
      <c r="A352" s="15">
        <f>A351+TIME(0,0,'Raw Data'!B352)</f>
        <v>0</v>
      </c>
      <c r="B352" s="4">
        <f>'Raw Data'!C353*0.025</f>
        <v>0</v>
      </c>
      <c r="C352" s="4">
        <f t="shared" si="18"/>
        <v>0</v>
      </c>
      <c r="D352" s="4">
        <f>'Raw Data'!D353*0.025</f>
        <v>0</v>
      </c>
      <c r="E352" s="4">
        <f t="shared" si="19"/>
        <v>0</v>
      </c>
      <c r="F352" s="4">
        <f>'Raw Data'!E353*0.001648</f>
        <v>0</v>
      </c>
      <c r="G352" s="4">
        <f>'Raw Data'!F353*0.001648</f>
        <v>0</v>
      </c>
      <c r="H352" s="4">
        <f>'Raw Data'!G353*6*0.000128176</f>
        <v>0</v>
      </c>
      <c r="I352" s="4">
        <f>'Raw Data'!H353*0.000732435</f>
        <v>0</v>
      </c>
      <c r="J352" s="4">
        <f t="shared" si="17"/>
        <v>0</v>
      </c>
      <c r="K352" s="36">
        <f>IF(('Raw Data'!I353-16384)/32768&lt;0,0,('Raw Data'!I353-16384)/32768)</f>
        <v>0</v>
      </c>
      <c r="L352" s="4">
        <f>IF(('Raw Data'!J353-12010)/45.6=-263.377192982456,0,('Raw Data'!J353-12010)/45.6)</f>
        <v>0</v>
      </c>
      <c r="M352" s="16">
        <f>'Raw Data'!N353*2^-8</f>
        <v>0</v>
      </c>
      <c r="N352" s="16">
        <f>'Raw Data'!O353*2^-8</f>
        <v>0</v>
      </c>
      <c r="O352" s="17" t="str">
        <f>IF(BITWISE_AND('Raw Data'!$K353, 8192),"X","")</f>
        <v/>
      </c>
      <c r="P352" s="17" t="str">
        <f>IF(BITWISE_AND('Raw Data'!$K353, 2048),"X","")</f>
        <v/>
      </c>
      <c r="Q352" s="17" t="str">
        <f>IF(BITWISE_AND('Raw Data'!$K353, 64),"X","")</f>
        <v/>
      </c>
      <c r="R352" s="18" t="str">
        <f>IF(BITWISE_AND('Raw Data'!$L353, 1024),"X","")</f>
        <v/>
      </c>
      <c r="S352" s="18" t="str">
        <f>IF(BITWISE_AND('Raw Data'!$L353, 512),"X","")</f>
        <v/>
      </c>
      <c r="T352" s="18" t="str">
        <f>IF(BITWISE_AND('Raw Data'!$L353, 256),"X","")</f>
        <v/>
      </c>
      <c r="U352" s="18" t="str">
        <f>IF(BITWISE_AND('Raw Data'!$L353, 64),"X","")</f>
        <v/>
      </c>
      <c r="V352" s="18" t="str">
        <f>IF(BITWISE_AND('Raw Data'!$L353, 2),"X","")</f>
        <v/>
      </c>
      <c r="W352" s="18" t="str">
        <f>IF(BITWISE_AND('Raw Data'!$L353, 1),"X","")</f>
        <v/>
      </c>
      <c r="X352" s="19" t="str">
        <f>IF(BITWISE_AND('Raw Data'!M353, 1),"Bat Voltage", IF(BITWISE_AND('Raw Data'!M353, 2), "Charge Current", IF(BITWISE_AND('Raw Data'!M353, 4),"Input Ilim", IF(BITWISE_AND('Raw Data'!M353, 8), "Input UV", "none"))))</f>
        <v>none</v>
      </c>
    </row>
    <row r="353" spans="1:24" x14ac:dyDescent="0.2">
      <c r="A353" s="15">
        <f>A352+TIME(0,0,'Raw Data'!B353)</f>
        <v>0</v>
      </c>
      <c r="B353" s="4">
        <f>'Raw Data'!C354*0.025</f>
        <v>0</v>
      </c>
      <c r="C353" s="4">
        <f t="shared" si="18"/>
        <v>0</v>
      </c>
      <c r="D353" s="4">
        <f>'Raw Data'!D354*0.025</f>
        <v>0</v>
      </c>
      <c r="E353" s="4">
        <f t="shared" si="19"/>
        <v>0</v>
      </c>
      <c r="F353" s="4">
        <f>'Raw Data'!E354*0.001648</f>
        <v>0</v>
      </c>
      <c r="G353" s="4">
        <f>'Raw Data'!F354*0.001648</f>
        <v>0</v>
      </c>
      <c r="H353" s="4">
        <f>'Raw Data'!G354*6*0.000128176</f>
        <v>0</v>
      </c>
      <c r="I353" s="4">
        <f>'Raw Data'!H354*0.000732435</f>
        <v>0</v>
      </c>
      <c r="J353" s="4">
        <f t="shared" si="17"/>
        <v>0</v>
      </c>
      <c r="K353" s="36">
        <f>IF(('Raw Data'!I354-16384)/32768&lt;0,0,('Raw Data'!I354-16384)/32768)</f>
        <v>0</v>
      </c>
      <c r="L353" s="4">
        <f>IF(('Raw Data'!J354-12010)/45.6=-263.377192982456,0,('Raw Data'!J354-12010)/45.6)</f>
        <v>0</v>
      </c>
      <c r="M353" s="16">
        <f>'Raw Data'!N354*2^-8</f>
        <v>0</v>
      </c>
      <c r="N353" s="16">
        <f>'Raw Data'!O354*2^-8</f>
        <v>0</v>
      </c>
      <c r="O353" s="17" t="str">
        <f>IF(BITWISE_AND('Raw Data'!$K354, 8192),"X","")</f>
        <v/>
      </c>
      <c r="P353" s="17" t="str">
        <f>IF(BITWISE_AND('Raw Data'!$K354, 2048),"X","")</f>
        <v/>
      </c>
      <c r="Q353" s="17" t="str">
        <f>IF(BITWISE_AND('Raw Data'!$K354, 64),"X","")</f>
        <v/>
      </c>
      <c r="R353" s="18" t="str">
        <f>IF(BITWISE_AND('Raw Data'!$L354, 1024),"X","")</f>
        <v/>
      </c>
      <c r="S353" s="18" t="str">
        <f>IF(BITWISE_AND('Raw Data'!$L354, 512),"X","")</f>
        <v/>
      </c>
      <c r="T353" s="18" t="str">
        <f>IF(BITWISE_AND('Raw Data'!$L354, 256),"X","")</f>
        <v/>
      </c>
      <c r="U353" s="18" t="str">
        <f>IF(BITWISE_AND('Raw Data'!$L354, 64),"X","")</f>
        <v/>
      </c>
      <c r="V353" s="18" t="str">
        <f>IF(BITWISE_AND('Raw Data'!$L354, 2),"X","")</f>
        <v/>
      </c>
      <c r="W353" s="18" t="str">
        <f>IF(BITWISE_AND('Raw Data'!$L354, 1),"X","")</f>
        <v/>
      </c>
      <c r="X353" s="19" t="str">
        <f>IF(BITWISE_AND('Raw Data'!M354, 1),"Bat Voltage", IF(BITWISE_AND('Raw Data'!M354, 2), "Charge Current", IF(BITWISE_AND('Raw Data'!M354, 4),"Input Ilim", IF(BITWISE_AND('Raw Data'!M354, 8), "Input UV", "none"))))</f>
        <v>none</v>
      </c>
    </row>
    <row r="354" spans="1:24" x14ac:dyDescent="0.2">
      <c r="A354" s="15">
        <f>A353+TIME(0,0,'Raw Data'!B354)</f>
        <v>0</v>
      </c>
      <c r="B354" s="4">
        <f>'Raw Data'!C355*0.025</f>
        <v>0</v>
      </c>
      <c r="C354" s="4">
        <f t="shared" si="18"/>
        <v>0</v>
      </c>
      <c r="D354" s="4">
        <f>'Raw Data'!D355*0.025</f>
        <v>0</v>
      </c>
      <c r="E354" s="4">
        <f t="shared" si="19"/>
        <v>0</v>
      </c>
      <c r="F354" s="4">
        <f>'Raw Data'!E355*0.001648</f>
        <v>0</v>
      </c>
      <c r="G354" s="4">
        <f>'Raw Data'!F355*0.001648</f>
        <v>0</v>
      </c>
      <c r="H354" s="4">
        <f>'Raw Data'!G355*6*0.000128176</f>
        <v>0</v>
      </c>
      <c r="I354" s="4">
        <f>'Raw Data'!H355*0.000732435</f>
        <v>0</v>
      </c>
      <c r="J354" s="4">
        <f t="shared" si="17"/>
        <v>0</v>
      </c>
      <c r="K354" s="36">
        <f>IF(('Raw Data'!I355-16384)/32768&lt;0,0,('Raw Data'!I355-16384)/32768)</f>
        <v>0</v>
      </c>
      <c r="L354" s="4">
        <f>IF(('Raw Data'!J355-12010)/45.6=-263.377192982456,0,('Raw Data'!J355-12010)/45.6)</f>
        <v>0</v>
      </c>
      <c r="M354" s="16">
        <f>'Raw Data'!N355*2^-8</f>
        <v>0</v>
      </c>
      <c r="N354" s="16">
        <f>'Raw Data'!O355*2^-8</f>
        <v>0</v>
      </c>
      <c r="O354" s="17" t="str">
        <f>IF(BITWISE_AND('Raw Data'!$K355, 8192),"X","")</f>
        <v/>
      </c>
      <c r="P354" s="17" t="str">
        <f>IF(BITWISE_AND('Raw Data'!$K355, 2048),"X","")</f>
        <v/>
      </c>
      <c r="Q354" s="17" t="str">
        <f>IF(BITWISE_AND('Raw Data'!$K355, 64),"X","")</f>
        <v/>
      </c>
      <c r="R354" s="18" t="str">
        <f>IF(BITWISE_AND('Raw Data'!$L355, 1024),"X","")</f>
        <v/>
      </c>
      <c r="S354" s="18" t="str">
        <f>IF(BITWISE_AND('Raw Data'!$L355, 512),"X","")</f>
        <v/>
      </c>
      <c r="T354" s="18" t="str">
        <f>IF(BITWISE_AND('Raw Data'!$L355, 256),"X","")</f>
        <v/>
      </c>
      <c r="U354" s="18" t="str">
        <f>IF(BITWISE_AND('Raw Data'!$L355, 64),"X","")</f>
        <v/>
      </c>
      <c r="V354" s="18" t="str">
        <f>IF(BITWISE_AND('Raw Data'!$L355, 2),"X","")</f>
        <v/>
      </c>
      <c r="W354" s="18" t="str">
        <f>IF(BITWISE_AND('Raw Data'!$L355, 1),"X","")</f>
        <v/>
      </c>
      <c r="X354" s="19" t="str">
        <f>IF(BITWISE_AND('Raw Data'!M355, 1),"Bat Voltage", IF(BITWISE_AND('Raw Data'!M355, 2), "Charge Current", IF(BITWISE_AND('Raw Data'!M355, 4),"Input Ilim", IF(BITWISE_AND('Raw Data'!M355, 8), "Input UV", "none"))))</f>
        <v>none</v>
      </c>
    </row>
    <row r="355" spans="1:24" x14ac:dyDescent="0.2">
      <c r="A355" s="15">
        <f>A354+TIME(0,0,'Raw Data'!B355)</f>
        <v>0</v>
      </c>
      <c r="B355" s="4">
        <f>'Raw Data'!C356*0.025</f>
        <v>0</v>
      </c>
      <c r="C355" s="4">
        <f t="shared" si="18"/>
        <v>0</v>
      </c>
      <c r="D355" s="4">
        <f>'Raw Data'!D356*0.025</f>
        <v>0</v>
      </c>
      <c r="E355" s="4">
        <f t="shared" si="19"/>
        <v>0</v>
      </c>
      <c r="F355" s="4">
        <f>'Raw Data'!E356*0.001648</f>
        <v>0</v>
      </c>
      <c r="G355" s="4">
        <f>'Raw Data'!F356*0.001648</f>
        <v>0</v>
      </c>
      <c r="H355" s="4">
        <f>'Raw Data'!G356*6*0.000128176</f>
        <v>0</v>
      </c>
      <c r="I355" s="4">
        <f>'Raw Data'!H356*0.000732435</f>
        <v>0</v>
      </c>
      <c r="J355" s="4">
        <f t="shared" si="17"/>
        <v>0</v>
      </c>
      <c r="K355" s="36">
        <f>IF(('Raw Data'!I356-16384)/32768&lt;0,0,('Raw Data'!I356-16384)/32768)</f>
        <v>0</v>
      </c>
      <c r="L355" s="4">
        <f>IF(('Raw Data'!J356-12010)/45.6=-263.377192982456,0,('Raw Data'!J356-12010)/45.6)</f>
        <v>0</v>
      </c>
      <c r="M355" s="16">
        <f>'Raw Data'!N356*2^-8</f>
        <v>0</v>
      </c>
      <c r="N355" s="16">
        <f>'Raw Data'!O356*2^-8</f>
        <v>0</v>
      </c>
      <c r="O355" s="17" t="str">
        <f>IF(BITWISE_AND('Raw Data'!$K356, 8192),"X","")</f>
        <v/>
      </c>
      <c r="P355" s="17" t="str">
        <f>IF(BITWISE_AND('Raw Data'!$K356, 2048),"X","")</f>
        <v/>
      </c>
      <c r="Q355" s="17" t="str">
        <f>IF(BITWISE_AND('Raw Data'!$K356, 64),"X","")</f>
        <v/>
      </c>
      <c r="R355" s="18" t="str">
        <f>IF(BITWISE_AND('Raw Data'!$L356, 1024),"X","")</f>
        <v/>
      </c>
      <c r="S355" s="18" t="str">
        <f>IF(BITWISE_AND('Raw Data'!$L356, 512),"X","")</f>
        <v/>
      </c>
      <c r="T355" s="18" t="str">
        <f>IF(BITWISE_AND('Raw Data'!$L356, 256),"X","")</f>
        <v/>
      </c>
      <c r="U355" s="18" t="str">
        <f>IF(BITWISE_AND('Raw Data'!$L356, 64),"X","")</f>
        <v/>
      </c>
      <c r="V355" s="18" t="str">
        <f>IF(BITWISE_AND('Raw Data'!$L356, 2),"X","")</f>
        <v/>
      </c>
      <c r="W355" s="18" t="str">
        <f>IF(BITWISE_AND('Raw Data'!$L356, 1),"X","")</f>
        <v/>
      </c>
      <c r="X355" s="19" t="str">
        <f>IF(BITWISE_AND('Raw Data'!M356, 1),"Bat Voltage", IF(BITWISE_AND('Raw Data'!M356, 2), "Charge Current", IF(BITWISE_AND('Raw Data'!M356, 4),"Input Ilim", IF(BITWISE_AND('Raw Data'!M356, 8), "Input UV", "none"))))</f>
        <v>none</v>
      </c>
    </row>
    <row r="356" spans="1:24" x14ac:dyDescent="0.2">
      <c r="A356" s="15">
        <f>A355+TIME(0,0,'Raw Data'!B356)</f>
        <v>0</v>
      </c>
      <c r="B356" s="4">
        <f>'Raw Data'!C357*0.025</f>
        <v>0</v>
      </c>
      <c r="C356" s="4">
        <f t="shared" si="18"/>
        <v>0</v>
      </c>
      <c r="D356" s="4">
        <f>'Raw Data'!D357*0.025</f>
        <v>0</v>
      </c>
      <c r="E356" s="4">
        <f t="shared" si="19"/>
        <v>0</v>
      </c>
      <c r="F356" s="4">
        <f>'Raw Data'!E357*0.001648</f>
        <v>0</v>
      </c>
      <c r="G356" s="4">
        <f>'Raw Data'!F357*0.001648</f>
        <v>0</v>
      </c>
      <c r="H356" s="4">
        <f>'Raw Data'!G357*6*0.000128176</f>
        <v>0</v>
      </c>
      <c r="I356" s="4">
        <f>'Raw Data'!H357*0.000732435</f>
        <v>0</v>
      </c>
      <c r="J356" s="4">
        <f t="shared" si="17"/>
        <v>0</v>
      </c>
      <c r="K356" s="36">
        <f>IF(('Raw Data'!I357-16384)/32768&lt;0,0,('Raw Data'!I357-16384)/32768)</f>
        <v>0</v>
      </c>
      <c r="L356" s="4">
        <f>IF(('Raw Data'!J357-12010)/45.6=-263.377192982456,0,('Raw Data'!J357-12010)/45.6)</f>
        <v>0</v>
      </c>
      <c r="M356" s="16">
        <f>'Raw Data'!N357*2^-8</f>
        <v>0</v>
      </c>
      <c r="N356" s="16">
        <f>'Raw Data'!O357*2^-8</f>
        <v>0</v>
      </c>
      <c r="O356" s="17" t="str">
        <f>IF(BITWISE_AND('Raw Data'!$K357, 8192),"X","")</f>
        <v/>
      </c>
      <c r="P356" s="17" t="str">
        <f>IF(BITWISE_AND('Raw Data'!$K357, 2048),"X","")</f>
        <v/>
      </c>
      <c r="Q356" s="17" t="str">
        <f>IF(BITWISE_AND('Raw Data'!$K357, 64),"X","")</f>
        <v/>
      </c>
      <c r="R356" s="18" t="str">
        <f>IF(BITWISE_AND('Raw Data'!$L357, 1024),"X","")</f>
        <v/>
      </c>
      <c r="S356" s="18" t="str">
        <f>IF(BITWISE_AND('Raw Data'!$L357, 512),"X","")</f>
        <v/>
      </c>
      <c r="T356" s="18" t="str">
        <f>IF(BITWISE_AND('Raw Data'!$L357, 256),"X","")</f>
        <v/>
      </c>
      <c r="U356" s="18" t="str">
        <f>IF(BITWISE_AND('Raw Data'!$L357, 64),"X","")</f>
        <v/>
      </c>
      <c r="V356" s="18" t="str">
        <f>IF(BITWISE_AND('Raw Data'!$L357, 2),"X","")</f>
        <v/>
      </c>
      <c r="W356" s="18" t="str">
        <f>IF(BITWISE_AND('Raw Data'!$L357, 1),"X","")</f>
        <v/>
      </c>
      <c r="X356" s="19" t="str">
        <f>IF(BITWISE_AND('Raw Data'!M357, 1),"Bat Voltage", IF(BITWISE_AND('Raw Data'!M357, 2), "Charge Current", IF(BITWISE_AND('Raw Data'!M357, 4),"Input Ilim", IF(BITWISE_AND('Raw Data'!M357, 8), "Input UV", "none"))))</f>
        <v>none</v>
      </c>
    </row>
    <row r="357" spans="1:24" x14ac:dyDescent="0.2">
      <c r="A357" s="15">
        <f>A356+TIME(0,0,'Raw Data'!B357)</f>
        <v>0</v>
      </c>
      <c r="B357" s="4">
        <f>'Raw Data'!C358*0.025</f>
        <v>0</v>
      </c>
      <c r="C357" s="4">
        <f t="shared" si="18"/>
        <v>0</v>
      </c>
      <c r="D357" s="4">
        <f>'Raw Data'!D358*0.025</f>
        <v>0</v>
      </c>
      <c r="E357" s="4">
        <f t="shared" si="19"/>
        <v>0</v>
      </c>
      <c r="F357" s="4">
        <f>'Raw Data'!E358*0.001648</f>
        <v>0</v>
      </c>
      <c r="G357" s="4">
        <f>'Raw Data'!F358*0.001648</f>
        <v>0</v>
      </c>
      <c r="H357" s="4">
        <f>'Raw Data'!G358*6*0.000128176</f>
        <v>0</v>
      </c>
      <c r="I357" s="4">
        <f>'Raw Data'!H358*0.000732435</f>
        <v>0</v>
      </c>
      <c r="J357" s="4">
        <f t="shared" si="17"/>
        <v>0</v>
      </c>
      <c r="K357" s="36">
        <f>IF(('Raw Data'!I358-16384)/32768&lt;0,0,('Raw Data'!I358-16384)/32768)</f>
        <v>0</v>
      </c>
      <c r="L357" s="4">
        <f>IF(('Raw Data'!J358-12010)/45.6=-263.377192982456,0,('Raw Data'!J358-12010)/45.6)</f>
        <v>0</v>
      </c>
      <c r="M357" s="16">
        <f>'Raw Data'!N358*2^-8</f>
        <v>0</v>
      </c>
      <c r="N357" s="16">
        <f>'Raw Data'!O358*2^-8</f>
        <v>0</v>
      </c>
      <c r="O357" s="17" t="str">
        <f>IF(BITWISE_AND('Raw Data'!$K358, 8192),"X","")</f>
        <v/>
      </c>
      <c r="P357" s="17" t="str">
        <f>IF(BITWISE_AND('Raw Data'!$K358, 2048),"X","")</f>
        <v/>
      </c>
      <c r="Q357" s="17" t="str">
        <f>IF(BITWISE_AND('Raw Data'!$K358, 64),"X","")</f>
        <v/>
      </c>
      <c r="R357" s="18" t="str">
        <f>IF(BITWISE_AND('Raw Data'!$L358, 1024),"X","")</f>
        <v/>
      </c>
      <c r="S357" s="18" t="str">
        <f>IF(BITWISE_AND('Raw Data'!$L358, 512),"X","")</f>
        <v/>
      </c>
      <c r="T357" s="18" t="str">
        <f>IF(BITWISE_AND('Raw Data'!$L358, 256),"X","")</f>
        <v/>
      </c>
      <c r="U357" s="18" t="str">
        <f>IF(BITWISE_AND('Raw Data'!$L358, 64),"X","")</f>
        <v/>
      </c>
      <c r="V357" s="18" t="str">
        <f>IF(BITWISE_AND('Raw Data'!$L358, 2),"X","")</f>
        <v/>
      </c>
      <c r="W357" s="18" t="str">
        <f>IF(BITWISE_AND('Raw Data'!$L358, 1),"X","")</f>
        <v/>
      </c>
      <c r="X357" s="19" t="str">
        <f>IF(BITWISE_AND('Raw Data'!M358, 1),"Bat Voltage", IF(BITWISE_AND('Raw Data'!M358, 2), "Charge Current", IF(BITWISE_AND('Raw Data'!M358, 4),"Input Ilim", IF(BITWISE_AND('Raw Data'!M358, 8), "Input UV", "none"))))</f>
        <v>none</v>
      </c>
    </row>
    <row r="358" spans="1:24" x14ac:dyDescent="0.2">
      <c r="A358" s="15">
        <f>A357+TIME(0,0,'Raw Data'!B358)</f>
        <v>0</v>
      </c>
      <c r="B358" s="4">
        <f>'Raw Data'!C359*0.025</f>
        <v>0</v>
      </c>
      <c r="C358" s="4">
        <f t="shared" si="18"/>
        <v>0</v>
      </c>
      <c r="D358" s="4">
        <f>'Raw Data'!D359*0.025</f>
        <v>0</v>
      </c>
      <c r="E358" s="4">
        <f t="shared" si="19"/>
        <v>0</v>
      </c>
      <c r="F358" s="4">
        <f>'Raw Data'!E359*0.001648</f>
        <v>0</v>
      </c>
      <c r="G358" s="4">
        <f>'Raw Data'!F359*0.001648</f>
        <v>0</v>
      </c>
      <c r="H358" s="4">
        <f>'Raw Data'!G359*6*0.000128176</f>
        <v>0</v>
      </c>
      <c r="I358" s="4">
        <f>'Raw Data'!H359*0.000732435</f>
        <v>0</v>
      </c>
      <c r="J358" s="4">
        <f t="shared" si="17"/>
        <v>0</v>
      </c>
      <c r="K358" s="36">
        <f>IF(('Raw Data'!I359-16384)/32768&lt;0,0,('Raw Data'!I359-16384)/32768)</f>
        <v>0</v>
      </c>
      <c r="L358" s="4">
        <f>IF(('Raw Data'!J359-12010)/45.6=-263.377192982456,0,('Raw Data'!J359-12010)/45.6)</f>
        <v>0</v>
      </c>
      <c r="M358" s="16">
        <f>'Raw Data'!N359*2^-8</f>
        <v>0</v>
      </c>
      <c r="N358" s="16">
        <f>'Raw Data'!O359*2^-8</f>
        <v>0</v>
      </c>
      <c r="O358" s="17" t="str">
        <f>IF(BITWISE_AND('Raw Data'!$K359, 8192),"X","")</f>
        <v/>
      </c>
      <c r="P358" s="17" t="str">
        <f>IF(BITWISE_AND('Raw Data'!$K359, 2048),"X","")</f>
        <v/>
      </c>
      <c r="Q358" s="17" t="str">
        <f>IF(BITWISE_AND('Raw Data'!$K359, 64),"X","")</f>
        <v/>
      </c>
      <c r="R358" s="18" t="str">
        <f>IF(BITWISE_AND('Raw Data'!$L359, 1024),"X","")</f>
        <v/>
      </c>
      <c r="S358" s="18" t="str">
        <f>IF(BITWISE_AND('Raw Data'!$L359, 512),"X","")</f>
        <v/>
      </c>
      <c r="T358" s="18" t="str">
        <f>IF(BITWISE_AND('Raw Data'!$L359, 256),"X","")</f>
        <v/>
      </c>
      <c r="U358" s="18" t="str">
        <f>IF(BITWISE_AND('Raw Data'!$L359, 64),"X","")</f>
        <v/>
      </c>
      <c r="V358" s="18" t="str">
        <f>IF(BITWISE_AND('Raw Data'!$L359, 2),"X","")</f>
        <v/>
      </c>
      <c r="W358" s="18" t="str">
        <f>IF(BITWISE_AND('Raw Data'!$L359, 1),"X","")</f>
        <v/>
      </c>
      <c r="X358" s="19" t="str">
        <f>IF(BITWISE_AND('Raw Data'!M359, 1),"Bat Voltage", IF(BITWISE_AND('Raw Data'!M359, 2), "Charge Current", IF(BITWISE_AND('Raw Data'!M359, 4),"Input Ilim", IF(BITWISE_AND('Raw Data'!M359, 8), "Input UV", "none"))))</f>
        <v>none</v>
      </c>
    </row>
    <row r="359" spans="1:24" x14ac:dyDescent="0.2">
      <c r="A359" s="15">
        <f>A358+TIME(0,0,'Raw Data'!B359)</f>
        <v>0</v>
      </c>
      <c r="B359" s="4">
        <f>'Raw Data'!C360*0.025</f>
        <v>0</v>
      </c>
      <c r="C359" s="4">
        <f t="shared" si="18"/>
        <v>0</v>
      </c>
      <c r="D359" s="4">
        <f>'Raw Data'!D360*0.025</f>
        <v>0</v>
      </c>
      <c r="E359" s="4">
        <f t="shared" si="19"/>
        <v>0</v>
      </c>
      <c r="F359" s="4">
        <f>'Raw Data'!E360*0.001648</f>
        <v>0</v>
      </c>
      <c r="G359" s="4">
        <f>'Raw Data'!F360*0.001648</f>
        <v>0</v>
      </c>
      <c r="H359" s="4">
        <f>'Raw Data'!G360*6*0.000128176</f>
        <v>0</v>
      </c>
      <c r="I359" s="4">
        <f>'Raw Data'!H360*0.000732435</f>
        <v>0</v>
      </c>
      <c r="J359" s="4">
        <f t="shared" si="17"/>
        <v>0</v>
      </c>
      <c r="K359" s="36">
        <f>IF(('Raw Data'!I360-16384)/32768&lt;0,0,('Raw Data'!I360-16384)/32768)</f>
        <v>0</v>
      </c>
      <c r="L359" s="4">
        <f>IF(('Raw Data'!J360-12010)/45.6=-263.377192982456,0,('Raw Data'!J360-12010)/45.6)</f>
        <v>0</v>
      </c>
      <c r="M359" s="16">
        <f>'Raw Data'!N360*2^-8</f>
        <v>0</v>
      </c>
      <c r="N359" s="16">
        <f>'Raw Data'!O360*2^-8</f>
        <v>0</v>
      </c>
      <c r="O359" s="17" t="str">
        <f>IF(BITWISE_AND('Raw Data'!$K360, 8192),"X","")</f>
        <v/>
      </c>
      <c r="P359" s="17" t="str">
        <f>IF(BITWISE_AND('Raw Data'!$K360, 2048),"X","")</f>
        <v/>
      </c>
      <c r="Q359" s="17" t="str">
        <f>IF(BITWISE_AND('Raw Data'!$K360, 64),"X","")</f>
        <v/>
      </c>
      <c r="R359" s="18" t="str">
        <f>IF(BITWISE_AND('Raw Data'!$L360, 1024),"X","")</f>
        <v/>
      </c>
      <c r="S359" s="18" t="str">
        <f>IF(BITWISE_AND('Raw Data'!$L360, 512),"X","")</f>
        <v/>
      </c>
      <c r="T359" s="18" t="str">
        <f>IF(BITWISE_AND('Raw Data'!$L360, 256),"X","")</f>
        <v/>
      </c>
      <c r="U359" s="18" t="str">
        <f>IF(BITWISE_AND('Raw Data'!$L360, 64),"X","")</f>
        <v/>
      </c>
      <c r="V359" s="18" t="str">
        <f>IF(BITWISE_AND('Raw Data'!$L360, 2),"X","")</f>
        <v/>
      </c>
      <c r="W359" s="18" t="str">
        <f>IF(BITWISE_AND('Raw Data'!$L360, 1),"X","")</f>
        <v/>
      </c>
      <c r="X359" s="19" t="str">
        <f>IF(BITWISE_AND('Raw Data'!M360, 1),"Bat Voltage", IF(BITWISE_AND('Raw Data'!M360, 2), "Charge Current", IF(BITWISE_AND('Raw Data'!M360, 4),"Input Ilim", IF(BITWISE_AND('Raw Data'!M360, 8), "Input UV", "none"))))</f>
        <v>none</v>
      </c>
    </row>
    <row r="360" spans="1:24" x14ac:dyDescent="0.2">
      <c r="A360" s="15">
        <f>A359+TIME(0,0,'Raw Data'!B360)</f>
        <v>0</v>
      </c>
      <c r="B360" s="4">
        <f>'Raw Data'!C361*0.025</f>
        <v>0</v>
      </c>
      <c r="C360" s="4">
        <f t="shared" si="18"/>
        <v>0</v>
      </c>
      <c r="D360" s="4">
        <f>'Raw Data'!D361*0.025</f>
        <v>0</v>
      </c>
      <c r="E360" s="4">
        <f t="shared" si="19"/>
        <v>0</v>
      </c>
      <c r="F360" s="4">
        <f>'Raw Data'!E361*0.001648</f>
        <v>0</v>
      </c>
      <c r="G360" s="4">
        <f>'Raw Data'!F361*0.001648</f>
        <v>0</v>
      </c>
      <c r="H360" s="4">
        <f>'Raw Data'!G361*6*0.000128176</f>
        <v>0</v>
      </c>
      <c r="I360" s="4">
        <f>'Raw Data'!H361*0.000732435</f>
        <v>0</v>
      </c>
      <c r="J360" s="4">
        <f t="shared" si="17"/>
        <v>0</v>
      </c>
      <c r="K360" s="36">
        <f>IF(('Raw Data'!I361-16384)/32768&lt;0,0,('Raw Data'!I361-16384)/32768)</f>
        <v>0</v>
      </c>
      <c r="L360" s="4">
        <f>IF(('Raw Data'!J361-12010)/45.6=-263.377192982456,0,('Raw Data'!J361-12010)/45.6)</f>
        <v>0</v>
      </c>
      <c r="M360" s="16">
        <f>'Raw Data'!N361*2^-8</f>
        <v>0</v>
      </c>
      <c r="N360" s="16">
        <f>'Raw Data'!O361*2^-8</f>
        <v>0</v>
      </c>
      <c r="O360" s="17" t="str">
        <f>IF(BITWISE_AND('Raw Data'!$K361, 8192),"X","")</f>
        <v/>
      </c>
      <c r="P360" s="17" t="str">
        <f>IF(BITWISE_AND('Raw Data'!$K361, 2048),"X","")</f>
        <v/>
      </c>
      <c r="Q360" s="17" t="str">
        <f>IF(BITWISE_AND('Raw Data'!$K361, 64),"X","")</f>
        <v/>
      </c>
      <c r="R360" s="18" t="str">
        <f>IF(BITWISE_AND('Raw Data'!$L361, 1024),"X","")</f>
        <v/>
      </c>
      <c r="S360" s="18" t="str">
        <f>IF(BITWISE_AND('Raw Data'!$L361, 512),"X","")</f>
        <v/>
      </c>
      <c r="T360" s="18" t="str">
        <f>IF(BITWISE_AND('Raw Data'!$L361, 256),"X","")</f>
        <v/>
      </c>
      <c r="U360" s="18" t="str">
        <f>IF(BITWISE_AND('Raw Data'!$L361, 64),"X","")</f>
        <v/>
      </c>
      <c r="V360" s="18" t="str">
        <f>IF(BITWISE_AND('Raw Data'!$L361, 2),"X","")</f>
        <v/>
      </c>
      <c r="W360" s="18" t="str">
        <f>IF(BITWISE_AND('Raw Data'!$L361, 1),"X","")</f>
        <v/>
      </c>
      <c r="X360" s="19" t="str">
        <f>IF(BITWISE_AND('Raw Data'!M361, 1),"Bat Voltage", IF(BITWISE_AND('Raw Data'!M361, 2), "Charge Current", IF(BITWISE_AND('Raw Data'!M361, 4),"Input Ilim", IF(BITWISE_AND('Raw Data'!M361, 8), "Input UV", "none"))))</f>
        <v>none</v>
      </c>
    </row>
    <row r="361" spans="1:24" x14ac:dyDescent="0.2">
      <c r="A361" s="15">
        <f>A360+TIME(0,0,'Raw Data'!B361)</f>
        <v>0</v>
      </c>
      <c r="B361" s="4">
        <f>'Raw Data'!C362*0.025</f>
        <v>0</v>
      </c>
      <c r="C361" s="4">
        <f t="shared" si="18"/>
        <v>0</v>
      </c>
      <c r="D361" s="4">
        <f>'Raw Data'!D362*0.025</f>
        <v>0</v>
      </c>
      <c r="E361" s="4">
        <f t="shared" si="19"/>
        <v>0</v>
      </c>
      <c r="F361" s="4">
        <f>'Raw Data'!E362*0.001648</f>
        <v>0</v>
      </c>
      <c r="G361" s="4">
        <f>'Raw Data'!F362*0.001648</f>
        <v>0</v>
      </c>
      <c r="H361" s="4">
        <f>'Raw Data'!G362*6*0.000128176</f>
        <v>0</v>
      </c>
      <c r="I361" s="4">
        <f>'Raw Data'!H362*0.000732435</f>
        <v>0</v>
      </c>
      <c r="J361" s="4">
        <f t="shared" si="17"/>
        <v>0</v>
      </c>
      <c r="K361" s="36">
        <f>IF(('Raw Data'!I362-16384)/32768&lt;0,0,('Raw Data'!I362-16384)/32768)</f>
        <v>0</v>
      </c>
      <c r="L361" s="4">
        <f>IF(('Raw Data'!J362-12010)/45.6=-263.377192982456,0,('Raw Data'!J362-12010)/45.6)</f>
        <v>0</v>
      </c>
      <c r="M361" s="16">
        <f>'Raw Data'!N362*2^-8</f>
        <v>0</v>
      </c>
      <c r="N361" s="16">
        <f>'Raw Data'!O362*2^-8</f>
        <v>0</v>
      </c>
      <c r="O361" s="17" t="str">
        <f>IF(BITWISE_AND('Raw Data'!$K362, 8192),"X","")</f>
        <v/>
      </c>
      <c r="P361" s="17" t="str">
        <f>IF(BITWISE_AND('Raw Data'!$K362, 2048),"X","")</f>
        <v/>
      </c>
      <c r="Q361" s="17" t="str">
        <f>IF(BITWISE_AND('Raw Data'!$K362, 64),"X","")</f>
        <v/>
      </c>
      <c r="R361" s="18" t="str">
        <f>IF(BITWISE_AND('Raw Data'!$L362, 1024),"X","")</f>
        <v/>
      </c>
      <c r="S361" s="18" t="str">
        <f>IF(BITWISE_AND('Raw Data'!$L362, 512),"X","")</f>
        <v/>
      </c>
      <c r="T361" s="18" t="str">
        <f>IF(BITWISE_AND('Raw Data'!$L362, 256),"X","")</f>
        <v/>
      </c>
      <c r="U361" s="18" t="str">
        <f>IF(BITWISE_AND('Raw Data'!$L362, 64),"X","")</f>
        <v/>
      </c>
      <c r="V361" s="18" t="str">
        <f>IF(BITWISE_AND('Raw Data'!$L362, 2),"X","")</f>
        <v/>
      </c>
      <c r="W361" s="18" t="str">
        <f>IF(BITWISE_AND('Raw Data'!$L362, 1),"X","")</f>
        <v/>
      </c>
      <c r="X361" s="19" t="str">
        <f>IF(BITWISE_AND('Raw Data'!M362, 1),"Bat Voltage", IF(BITWISE_AND('Raw Data'!M362, 2), "Charge Current", IF(BITWISE_AND('Raw Data'!M362, 4),"Input Ilim", IF(BITWISE_AND('Raw Data'!M362, 8), "Input UV", "none"))))</f>
        <v>none</v>
      </c>
    </row>
    <row r="362" spans="1:24" x14ac:dyDescent="0.2">
      <c r="A362" s="15">
        <f>A361+TIME(0,0,'Raw Data'!B362)</f>
        <v>0</v>
      </c>
      <c r="B362" s="4">
        <f>'Raw Data'!C363*0.025</f>
        <v>0</v>
      </c>
      <c r="C362" s="4">
        <f t="shared" si="18"/>
        <v>0</v>
      </c>
      <c r="D362" s="4">
        <f>'Raw Data'!D363*0.025</f>
        <v>0</v>
      </c>
      <c r="E362" s="4">
        <f t="shared" si="19"/>
        <v>0</v>
      </c>
      <c r="F362" s="4">
        <f>'Raw Data'!E363*0.001648</f>
        <v>0</v>
      </c>
      <c r="G362" s="4">
        <f>'Raw Data'!F363*0.001648</f>
        <v>0</v>
      </c>
      <c r="H362" s="4">
        <f>'Raw Data'!G363*6*0.000128176</f>
        <v>0</v>
      </c>
      <c r="I362" s="4">
        <f>'Raw Data'!H363*0.000732435</f>
        <v>0</v>
      </c>
      <c r="J362" s="4">
        <f t="shared" si="17"/>
        <v>0</v>
      </c>
      <c r="K362" s="36">
        <f>IF(('Raw Data'!I363-16384)/32768&lt;0,0,('Raw Data'!I363-16384)/32768)</f>
        <v>0</v>
      </c>
      <c r="L362" s="4">
        <f>IF(('Raw Data'!J363-12010)/45.6=-263.377192982456,0,('Raw Data'!J363-12010)/45.6)</f>
        <v>0</v>
      </c>
      <c r="M362" s="16">
        <f>'Raw Data'!N363*2^-8</f>
        <v>0</v>
      </c>
      <c r="N362" s="16">
        <f>'Raw Data'!O363*2^-8</f>
        <v>0</v>
      </c>
      <c r="O362" s="17" t="str">
        <f>IF(BITWISE_AND('Raw Data'!$K363, 8192),"X","")</f>
        <v/>
      </c>
      <c r="P362" s="17" t="str">
        <f>IF(BITWISE_AND('Raw Data'!$K363, 2048),"X","")</f>
        <v/>
      </c>
      <c r="Q362" s="17" t="str">
        <f>IF(BITWISE_AND('Raw Data'!$K363, 64),"X","")</f>
        <v/>
      </c>
      <c r="R362" s="18" t="str">
        <f>IF(BITWISE_AND('Raw Data'!$L363, 1024),"X","")</f>
        <v/>
      </c>
      <c r="S362" s="18" t="str">
        <f>IF(BITWISE_AND('Raw Data'!$L363, 512),"X","")</f>
        <v/>
      </c>
      <c r="T362" s="18" t="str">
        <f>IF(BITWISE_AND('Raw Data'!$L363, 256),"X","")</f>
        <v/>
      </c>
      <c r="U362" s="18" t="str">
        <f>IF(BITWISE_AND('Raw Data'!$L363, 64),"X","")</f>
        <v/>
      </c>
      <c r="V362" s="18" t="str">
        <f>IF(BITWISE_AND('Raw Data'!$L363, 2),"X","")</f>
        <v/>
      </c>
      <c r="W362" s="18" t="str">
        <f>IF(BITWISE_AND('Raw Data'!$L363, 1),"X","")</f>
        <v/>
      </c>
      <c r="X362" s="19" t="str">
        <f>IF(BITWISE_AND('Raw Data'!M363, 1),"Bat Voltage", IF(BITWISE_AND('Raw Data'!M363, 2), "Charge Current", IF(BITWISE_AND('Raw Data'!M363, 4),"Input Ilim", IF(BITWISE_AND('Raw Data'!M363, 8), "Input UV", "none"))))</f>
        <v>none</v>
      </c>
    </row>
    <row r="363" spans="1:24" x14ac:dyDescent="0.2">
      <c r="A363" s="15">
        <f>A362+TIME(0,0,'Raw Data'!B363)</f>
        <v>0</v>
      </c>
      <c r="B363" s="4">
        <f>'Raw Data'!C364*0.025</f>
        <v>0</v>
      </c>
      <c r="C363" s="4">
        <f t="shared" si="18"/>
        <v>0</v>
      </c>
      <c r="D363" s="4">
        <f>'Raw Data'!D364*0.025</f>
        <v>0</v>
      </c>
      <c r="E363" s="4">
        <f t="shared" si="19"/>
        <v>0</v>
      </c>
      <c r="F363" s="4">
        <f>'Raw Data'!E364*0.001648</f>
        <v>0</v>
      </c>
      <c r="G363" s="4">
        <f>'Raw Data'!F364*0.001648</f>
        <v>0</v>
      </c>
      <c r="H363" s="4">
        <f>'Raw Data'!G364*6*0.000128176</f>
        <v>0</v>
      </c>
      <c r="I363" s="4">
        <f>'Raw Data'!H364*0.000732435</f>
        <v>0</v>
      </c>
      <c r="J363" s="4">
        <f t="shared" si="17"/>
        <v>0</v>
      </c>
      <c r="K363" s="36">
        <f>IF(('Raw Data'!I364-16384)/32768&lt;0,0,('Raw Data'!I364-16384)/32768)</f>
        <v>0</v>
      </c>
      <c r="L363" s="4">
        <f>IF(('Raw Data'!J364-12010)/45.6=-263.377192982456,0,('Raw Data'!J364-12010)/45.6)</f>
        <v>0</v>
      </c>
      <c r="M363" s="16">
        <f>'Raw Data'!N364*2^-8</f>
        <v>0</v>
      </c>
      <c r="N363" s="16">
        <f>'Raw Data'!O364*2^-8</f>
        <v>0</v>
      </c>
      <c r="O363" s="17" t="str">
        <f>IF(BITWISE_AND('Raw Data'!$K364, 8192),"X","")</f>
        <v/>
      </c>
      <c r="P363" s="17" t="str">
        <f>IF(BITWISE_AND('Raw Data'!$K364, 2048),"X","")</f>
        <v/>
      </c>
      <c r="Q363" s="17" t="str">
        <f>IF(BITWISE_AND('Raw Data'!$K364, 64),"X","")</f>
        <v/>
      </c>
      <c r="R363" s="18" t="str">
        <f>IF(BITWISE_AND('Raw Data'!$L364, 1024),"X","")</f>
        <v/>
      </c>
      <c r="S363" s="18" t="str">
        <f>IF(BITWISE_AND('Raw Data'!$L364, 512),"X","")</f>
        <v/>
      </c>
      <c r="T363" s="18" t="str">
        <f>IF(BITWISE_AND('Raw Data'!$L364, 256),"X","")</f>
        <v/>
      </c>
      <c r="U363" s="18" t="str">
        <f>IF(BITWISE_AND('Raw Data'!$L364, 64),"X","")</f>
        <v/>
      </c>
      <c r="V363" s="18" t="str">
        <f>IF(BITWISE_AND('Raw Data'!$L364, 2),"X","")</f>
        <v/>
      </c>
      <c r="W363" s="18" t="str">
        <f>IF(BITWISE_AND('Raw Data'!$L364, 1),"X","")</f>
        <v/>
      </c>
      <c r="X363" s="19" t="str">
        <f>IF(BITWISE_AND('Raw Data'!M364, 1),"Bat Voltage", IF(BITWISE_AND('Raw Data'!M364, 2), "Charge Current", IF(BITWISE_AND('Raw Data'!M364, 4),"Input Ilim", IF(BITWISE_AND('Raw Data'!M364, 8), "Input UV", "none"))))</f>
        <v>none</v>
      </c>
    </row>
    <row r="364" spans="1:24" x14ac:dyDescent="0.2">
      <c r="A364" s="15">
        <f>A363+TIME(0,0,'Raw Data'!B364)</f>
        <v>0</v>
      </c>
      <c r="B364" s="4">
        <f>'Raw Data'!C365*0.025</f>
        <v>0</v>
      </c>
      <c r="C364" s="4">
        <f t="shared" si="18"/>
        <v>0</v>
      </c>
      <c r="D364" s="4">
        <f>'Raw Data'!D365*0.025</f>
        <v>0</v>
      </c>
      <c r="E364" s="4">
        <f t="shared" si="19"/>
        <v>0</v>
      </c>
      <c r="F364" s="4">
        <f>'Raw Data'!E365*0.001648</f>
        <v>0</v>
      </c>
      <c r="G364" s="4">
        <f>'Raw Data'!F365*0.001648</f>
        <v>0</v>
      </c>
      <c r="H364" s="4">
        <f>'Raw Data'!G365*6*0.000128176</f>
        <v>0</v>
      </c>
      <c r="I364" s="4">
        <f>'Raw Data'!H365*0.000732435</f>
        <v>0</v>
      </c>
      <c r="J364" s="4">
        <f t="shared" si="17"/>
        <v>0</v>
      </c>
      <c r="K364" s="36">
        <f>IF(('Raw Data'!I365-16384)/32768&lt;0,0,('Raw Data'!I365-16384)/32768)</f>
        <v>0</v>
      </c>
      <c r="L364" s="4">
        <f>IF(('Raw Data'!J365-12010)/45.6=-263.377192982456,0,('Raw Data'!J365-12010)/45.6)</f>
        <v>0</v>
      </c>
      <c r="M364" s="16">
        <f>'Raw Data'!N365*2^-8</f>
        <v>0</v>
      </c>
      <c r="N364" s="16">
        <f>'Raw Data'!O365*2^-8</f>
        <v>0</v>
      </c>
      <c r="O364" s="17" t="str">
        <f>IF(BITWISE_AND('Raw Data'!$K365, 8192),"X","")</f>
        <v/>
      </c>
      <c r="P364" s="17" t="str">
        <f>IF(BITWISE_AND('Raw Data'!$K365, 2048),"X","")</f>
        <v/>
      </c>
      <c r="Q364" s="17" t="str">
        <f>IF(BITWISE_AND('Raw Data'!$K365, 64),"X","")</f>
        <v/>
      </c>
      <c r="R364" s="18" t="str">
        <f>IF(BITWISE_AND('Raw Data'!$L365, 1024),"X","")</f>
        <v/>
      </c>
      <c r="S364" s="18" t="str">
        <f>IF(BITWISE_AND('Raw Data'!$L365, 512),"X","")</f>
        <v/>
      </c>
      <c r="T364" s="18" t="str">
        <f>IF(BITWISE_AND('Raw Data'!$L365, 256),"X","")</f>
        <v/>
      </c>
      <c r="U364" s="18" t="str">
        <f>IF(BITWISE_AND('Raw Data'!$L365, 64),"X","")</f>
        <v/>
      </c>
      <c r="V364" s="18" t="str">
        <f>IF(BITWISE_AND('Raw Data'!$L365, 2),"X","")</f>
        <v/>
      </c>
      <c r="W364" s="18" t="str">
        <f>IF(BITWISE_AND('Raw Data'!$L365, 1),"X","")</f>
        <v/>
      </c>
      <c r="X364" s="19" t="str">
        <f>IF(BITWISE_AND('Raw Data'!M365, 1),"Bat Voltage", IF(BITWISE_AND('Raw Data'!M365, 2), "Charge Current", IF(BITWISE_AND('Raw Data'!M365, 4),"Input Ilim", IF(BITWISE_AND('Raw Data'!M365, 8), "Input UV", "none"))))</f>
        <v>none</v>
      </c>
    </row>
    <row r="365" spans="1:24" x14ac:dyDescent="0.2">
      <c r="A365" s="15">
        <f>A364+TIME(0,0,'Raw Data'!B365)</f>
        <v>0</v>
      </c>
      <c r="B365" s="4">
        <f>'Raw Data'!C366*0.025</f>
        <v>0</v>
      </c>
      <c r="C365" s="4">
        <f t="shared" si="18"/>
        <v>0</v>
      </c>
      <c r="D365" s="4">
        <f>'Raw Data'!D366*0.025</f>
        <v>0</v>
      </c>
      <c r="E365" s="4">
        <f t="shared" si="19"/>
        <v>0</v>
      </c>
      <c r="F365" s="4">
        <f>'Raw Data'!E366*0.001648</f>
        <v>0</v>
      </c>
      <c r="G365" s="4">
        <f>'Raw Data'!F366*0.001648</f>
        <v>0</v>
      </c>
      <c r="H365" s="4">
        <f>'Raw Data'!G366*6*0.000128176</f>
        <v>0</v>
      </c>
      <c r="I365" s="4">
        <f>'Raw Data'!H366*0.000732435</f>
        <v>0</v>
      </c>
      <c r="J365" s="4">
        <f t="shared" si="17"/>
        <v>0</v>
      </c>
      <c r="K365" s="36">
        <f>IF(('Raw Data'!I366-16384)/32768&lt;0,0,('Raw Data'!I366-16384)/32768)</f>
        <v>0</v>
      </c>
      <c r="L365" s="4">
        <f>IF(('Raw Data'!J366-12010)/45.6=-263.377192982456,0,('Raw Data'!J366-12010)/45.6)</f>
        <v>0</v>
      </c>
      <c r="M365" s="16">
        <f>'Raw Data'!N366*2^-8</f>
        <v>0</v>
      </c>
      <c r="N365" s="16">
        <f>'Raw Data'!O366*2^-8</f>
        <v>0</v>
      </c>
      <c r="O365" s="17" t="str">
        <f>IF(BITWISE_AND('Raw Data'!$K366, 8192),"X","")</f>
        <v/>
      </c>
      <c r="P365" s="17" t="str">
        <f>IF(BITWISE_AND('Raw Data'!$K366, 2048),"X","")</f>
        <v/>
      </c>
      <c r="Q365" s="17" t="str">
        <f>IF(BITWISE_AND('Raw Data'!$K366, 64),"X","")</f>
        <v/>
      </c>
      <c r="R365" s="18" t="str">
        <f>IF(BITWISE_AND('Raw Data'!$L366, 1024),"X","")</f>
        <v/>
      </c>
      <c r="S365" s="18" t="str">
        <f>IF(BITWISE_AND('Raw Data'!$L366, 512),"X","")</f>
        <v/>
      </c>
      <c r="T365" s="18" t="str">
        <f>IF(BITWISE_AND('Raw Data'!$L366, 256),"X","")</f>
        <v/>
      </c>
      <c r="U365" s="18" t="str">
        <f>IF(BITWISE_AND('Raw Data'!$L366, 64),"X","")</f>
        <v/>
      </c>
      <c r="V365" s="18" t="str">
        <f>IF(BITWISE_AND('Raw Data'!$L366, 2),"X","")</f>
        <v/>
      </c>
      <c r="W365" s="18" t="str">
        <f>IF(BITWISE_AND('Raw Data'!$L366, 1),"X","")</f>
        <v/>
      </c>
      <c r="X365" s="19" t="str">
        <f>IF(BITWISE_AND('Raw Data'!M366, 1),"Bat Voltage", IF(BITWISE_AND('Raw Data'!M366, 2), "Charge Current", IF(BITWISE_AND('Raw Data'!M366, 4),"Input Ilim", IF(BITWISE_AND('Raw Data'!M366, 8), "Input UV", "none"))))</f>
        <v>none</v>
      </c>
    </row>
    <row r="366" spans="1:24" x14ac:dyDescent="0.2">
      <c r="A366" s="15">
        <f>A365+TIME(0,0,'Raw Data'!B366)</f>
        <v>0</v>
      </c>
      <c r="B366" s="4">
        <f>'Raw Data'!C367*0.025</f>
        <v>0</v>
      </c>
      <c r="C366" s="4">
        <f t="shared" si="18"/>
        <v>0</v>
      </c>
      <c r="D366" s="4">
        <f>'Raw Data'!D367*0.025</f>
        <v>0</v>
      </c>
      <c r="E366" s="4">
        <f t="shared" si="19"/>
        <v>0</v>
      </c>
      <c r="F366" s="4">
        <f>'Raw Data'!E367*0.001648</f>
        <v>0</v>
      </c>
      <c r="G366" s="4">
        <f>'Raw Data'!F367*0.001648</f>
        <v>0</v>
      </c>
      <c r="H366" s="4">
        <f>'Raw Data'!G367*6*0.000128176</f>
        <v>0</v>
      </c>
      <c r="I366" s="4">
        <f>'Raw Data'!H367*0.000732435</f>
        <v>0</v>
      </c>
      <c r="J366" s="4">
        <f t="shared" si="17"/>
        <v>0</v>
      </c>
      <c r="K366" s="36">
        <f>IF(('Raw Data'!I367-16384)/32768&lt;0,0,('Raw Data'!I367-16384)/32768)</f>
        <v>0</v>
      </c>
      <c r="L366" s="4">
        <f>IF(('Raw Data'!J367-12010)/45.6=-263.377192982456,0,('Raw Data'!J367-12010)/45.6)</f>
        <v>0</v>
      </c>
      <c r="M366" s="16">
        <f>'Raw Data'!N367*2^-8</f>
        <v>0</v>
      </c>
      <c r="N366" s="16">
        <f>'Raw Data'!O367*2^-8</f>
        <v>0</v>
      </c>
      <c r="O366" s="17" t="str">
        <f>IF(BITWISE_AND('Raw Data'!$K367, 8192),"X","")</f>
        <v/>
      </c>
      <c r="P366" s="17" t="str">
        <f>IF(BITWISE_AND('Raw Data'!$K367, 2048),"X","")</f>
        <v/>
      </c>
      <c r="Q366" s="17" t="str">
        <f>IF(BITWISE_AND('Raw Data'!$K367, 64),"X","")</f>
        <v/>
      </c>
      <c r="R366" s="18" t="str">
        <f>IF(BITWISE_AND('Raw Data'!$L367, 1024),"X","")</f>
        <v/>
      </c>
      <c r="S366" s="18" t="str">
        <f>IF(BITWISE_AND('Raw Data'!$L367, 512),"X","")</f>
        <v/>
      </c>
      <c r="T366" s="18" t="str">
        <f>IF(BITWISE_AND('Raw Data'!$L367, 256),"X","")</f>
        <v/>
      </c>
      <c r="U366" s="18" t="str">
        <f>IF(BITWISE_AND('Raw Data'!$L367, 64),"X","")</f>
        <v/>
      </c>
      <c r="V366" s="18" t="str">
        <f>IF(BITWISE_AND('Raw Data'!$L367, 2),"X","")</f>
        <v/>
      </c>
      <c r="W366" s="18" t="str">
        <f>IF(BITWISE_AND('Raw Data'!$L367, 1),"X","")</f>
        <v/>
      </c>
      <c r="X366" s="19" t="str">
        <f>IF(BITWISE_AND('Raw Data'!M367, 1),"Bat Voltage", IF(BITWISE_AND('Raw Data'!M367, 2), "Charge Current", IF(BITWISE_AND('Raw Data'!M367, 4),"Input Ilim", IF(BITWISE_AND('Raw Data'!M367, 8), "Input UV", "none"))))</f>
        <v>none</v>
      </c>
    </row>
    <row r="367" spans="1:24" x14ac:dyDescent="0.2">
      <c r="A367" s="15">
        <f>A366+TIME(0,0,'Raw Data'!B367)</f>
        <v>0</v>
      </c>
      <c r="B367" s="4">
        <f>'Raw Data'!C368*0.025</f>
        <v>0</v>
      </c>
      <c r="C367" s="4">
        <f t="shared" si="18"/>
        <v>0</v>
      </c>
      <c r="D367" s="4">
        <f>'Raw Data'!D368*0.025</f>
        <v>0</v>
      </c>
      <c r="E367" s="4">
        <f t="shared" si="19"/>
        <v>0</v>
      </c>
      <c r="F367" s="4">
        <f>'Raw Data'!E368*0.001648</f>
        <v>0</v>
      </c>
      <c r="G367" s="4">
        <f>'Raw Data'!F368*0.001648</f>
        <v>0</v>
      </c>
      <c r="H367" s="4">
        <f>'Raw Data'!G368*6*0.000128176</f>
        <v>0</v>
      </c>
      <c r="I367" s="4">
        <f>'Raw Data'!H368*0.000732435</f>
        <v>0</v>
      </c>
      <c r="J367" s="4">
        <f t="shared" si="17"/>
        <v>0</v>
      </c>
      <c r="K367" s="36">
        <f>IF(('Raw Data'!I368-16384)/32768&lt;0,0,('Raw Data'!I368-16384)/32768)</f>
        <v>0</v>
      </c>
      <c r="L367" s="4">
        <f>IF(('Raw Data'!J368-12010)/45.6=-263.377192982456,0,('Raw Data'!J368-12010)/45.6)</f>
        <v>0</v>
      </c>
      <c r="M367" s="16">
        <f>'Raw Data'!N368*2^-8</f>
        <v>0</v>
      </c>
      <c r="N367" s="16">
        <f>'Raw Data'!O368*2^-8</f>
        <v>0</v>
      </c>
      <c r="O367" s="17" t="str">
        <f>IF(BITWISE_AND('Raw Data'!$K368, 8192),"X","")</f>
        <v/>
      </c>
      <c r="P367" s="17" t="str">
        <f>IF(BITWISE_AND('Raw Data'!$K368, 2048),"X","")</f>
        <v/>
      </c>
      <c r="Q367" s="17" t="str">
        <f>IF(BITWISE_AND('Raw Data'!$K368, 64),"X","")</f>
        <v/>
      </c>
      <c r="R367" s="18" t="str">
        <f>IF(BITWISE_AND('Raw Data'!$L368, 1024),"X","")</f>
        <v/>
      </c>
      <c r="S367" s="18" t="str">
        <f>IF(BITWISE_AND('Raw Data'!$L368, 512),"X","")</f>
        <v/>
      </c>
      <c r="T367" s="18" t="str">
        <f>IF(BITWISE_AND('Raw Data'!$L368, 256),"X","")</f>
        <v/>
      </c>
      <c r="U367" s="18" t="str">
        <f>IF(BITWISE_AND('Raw Data'!$L368, 64),"X","")</f>
        <v/>
      </c>
      <c r="V367" s="18" t="str">
        <f>IF(BITWISE_AND('Raw Data'!$L368, 2),"X","")</f>
        <v/>
      </c>
      <c r="W367" s="18" t="str">
        <f>IF(BITWISE_AND('Raw Data'!$L368, 1),"X","")</f>
        <v/>
      </c>
      <c r="X367" s="19" t="str">
        <f>IF(BITWISE_AND('Raw Data'!M368, 1),"Bat Voltage", IF(BITWISE_AND('Raw Data'!M368, 2), "Charge Current", IF(BITWISE_AND('Raw Data'!M368, 4),"Input Ilim", IF(BITWISE_AND('Raw Data'!M368, 8), "Input UV", "none"))))</f>
        <v>none</v>
      </c>
    </row>
    <row r="368" spans="1:24" x14ac:dyDescent="0.2">
      <c r="A368" s="15">
        <f>A367+TIME(0,0,'Raw Data'!B368)</f>
        <v>0</v>
      </c>
      <c r="B368" s="4">
        <f>'Raw Data'!C369*0.025</f>
        <v>0</v>
      </c>
      <c r="C368" s="4">
        <f t="shared" si="18"/>
        <v>0</v>
      </c>
      <c r="D368" s="4">
        <f>'Raw Data'!D369*0.025</f>
        <v>0</v>
      </c>
      <c r="E368" s="4">
        <f t="shared" si="19"/>
        <v>0</v>
      </c>
      <c r="F368" s="4">
        <f>'Raw Data'!E369*0.001648</f>
        <v>0</v>
      </c>
      <c r="G368" s="4">
        <f>'Raw Data'!F369*0.001648</f>
        <v>0</v>
      </c>
      <c r="H368" s="4">
        <f>'Raw Data'!G369*6*0.000128176</f>
        <v>0</v>
      </c>
      <c r="I368" s="4">
        <f>'Raw Data'!H369*0.000732435</f>
        <v>0</v>
      </c>
      <c r="J368" s="4">
        <f t="shared" si="17"/>
        <v>0</v>
      </c>
      <c r="K368" s="36">
        <f>IF(('Raw Data'!I369-16384)/32768&lt;0,0,('Raw Data'!I369-16384)/32768)</f>
        <v>0</v>
      </c>
      <c r="L368" s="4">
        <f>IF(('Raw Data'!J369-12010)/45.6=-263.377192982456,0,('Raw Data'!J369-12010)/45.6)</f>
        <v>0</v>
      </c>
      <c r="M368" s="16">
        <f>'Raw Data'!N369*2^-8</f>
        <v>0</v>
      </c>
      <c r="N368" s="16">
        <f>'Raw Data'!O369*2^-8</f>
        <v>0</v>
      </c>
      <c r="O368" s="17" t="str">
        <f>IF(BITWISE_AND('Raw Data'!$K369, 8192),"X","")</f>
        <v/>
      </c>
      <c r="P368" s="17" t="str">
        <f>IF(BITWISE_AND('Raw Data'!$K369, 2048),"X","")</f>
        <v/>
      </c>
      <c r="Q368" s="17" t="str">
        <f>IF(BITWISE_AND('Raw Data'!$K369, 64),"X","")</f>
        <v/>
      </c>
      <c r="R368" s="18" t="str">
        <f>IF(BITWISE_AND('Raw Data'!$L369, 1024),"X","")</f>
        <v/>
      </c>
      <c r="S368" s="18" t="str">
        <f>IF(BITWISE_AND('Raw Data'!$L369, 512),"X","")</f>
        <v/>
      </c>
      <c r="T368" s="18" t="str">
        <f>IF(BITWISE_AND('Raw Data'!$L369, 256),"X","")</f>
        <v/>
      </c>
      <c r="U368" s="18" t="str">
        <f>IF(BITWISE_AND('Raw Data'!$L369, 64),"X","")</f>
        <v/>
      </c>
      <c r="V368" s="18" t="str">
        <f>IF(BITWISE_AND('Raw Data'!$L369, 2),"X","")</f>
        <v/>
      </c>
      <c r="W368" s="18" t="str">
        <f>IF(BITWISE_AND('Raw Data'!$L369, 1),"X","")</f>
        <v/>
      </c>
      <c r="X368" s="19" t="str">
        <f>IF(BITWISE_AND('Raw Data'!M369, 1),"Bat Voltage", IF(BITWISE_AND('Raw Data'!M369, 2), "Charge Current", IF(BITWISE_AND('Raw Data'!M369, 4),"Input Ilim", IF(BITWISE_AND('Raw Data'!M369, 8), "Input UV", "none"))))</f>
        <v>none</v>
      </c>
    </row>
    <row r="369" spans="1:24" x14ac:dyDescent="0.2">
      <c r="A369" s="15">
        <f>A368+TIME(0,0,'Raw Data'!B369)</f>
        <v>0</v>
      </c>
      <c r="B369" s="4">
        <f>'Raw Data'!C370*0.025</f>
        <v>0</v>
      </c>
      <c r="C369" s="4">
        <f t="shared" si="18"/>
        <v>0</v>
      </c>
      <c r="D369" s="4">
        <f>'Raw Data'!D370*0.025</f>
        <v>0</v>
      </c>
      <c r="E369" s="4">
        <f t="shared" si="19"/>
        <v>0</v>
      </c>
      <c r="F369" s="4">
        <f>'Raw Data'!E370*0.001648</f>
        <v>0</v>
      </c>
      <c r="G369" s="4">
        <f>'Raw Data'!F370*0.001648</f>
        <v>0</v>
      </c>
      <c r="H369" s="4">
        <f>'Raw Data'!G370*6*0.000128176</f>
        <v>0</v>
      </c>
      <c r="I369" s="4">
        <f>'Raw Data'!H370*0.000732435</f>
        <v>0</v>
      </c>
      <c r="J369" s="4">
        <f t="shared" si="17"/>
        <v>0</v>
      </c>
      <c r="K369" s="36">
        <f>IF(('Raw Data'!I370-16384)/32768&lt;0,0,('Raw Data'!I370-16384)/32768)</f>
        <v>0</v>
      </c>
      <c r="L369" s="4">
        <f>IF(('Raw Data'!J370-12010)/45.6=-263.377192982456,0,('Raw Data'!J370-12010)/45.6)</f>
        <v>0</v>
      </c>
      <c r="M369" s="16">
        <f>'Raw Data'!N370*2^-8</f>
        <v>0</v>
      </c>
      <c r="N369" s="16">
        <f>'Raw Data'!O370*2^-8</f>
        <v>0</v>
      </c>
      <c r="O369" s="17" t="str">
        <f>IF(BITWISE_AND('Raw Data'!$K370, 8192),"X","")</f>
        <v/>
      </c>
      <c r="P369" s="17" t="str">
        <f>IF(BITWISE_AND('Raw Data'!$K370, 2048),"X","")</f>
        <v/>
      </c>
      <c r="Q369" s="17" t="str">
        <f>IF(BITWISE_AND('Raw Data'!$K370, 64),"X","")</f>
        <v/>
      </c>
      <c r="R369" s="18" t="str">
        <f>IF(BITWISE_AND('Raw Data'!$L370, 1024),"X","")</f>
        <v/>
      </c>
      <c r="S369" s="18" t="str">
        <f>IF(BITWISE_AND('Raw Data'!$L370, 512),"X","")</f>
        <v/>
      </c>
      <c r="T369" s="18" t="str">
        <f>IF(BITWISE_AND('Raw Data'!$L370, 256),"X","")</f>
        <v/>
      </c>
      <c r="U369" s="18" t="str">
        <f>IF(BITWISE_AND('Raw Data'!$L370, 64),"X","")</f>
        <v/>
      </c>
      <c r="V369" s="18" t="str">
        <f>IF(BITWISE_AND('Raw Data'!$L370, 2),"X","")</f>
        <v/>
      </c>
      <c r="W369" s="18" t="str">
        <f>IF(BITWISE_AND('Raw Data'!$L370, 1),"X","")</f>
        <v/>
      </c>
      <c r="X369" s="19" t="str">
        <f>IF(BITWISE_AND('Raw Data'!M370, 1),"Bat Voltage", IF(BITWISE_AND('Raw Data'!M370, 2), "Charge Current", IF(BITWISE_AND('Raw Data'!M370, 4),"Input Ilim", IF(BITWISE_AND('Raw Data'!M370, 8), "Input UV", "none"))))</f>
        <v>none</v>
      </c>
    </row>
    <row r="370" spans="1:24" x14ac:dyDescent="0.2">
      <c r="A370" s="15">
        <f>A369+TIME(0,0,'Raw Data'!B370)</f>
        <v>0</v>
      </c>
      <c r="B370" s="4">
        <f>'Raw Data'!C371*0.025</f>
        <v>0</v>
      </c>
      <c r="C370" s="4">
        <f t="shared" si="18"/>
        <v>0</v>
      </c>
      <c r="D370" s="4">
        <f>'Raw Data'!D371*0.025</f>
        <v>0</v>
      </c>
      <c r="E370" s="4">
        <f t="shared" si="19"/>
        <v>0</v>
      </c>
      <c r="F370" s="4">
        <f>'Raw Data'!E371*0.001648</f>
        <v>0</v>
      </c>
      <c r="G370" s="4">
        <f>'Raw Data'!F371*0.001648</f>
        <v>0</v>
      </c>
      <c r="H370" s="4">
        <f>'Raw Data'!G371*6*0.000128176</f>
        <v>0</v>
      </c>
      <c r="I370" s="4">
        <f>'Raw Data'!H371*0.000732435</f>
        <v>0</v>
      </c>
      <c r="J370" s="4">
        <f t="shared" si="17"/>
        <v>0</v>
      </c>
      <c r="K370" s="36">
        <f>IF(('Raw Data'!I371-16384)/32768&lt;0,0,('Raw Data'!I371-16384)/32768)</f>
        <v>0</v>
      </c>
      <c r="L370" s="4">
        <f>IF(('Raw Data'!J371-12010)/45.6=-263.377192982456,0,('Raw Data'!J371-12010)/45.6)</f>
        <v>0</v>
      </c>
      <c r="M370" s="16">
        <f>'Raw Data'!N371*2^-8</f>
        <v>0</v>
      </c>
      <c r="N370" s="16">
        <f>'Raw Data'!O371*2^-8</f>
        <v>0</v>
      </c>
      <c r="O370" s="17" t="str">
        <f>IF(BITWISE_AND('Raw Data'!$K371, 8192),"X","")</f>
        <v/>
      </c>
      <c r="P370" s="17" t="str">
        <f>IF(BITWISE_AND('Raw Data'!$K371, 2048),"X","")</f>
        <v/>
      </c>
      <c r="Q370" s="17" t="str">
        <f>IF(BITWISE_AND('Raw Data'!$K371, 64),"X","")</f>
        <v/>
      </c>
      <c r="R370" s="18" t="str">
        <f>IF(BITWISE_AND('Raw Data'!$L371, 1024),"X","")</f>
        <v/>
      </c>
      <c r="S370" s="18" t="str">
        <f>IF(BITWISE_AND('Raw Data'!$L371, 512),"X","")</f>
        <v/>
      </c>
      <c r="T370" s="18" t="str">
        <f>IF(BITWISE_AND('Raw Data'!$L371, 256),"X","")</f>
        <v/>
      </c>
      <c r="U370" s="18" t="str">
        <f>IF(BITWISE_AND('Raw Data'!$L371, 64),"X","")</f>
        <v/>
      </c>
      <c r="V370" s="18" t="str">
        <f>IF(BITWISE_AND('Raw Data'!$L371, 2),"X","")</f>
        <v/>
      </c>
      <c r="W370" s="18" t="str">
        <f>IF(BITWISE_AND('Raw Data'!$L371, 1),"X","")</f>
        <v/>
      </c>
      <c r="X370" s="19" t="str">
        <f>IF(BITWISE_AND('Raw Data'!M371, 1),"Bat Voltage", IF(BITWISE_AND('Raw Data'!M371, 2), "Charge Current", IF(BITWISE_AND('Raw Data'!M371, 4),"Input Ilim", IF(BITWISE_AND('Raw Data'!M371, 8), "Input UV", "none"))))</f>
        <v>none</v>
      </c>
    </row>
    <row r="371" spans="1:24" x14ac:dyDescent="0.2">
      <c r="A371" s="15">
        <f>A370+TIME(0,0,'Raw Data'!B371)</f>
        <v>0</v>
      </c>
      <c r="B371" s="4">
        <f>'Raw Data'!C372*0.025</f>
        <v>0</v>
      </c>
      <c r="C371" s="4">
        <f t="shared" si="18"/>
        <v>0</v>
      </c>
      <c r="D371" s="4">
        <f>'Raw Data'!D372*0.025</f>
        <v>0</v>
      </c>
      <c r="E371" s="4">
        <f t="shared" si="19"/>
        <v>0</v>
      </c>
      <c r="F371" s="4">
        <f>'Raw Data'!E372*0.001648</f>
        <v>0</v>
      </c>
      <c r="G371" s="4">
        <f>'Raw Data'!F372*0.001648</f>
        <v>0</v>
      </c>
      <c r="H371" s="4">
        <f>'Raw Data'!G372*6*0.000128176</f>
        <v>0</v>
      </c>
      <c r="I371" s="4">
        <f>'Raw Data'!H372*0.000732435</f>
        <v>0</v>
      </c>
      <c r="J371" s="4">
        <f t="shared" si="17"/>
        <v>0</v>
      </c>
      <c r="K371" s="36">
        <f>IF(('Raw Data'!I372-16384)/32768&lt;0,0,('Raw Data'!I372-16384)/32768)</f>
        <v>0</v>
      </c>
      <c r="L371" s="4">
        <f>IF(('Raw Data'!J372-12010)/45.6=-263.377192982456,0,('Raw Data'!J372-12010)/45.6)</f>
        <v>0</v>
      </c>
      <c r="M371" s="16">
        <f>'Raw Data'!N372*2^-8</f>
        <v>0</v>
      </c>
      <c r="N371" s="16">
        <f>'Raw Data'!O372*2^-8</f>
        <v>0</v>
      </c>
      <c r="O371" s="17" t="str">
        <f>IF(BITWISE_AND('Raw Data'!$K372, 8192),"X","")</f>
        <v/>
      </c>
      <c r="P371" s="17" t="str">
        <f>IF(BITWISE_AND('Raw Data'!$K372, 2048),"X","")</f>
        <v/>
      </c>
      <c r="Q371" s="17" t="str">
        <f>IF(BITWISE_AND('Raw Data'!$K372, 64),"X","")</f>
        <v/>
      </c>
      <c r="R371" s="18" t="str">
        <f>IF(BITWISE_AND('Raw Data'!$L372, 1024),"X","")</f>
        <v/>
      </c>
      <c r="S371" s="18" t="str">
        <f>IF(BITWISE_AND('Raw Data'!$L372, 512),"X","")</f>
        <v/>
      </c>
      <c r="T371" s="18" t="str">
        <f>IF(BITWISE_AND('Raw Data'!$L372, 256),"X","")</f>
        <v/>
      </c>
      <c r="U371" s="18" t="str">
        <f>IF(BITWISE_AND('Raw Data'!$L372, 64),"X","")</f>
        <v/>
      </c>
      <c r="V371" s="18" t="str">
        <f>IF(BITWISE_AND('Raw Data'!$L372, 2),"X","")</f>
        <v/>
      </c>
      <c r="W371" s="18" t="str">
        <f>IF(BITWISE_AND('Raw Data'!$L372, 1),"X","")</f>
        <v/>
      </c>
      <c r="X371" s="19" t="str">
        <f>IF(BITWISE_AND('Raw Data'!M372, 1),"Bat Voltage", IF(BITWISE_AND('Raw Data'!M372, 2), "Charge Current", IF(BITWISE_AND('Raw Data'!M372, 4),"Input Ilim", IF(BITWISE_AND('Raw Data'!M372, 8), "Input UV", "none"))))</f>
        <v>none</v>
      </c>
    </row>
    <row r="372" spans="1:24" x14ac:dyDescent="0.2">
      <c r="A372" s="15">
        <f>A371+TIME(0,0,'Raw Data'!B372)</f>
        <v>0</v>
      </c>
      <c r="B372" s="4">
        <f>'Raw Data'!C373*0.025</f>
        <v>0</v>
      </c>
      <c r="C372" s="4">
        <f t="shared" si="18"/>
        <v>0</v>
      </c>
      <c r="D372" s="4">
        <f>'Raw Data'!D373*0.025</f>
        <v>0</v>
      </c>
      <c r="E372" s="4">
        <f t="shared" si="19"/>
        <v>0</v>
      </c>
      <c r="F372" s="4">
        <f>'Raw Data'!E373*0.001648</f>
        <v>0</v>
      </c>
      <c r="G372" s="4">
        <f>'Raw Data'!F373*0.001648</f>
        <v>0</v>
      </c>
      <c r="H372" s="4">
        <f>'Raw Data'!G373*6*0.000128176</f>
        <v>0</v>
      </c>
      <c r="I372" s="4">
        <f>'Raw Data'!H373*0.000732435</f>
        <v>0</v>
      </c>
      <c r="J372" s="4">
        <f t="shared" si="17"/>
        <v>0</v>
      </c>
      <c r="K372" s="36">
        <f>IF(('Raw Data'!I373-16384)/32768&lt;0,0,('Raw Data'!I373-16384)/32768)</f>
        <v>0</v>
      </c>
      <c r="L372" s="4">
        <f>IF(('Raw Data'!J373-12010)/45.6=-263.377192982456,0,('Raw Data'!J373-12010)/45.6)</f>
        <v>0</v>
      </c>
      <c r="M372" s="16">
        <f>'Raw Data'!N373*2^-8</f>
        <v>0</v>
      </c>
      <c r="N372" s="16">
        <f>'Raw Data'!O373*2^-8</f>
        <v>0</v>
      </c>
      <c r="O372" s="17" t="str">
        <f>IF(BITWISE_AND('Raw Data'!$K373, 8192),"X","")</f>
        <v/>
      </c>
      <c r="P372" s="17" t="str">
        <f>IF(BITWISE_AND('Raw Data'!$K373, 2048),"X","")</f>
        <v/>
      </c>
      <c r="Q372" s="17" t="str">
        <f>IF(BITWISE_AND('Raw Data'!$K373, 64),"X","")</f>
        <v/>
      </c>
      <c r="R372" s="18" t="str">
        <f>IF(BITWISE_AND('Raw Data'!$L373, 1024),"X","")</f>
        <v/>
      </c>
      <c r="S372" s="18" t="str">
        <f>IF(BITWISE_AND('Raw Data'!$L373, 512),"X","")</f>
        <v/>
      </c>
      <c r="T372" s="18" t="str">
        <f>IF(BITWISE_AND('Raw Data'!$L373, 256),"X","")</f>
        <v/>
      </c>
      <c r="U372" s="18" t="str">
        <f>IF(BITWISE_AND('Raw Data'!$L373, 64),"X","")</f>
        <v/>
      </c>
      <c r="V372" s="18" t="str">
        <f>IF(BITWISE_AND('Raw Data'!$L373, 2),"X","")</f>
        <v/>
      </c>
      <c r="W372" s="18" t="str">
        <f>IF(BITWISE_AND('Raw Data'!$L373, 1),"X","")</f>
        <v/>
      </c>
      <c r="X372" s="19" t="str">
        <f>IF(BITWISE_AND('Raw Data'!M373, 1),"Bat Voltage", IF(BITWISE_AND('Raw Data'!M373, 2), "Charge Current", IF(BITWISE_AND('Raw Data'!M373, 4),"Input Ilim", IF(BITWISE_AND('Raw Data'!M373, 8), "Input UV", "none"))))</f>
        <v>none</v>
      </c>
    </row>
    <row r="373" spans="1:24" x14ac:dyDescent="0.2">
      <c r="A373" s="15">
        <f>A372+TIME(0,0,'Raw Data'!B373)</f>
        <v>0</v>
      </c>
      <c r="B373" s="4">
        <f>'Raw Data'!C374*0.025</f>
        <v>0</v>
      </c>
      <c r="C373" s="4">
        <f t="shared" si="18"/>
        <v>0</v>
      </c>
      <c r="D373" s="4">
        <f>'Raw Data'!D374*0.025</f>
        <v>0</v>
      </c>
      <c r="E373" s="4">
        <f t="shared" si="19"/>
        <v>0</v>
      </c>
      <c r="F373" s="4">
        <f>'Raw Data'!E374*0.001648</f>
        <v>0</v>
      </c>
      <c r="G373" s="4">
        <f>'Raw Data'!F374*0.001648</f>
        <v>0</v>
      </c>
      <c r="H373" s="4">
        <f>'Raw Data'!G374*6*0.000128176</f>
        <v>0</v>
      </c>
      <c r="I373" s="4">
        <f>'Raw Data'!H374*0.000732435</f>
        <v>0</v>
      </c>
      <c r="J373" s="4">
        <f t="shared" si="17"/>
        <v>0</v>
      </c>
      <c r="K373" s="36">
        <f>IF(('Raw Data'!I374-16384)/32768&lt;0,0,('Raw Data'!I374-16384)/32768)</f>
        <v>0</v>
      </c>
      <c r="L373" s="4">
        <f>IF(('Raw Data'!J374-12010)/45.6=-263.377192982456,0,('Raw Data'!J374-12010)/45.6)</f>
        <v>0</v>
      </c>
      <c r="M373" s="16">
        <f>'Raw Data'!N374*2^-8</f>
        <v>0</v>
      </c>
      <c r="N373" s="16">
        <f>'Raw Data'!O374*2^-8</f>
        <v>0</v>
      </c>
      <c r="O373" s="17" t="str">
        <f>IF(BITWISE_AND('Raw Data'!$K374, 8192),"X","")</f>
        <v/>
      </c>
      <c r="P373" s="17" t="str">
        <f>IF(BITWISE_AND('Raw Data'!$K374, 2048),"X","")</f>
        <v/>
      </c>
      <c r="Q373" s="17" t="str">
        <f>IF(BITWISE_AND('Raw Data'!$K374, 64),"X","")</f>
        <v/>
      </c>
      <c r="R373" s="18" t="str">
        <f>IF(BITWISE_AND('Raw Data'!$L374, 1024),"X","")</f>
        <v/>
      </c>
      <c r="S373" s="18" t="str">
        <f>IF(BITWISE_AND('Raw Data'!$L374, 512),"X","")</f>
        <v/>
      </c>
      <c r="T373" s="18" t="str">
        <f>IF(BITWISE_AND('Raw Data'!$L374, 256),"X","")</f>
        <v/>
      </c>
      <c r="U373" s="18" t="str">
        <f>IF(BITWISE_AND('Raw Data'!$L374, 64),"X","")</f>
        <v/>
      </c>
      <c r="V373" s="18" t="str">
        <f>IF(BITWISE_AND('Raw Data'!$L374, 2),"X","")</f>
        <v/>
      </c>
      <c r="W373" s="18" t="str">
        <f>IF(BITWISE_AND('Raw Data'!$L374, 1),"X","")</f>
        <v/>
      </c>
      <c r="X373" s="19" t="str">
        <f>IF(BITWISE_AND('Raw Data'!M374, 1),"Bat Voltage", IF(BITWISE_AND('Raw Data'!M374, 2), "Charge Current", IF(BITWISE_AND('Raw Data'!M374, 4),"Input Ilim", IF(BITWISE_AND('Raw Data'!M374, 8), "Input UV", "none"))))</f>
        <v>none</v>
      </c>
    </row>
    <row r="374" spans="1:24" x14ac:dyDescent="0.2">
      <c r="A374" s="15">
        <f>A373+TIME(0,0,'Raw Data'!B374)</f>
        <v>0</v>
      </c>
      <c r="B374" s="4">
        <f>'Raw Data'!C375*0.025</f>
        <v>0</v>
      </c>
      <c r="C374" s="4">
        <f t="shared" si="18"/>
        <v>0</v>
      </c>
      <c r="D374" s="4">
        <f>'Raw Data'!D375*0.025</f>
        <v>0</v>
      </c>
      <c r="E374" s="4">
        <f t="shared" si="19"/>
        <v>0</v>
      </c>
      <c r="F374" s="4">
        <f>'Raw Data'!E375*0.001648</f>
        <v>0</v>
      </c>
      <c r="G374" s="4">
        <f>'Raw Data'!F375*0.001648</f>
        <v>0</v>
      </c>
      <c r="H374" s="4">
        <f>'Raw Data'!G375*6*0.000128176</f>
        <v>0</v>
      </c>
      <c r="I374" s="4">
        <f>'Raw Data'!H375*0.000732435</f>
        <v>0</v>
      </c>
      <c r="J374" s="4">
        <f t="shared" si="17"/>
        <v>0</v>
      </c>
      <c r="K374" s="36">
        <f>IF(('Raw Data'!I375-16384)/32768&lt;0,0,('Raw Data'!I375-16384)/32768)</f>
        <v>0</v>
      </c>
      <c r="L374" s="4">
        <f>IF(('Raw Data'!J375-12010)/45.6=-263.377192982456,0,('Raw Data'!J375-12010)/45.6)</f>
        <v>0</v>
      </c>
      <c r="M374" s="16">
        <f>'Raw Data'!N375*2^-8</f>
        <v>0</v>
      </c>
      <c r="N374" s="16">
        <f>'Raw Data'!O375*2^-8</f>
        <v>0</v>
      </c>
      <c r="O374" s="17" t="str">
        <f>IF(BITWISE_AND('Raw Data'!$K375, 8192),"X","")</f>
        <v/>
      </c>
      <c r="P374" s="17" t="str">
        <f>IF(BITWISE_AND('Raw Data'!$K375, 2048),"X","")</f>
        <v/>
      </c>
      <c r="Q374" s="17" t="str">
        <f>IF(BITWISE_AND('Raw Data'!$K375, 64),"X","")</f>
        <v/>
      </c>
      <c r="R374" s="18" t="str">
        <f>IF(BITWISE_AND('Raw Data'!$L375, 1024),"X","")</f>
        <v/>
      </c>
      <c r="S374" s="18" t="str">
        <f>IF(BITWISE_AND('Raw Data'!$L375, 512),"X","")</f>
        <v/>
      </c>
      <c r="T374" s="18" t="str">
        <f>IF(BITWISE_AND('Raw Data'!$L375, 256),"X","")</f>
        <v/>
      </c>
      <c r="U374" s="18" t="str">
        <f>IF(BITWISE_AND('Raw Data'!$L375, 64),"X","")</f>
        <v/>
      </c>
      <c r="V374" s="18" t="str">
        <f>IF(BITWISE_AND('Raw Data'!$L375, 2),"X","")</f>
        <v/>
      </c>
      <c r="W374" s="18" t="str">
        <f>IF(BITWISE_AND('Raw Data'!$L375, 1),"X","")</f>
        <v/>
      </c>
      <c r="X374" s="19" t="str">
        <f>IF(BITWISE_AND('Raw Data'!M375, 1),"Bat Voltage", IF(BITWISE_AND('Raw Data'!M375, 2), "Charge Current", IF(BITWISE_AND('Raw Data'!M375, 4),"Input Ilim", IF(BITWISE_AND('Raw Data'!M375, 8), "Input UV", "none"))))</f>
        <v>none</v>
      </c>
    </row>
    <row r="375" spans="1:24" x14ac:dyDescent="0.2">
      <c r="A375" s="15">
        <f>A374+TIME(0,0,'Raw Data'!B375)</f>
        <v>0</v>
      </c>
      <c r="B375" s="4">
        <f>'Raw Data'!C376*0.025</f>
        <v>0</v>
      </c>
      <c r="C375" s="4">
        <f t="shared" si="18"/>
        <v>0</v>
      </c>
      <c r="D375" s="4">
        <f>'Raw Data'!D376*0.025</f>
        <v>0</v>
      </c>
      <c r="E375" s="4">
        <f t="shared" si="19"/>
        <v>0</v>
      </c>
      <c r="F375" s="4">
        <f>'Raw Data'!E376*0.001648</f>
        <v>0</v>
      </c>
      <c r="G375" s="4">
        <f>'Raw Data'!F376*0.001648</f>
        <v>0</v>
      </c>
      <c r="H375" s="4">
        <f>'Raw Data'!G376*6*0.000128176</f>
        <v>0</v>
      </c>
      <c r="I375" s="4">
        <f>'Raw Data'!H376*0.000732435</f>
        <v>0</v>
      </c>
      <c r="J375" s="4">
        <f t="shared" si="17"/>
        <v>0</v>
      </c>
      <c r="K375" s="36">
        <f>IF(('Raw Data'!I376-16384)/32768&lt;0,0,('Raw Data'!I376-16384)/32768)</f>
        <v>0</v>
      </c>
      <c r="L375" s="4">
        <f>IF(('Raw Data'!J376-12010)/45.6=-263.377192982456,0,('Raw Data'!J376-12010)/45.6)</f>
        <v>0</v>
      </c>
      <c r="M375" s="16">
        <f>'Raw Data'!N376*2^-8</f>
        <v>0</v>
      </c>
      <c r="N375" s="16">
        <f>'Raw Data'!O376*2^-8</f>
        <v>0</v>
      </c>
      <c r="O375" s="17" t="str">
        <f>IF(BITWISE_AND('Raw Data'!$K376, 8192),"X","")</f>
        <v/>
      </c>
      <c r="P375" s="17" t="str">
        <f>IF(BITWISE_AND('Raw Data'!$K376, 2048),"X","")</f>
        <v/>
      </c>
      <c r="Q375" s="17" t="str">
        <f>IF(BITWISE_AND('Raw Data'!$K376, 64),"X","")</f>
        <v/>
      </c>
      <c r="R375" s="18" t="str">
        <f>IF(BITWISE_AND('Raw Data'!$L376, 1024),"X","")</f>
        <v/>
      </c>
      <c r="S375" s="18" t="str">
        <f>IF(BITWISE_AND('Raw Data'!$L376, 512),"X","")</f>
        <v/>
      </c>
      <c r="T375" s="18" t="str">
        <f>IF(BITWISE_AND('Raw Data'!$L376, 256),"X","")</f>
        <v/>
      </c>
      <c r="U375" s="18" t="str">
        <f>IF(BITWISE_AND('Raw Data'!$L376, 64),"X","")</f>
        <v/>
      </c>
      <c r="V375" s="18" t="str">
        <f>IF(BITWISE_AND('Raw Data'!$L376, 2),"X","")</f>
        <v/>
      </c>
      <c r="W375" s="18" t="str">
        <f>IF(BITWISE_AND('Raw Data'!$L376, 1),"X","")</f>
        <v/>
      </c>
      <c r="X375" s="19" t="str">
        <f>IF(BITWISE_AND('Raw Data'!M376, 1),"Bat Voltage", IF(BITWISE_AND('Raw Data'!M376, 2), "Charge Current", IF(BITWISE_AND('Raw Data'!M376, 4),"Input Ilim", IF(BITWISE_AND('Raw Data'!M376, 8), "Input UV", "none"))))</f>
        <v>none</v>
      </c>
    </row>
    <row r="376" spans="1:24" x14ac:dyDescent="0.2">
      <c r="A376" s="15">
        <f>A375+TIME(0,0,'Raw Data'!B376)</f>
        <v>0</v>
      </c>
      <c r="B376" s="4">
        <f>'Raw Data'!C377*0.025</f>
        <v>0</v>
      </c>
      <c r="C376" s="4">
        <f t="shared" si="18"/>
        <v>0</v>
      </c>
      <c r="D376" s="4">
        <f>'Raw Data'!D377*0.025</f>
        <v>0</v>
      </c>
      <c r="E376" s="4">
        <f t="shared" si="19"/>
        <v>0</v>
      </c>
      <c r="F376" s="4">
        <f>'Raw Data'!E377*0.001648</f>
        <v>0</v>
      </c>
      <c r="G376" s="4">
        <f>'Raw Data'!F377*0.001648</f>
        <v>0</v>
      </c>
      <c r="H376" s="4">
        <f>'Raw Data'!G377*6*0.000128176</f>
        <v>0</v>
      </c>
      <c r="I376" s="4">
        <f>'Raw Data'!H377*0.000732435</f>
        <v>0</v>
      </c>
      <c r="J376" s="4">
        <f t="shared" si="17"/>
        <v>0</v>
      </c>
      <c r="K376" s="36">
        <f>IF(('Raw Data'!I377-16384)/32768&lt;0,0,('Raw Data'!I377-16384)/32768)</f>
        <v>0</v>
      </c>
      <c r="L376" s="4">
        <f>IF(('Raw Data'!J377-12010)/45.6=-263.377192982456,0,('Raw Data'!J377-12010)/45.6)</f>
        <v>0</v>
      </c>
      <c r="M376" s="16">
        <f>'Raw Data'!N377*2^-8</f>
        <v>0</v>
      </c>
      <c r="N376" s="16">
        <f>'Raw Data'!O377*2^-8</f>
        <v>0</v>
      </c>
      <c r="O376" s="17" t="str">
        <f>IF(BITWISE_AND('Raw Data'!$K377, 8192),"X","")</f>
        <v/>
      </c>
      <c r="P376" s="17" t="str">
        <f>IF(BITWISE_AND('Raw Data'!$K377, 2048),"X","")</f>
        <v/>
      </c>
      <c r="Q376" s="17" t="str">
        <f>IF(BITWISE_AND('Raw Data'!$K377, 64),"X","")</f>
        <v/>
      </c>
      <c r="R376" s="18" t="str">
        <f>IF(BITWISE_AND('Raw Data'!$L377, 1024),"X","")</f>
        <v/>
      </c>
      <c r="S376" s="18" t="str">
        <f>IF(BITWISE_AND('Raw Data'!$L377, 512),"X","")</f>
        <v/>
      </c>
      <c r="T376" s="18" t="str">
        <f>IF(BITWISE_AND('Raw Data'!$L377, 256),"X","")</f>
        <v/>
      </c>
      <c r="U376" s="18" t="str">
        <f>IF(BITWISE_AND('Raw Data'!$L377, 64),"X","")</f>
        <v/>
      </c>
      <c r="V376" s="18" t="str">
        <f>IF(BITWISE_AND('Raw Data'!$L377, 2),"X","")</f>
        <v/>
      </c>
      <c r="W376" s="18" t="str">
        <f>IF(BITWISE_AND('Raw Data'!$L377, 1),"X","")</f>
        <v/>
      </c>
      <c r="X376" s="19" t="str">
        <f>IF(BITWISE_AND('Raw Data'!M377, 1),"Bat Voltage", IF(BITWISE_AND('Raw Data'!M377, 2), "Charge Current", IF(BITWISE_AND('Raw Data'!M377, 4),"Input Ilim", IF(BITWISE_AND('Raw Data'!M377, 8), "Input UV", "none"))))</f>
        <v>none</v>
      </c>
    </row>
    <row r="377" spans="1:24" x14ac:dyDescent="0.2">
      <c r="A377" s="15">
        <f>A376+TIME(0,0,'Raw Data'!B377)</f>
        <v>0</v>
      </c>
      <c r="B377" s="4">
        <f>'Raw Data'!C378*0.025</f>
        <v>0</v>
      </c>
      <c r="C377" s="4">
        <f t="shared" si="18"/>
        <v>0</v>
      </c>
      <c r="D377" s="4">
        <f>'Raw Data'!D378*0.025</f>
        <v>0</v>
      </c>
      <c r="E377" s="4">
        <f t="shared" si="19"/>
        <v>0</v>
      </c>
      <c r="F377" s="4">
        <f>'Raw Data'!E378*0.001648</f>
        <v>0</v>
      </c>
      <c r="G377" s="4">
        <f>'Raw Data'!F378*0.001648</f>
        <v>0</v>
      </c>
      <c r="H377" s="4">
        <f>'Raw Data'!G378*6*0.000128176</f>
        <v>0</v>
      </c>
      <c r="I377" s="4">
        <f>'Raw Data'!H378*0.000732435</f>
        <v>0</v>
      </c>
      <c r="J377" s="4">
        <f t="shared" si="17"/>
        <v>0</v>
      </c>
      <c r="K377" s="36">
        <f>IF(('Raw Data'!I378-16384)/32768&lt;0,0,('Raw Data'!I378-16384)/32768)</f>
        <v>0</v>
      </c>
      <c r="L377" s="4">
        <f>IF(('Raw Data'!J378-12010)/45.6=-263.377192982456,0,('Raw Data'!J378-12010)/45.6)</f>
        <v>0</v>
      </c>
      <c r="M377" s="16">
        <f>'Raw Data'!N378*2^-8</f>
        <v>0</v>
      </c>
      <c r="N377" s="16">
        <f>'Raw Data'!O378*2^-8</f>
        <v>0</v>
      </c>
      <c r="O377" s="17" t="str">
        <f>IF(BITWISE_AND('Raw Data'!$K378, 8192),"X","")</f>
        <v/>
      </c>
      <c r="P377" s="17" t="str">
        <f>IF(BITWISE_AND('Raw Data'!$K378, 2048),"X","")</f>
        <v/>
      </c>
      <c r="Q377" s="17" t="str">
        <f>IF(BITWISE_AND('Raw Data'!$K378, 64),"X","")</f>
        <v/>
      </c>
      <c r="R377" s="18" t="str">
        <f>IF(BITWISE_AND('Raw Data'!$L378, 1024),"X","")</f>
        <v/>
      </c>
      <c r="S377" s="18" t="str">
        <f>IF(BITWISE_AND('Raw Data'!$L378, 512),"X","")</f>
        <v/>
      </c>
      <c r="T377" s="18" t="str">
        <f>IF(BITWISE_AND('Raw Data'!$L378, 256),"X","")</f>
        <v/>
      </c>
      <c r="U377" s="18" t="str">
        <f>IF(BITWISE_AND('Raw Data'!$L378, 64),"X","")</f>
        <v/>
      </c>
      <c r="V377" s="18" t="str">
        <f>IF(BITWISE_AND('Raw Data'!$L378, 2),"X","")</f>
        <v/>
      </c>
      <c r="W377" s="18" t="str">
        <f>IF(BITWISE_AND('Raw Data'!$L378, 1),"X","")</f>
        <v/>
      </c>
      <c r="X377" s="19" t="str">
        <f>IF(BITWISE_AND('Raw Data'!M378, 1),"Bat Voltage", IF(BITWISE_AND('Raw Data'!M378, 2), "Charge Current", IF(BITWISE_AND('Raw Data'!M378, 4),"Input Ilim", IF(BITWISE_AND('Raw Data'!M378, 8), "Input UV", "none"))))</f>
        <v>none</v>
      </c>
    </row>
    <row r="378" spans="1:24" x14ac:dyDescent="0.2">
      <c r="A378" s="15">
        <f>A377+TIME(0,0,'Raw Data'!B378)</f>
        <v>0</v>
      </c>
      <c r="B378" s="4">
        <f>'Raw Data'!C379*0.025</f>
        <v>0</v>
      </c>
      <c r="C378" s="4">
        <f t="shared" si="18"/>
        <v>0</v>
      </c>
      <c r="D378" s="4">
        <f>'Raw Data'!D379*0.025</f>
        <v>0</v>
      </c>
      <c r="E378" s="4">
        <f t="shared" si="19"/>
        <v>0</v>
      </c>
      <c r="F378" s="4">
        <f>'Raw Data'!E379*0.001648</f>
        <v>0</v>
      </c>
      <c r="G378" s="4">
        <f>'Raw Data'!F379*0.001648</f>
        <v>0</v>
      </c>
      <c r="H378" s="4">
        <f>'Raw Data'!G379*6*0.000128176</f>
        <v>0</v>
      </c>
      <c r="I378" s="4">
        <f>'Raw Data'!H379*0.000732435</f>
        <v>0</v>
      </c>
      <c r="J378" s="4">
        <f t="shared" si="17"/>
        <v>0</v>
      </c>
      <c r="K378" s="36">
        <f>IF(('Raw Data'!I379-16384)/32768&lt;0,0,('Raw Data'!I379-16384)/32768)</f>
        <v>0</v>
      </c>
      <c r="L378" s="4">
        <f>IF(('Raw Data'!J379-12010)/45.6=-263.377192982456,0,('Raw Data'!J379-12010)/45.6)</f>
        <v>0</v>
      </c>
      <c r="M378" s="16">
        <f>'Raw Data'!N379*2^-8</f>
        <v>0</v>
      </c>
      <c r="N378" s="16">
        <f>'Raw Data'!O379*2^-8</f>
        <v>0</v>
      </c>
      <c r="O378" s="17" t="str">
        <f>IF(BITWISE_AND('Raw Data'!$K379, 8192),"X","")</f>
        <v/>
      </c>
      <c r="P378" s="17" t="str">
        <f>IF(BITWISE_AND('Raw Data'!$K379, 2048),"X","")</f>
        <v/>
      </c>
      <c r="Q378" s="17" t="str">
        <f>IF(BITWISE_AND('Raw Data'!$K379, 64),"X","")</f>
        <v/>
      </c>
      <c r="R378" s="18" t="str">
        <f>IF(BITWISE_AND('Raw Data'!$L379, 1024),"X","")</f>
        <v/>
      </c>
      <c r="S378" s="18" t="str">
        <f>IF(BITWISE_AND('Raw Data'!$L379, 512),"X","")</f>
        <v/>
      </c>
      <c r="T378" s="18" t="str">
        <f>IF(BITWISE_AND('Raw Data'!$L379, 256),"X","")</f>
        <v/>
      </c>
      <c r="U378" s="18" t="str">
        <f>IF(BITWISE_AND('Raw Data'!$L379, 64),"X","")</f>
        <v/>
      </c>
      <c r="V378" s="18" t="str">
        <f>IF(BITWISE_AND('Raw Data'!$L379, 2),"X","")</f>
        <v/>
      </c>
      <c r="W378" s="18" t="str">
        <f>IF(BITWISE_AND('Raw Data'!$L379, 1),"X","")</f>
        <v/>
      </c>
      <c r="X378" s="19" t="str">
        <f>IF(BITWISE_AND('Raw Data'!M379, 1),"Bat Voltage", IF(BITWISE_AND('Raw Data'!M379, 2), "Charge Current", IF(BITWISE_AND('Raw Data'!M379, 4),"Input Ilim", IF(BITWISE_AND('Raw Data'!M379, 8), "Input UV", "none"))))</f>
        <v>none</v>
      </c>
    </row>
    <row r="379" spans="1:24" x14ac:dyDescent="0.2">
      <c r="A379" s="15">
        <f>A378+TIME(0,0,'Raw Data'!B379)</f>
        <v>0</v>
      </c>
      <c r="B379" s="4">
        <f>'Raw Data'!C380*0.025</f>
        <v>0</v>
      </c>
      <c r="C379" s="4">
        <f t="shared" si="18"/>
        <v>0</v>
      </c>
      <c r="D379" s="4">
        <f>'Raw Data'!D380*0.025</f>
        <v>0</v>
      </c>
      <c r="E379" s="4">
        <f t="shared" si="19"/>
        <v>0</v>
      </c>
      <c r="F379" s="4">
        <f>'Raw Data'!E380*0.001648</f>
        <v>0</v>
      </c>
      <c r="G379" s="4">
        <f>'Raw Data'!F380*0.001648</f>
        <v>0</v>
      </c>
      <c r="H379" s="4">
        <f>'Raw Data'!G380*6*0.000128176</f>
        <v>0</v>
      </c>
      <c r="I379" s="4">
        <f>'Raw Data'!H380*0.000732435</f>
        <v>0</v>
      </c>
      <c r="J379" s="4">
        <f t="shared" si="17"/>
        <v>0</v>
      </c>
      <c r="K379" s="36">
        <f>IF(('Raw Data'!I380-16384)/32768&lt;0,0,('Raw Data'!I380-16384)/32768)</f>
        <v>0</v>
      </c>
      <c r="L379" s="4">
        <f>IF(('Raw Data'!J380-12010)/45.6=-263.377192982456,0,('Raw Data'!J380-12010)/45.6)</f>
        <v>0</v>
      </c>
      <c r="M379" s="16">
        <f>'Raw Data'!N380*2^-8</f>
        <v>0</v>
      </c>
      <c r="N379" s="16">
        <f>'Raw Data'!O380*2^-8</f>
        <v>0</v>
      </c>
      <c r="O379" s="17" t="str">
        <f>IF(BITWISE_AND('Raw Data'!$K380, 8192),"X","")</f>
        <v/>
      </c>
      <c r="P379" s="17" t="str">
        <f>IF(BITWISE_AND('Raw Data'!$K380, 2048),"X","")</f>
        <v/>
      </c>
      <c r="Q379" s="17" t="str">
        <f>IF(BITWISE_AND('Raw Data'!$K380, 64),"X","")</f>
        <v/>
      </c>
      <c r="R379" s="18" t="str">
        <f>IF(BITWISE_AND('Raw Data'!$L380, 1024),"X","")</f>
        <v/>
      </c>
      <c r="S379" s="18" t="str">
        <f>IF(BITWISE_AND('Raw Data'!$L380, 512),"X","")</f>
        <v/>
      </c>
      <c r="T379" s="18" t="str">
        <f>IF(BITWISE_AND('Raw Data'!$L380, 256),"X","")</f>
        <v/>
      </c>
      <c r="U379" s="18" t="str">
        <f>IF(BITWISE_AND('Raw Data'!$L380, 64),"X","")</f>
        <v/>
      </c>
      <c r="V379" s="18" t="str">
        <f>IF(BITWISE_AND('Raw Data'!$L380, 2),"X","")</f>
        <v/>
      </c>
      <c r="W379" s="18" t="str">
        <f>IF(BITWISE_AND('Raw Data'!$L380, 1),"X","")</f>
        <v/>
      </c>
      <c r="X379" s="19" t="str">
        <f>IF(BITWISE_AND('Raw Data'!M380, 1),"Bat Voltage", IF(BITWISE_AND('Raw Data'!M380, 2), "Charge Current", IF(BITWISE_AND('Raw Data'!M380, 4),"Input Ilim", IF(BITWISE_AND('Raw Data'!M380, 8), "Input UV", "none"))))</f>
        <v>none</v>
      </c>
    </row>
    <row r="380" spans="1:24" x14ac:dyDescent="0.2">
      <c r="A380" s="15">
        <f>A379+TIME(0,0,'Raw Data'!B380)</f>
        <v>0</v>
      </c>
      <c r="B380" s="4">
        <f>'Raw Data'!C381*0.025</f>
        <v>0</v>
      </c>
      <c r="C380" s="4">
        <f t="shared" si="18"/>
        <v>0</v>
      </c>
      <c r="D380" s="4">
        <f>'Raw Data'!D381*0.025</f>
        <v>0</v>
      </c>
      <c r="E380" s="4">
        <f t="shared" si="19"/>
        <v>0</v>
      </c>
      <c r="F380" s="4">
        <f>'Raw Data'!E381*0.001648</f>
        <v>0</v>
      </c>
      <c r="G380" s="4">
        <f>'Raw Data'!F381*0.001648</f>
        <v>0</v>
      </c>
      <c r="H380" s="4">
        <f>'Raw Data'!G381*6*0.000128176</f>
        <v>0</v>
      </c>
      <c r="I380" s="4">
        <f>'Raw Data'!H381*0.000732435</f>
        <v>0</v>
      </c>
      <c r="J380" s="4">
        <f t="shared" si="17"/>
        <v>0</v>
      </c>
      <c r="K380" s="36">
        <f>IF(('Raw Data'!I381-16384)/32768&lt;0,0,('Raw Data'!I381-16384)/32768)</f>
        <v>0</v>
      </c>
      <c r="L380" s="4">
        <f>IF(('Raw Data'!J381-12010)/45.6=-263.377192982456,0,('Raw Data'!J381-12010)/45.6)</f>
        <v>0</v>
      </c>
      <c r="M380" s="16">
        <f>'Raw Data'!N381*2^-8</f>
        <v>0</v>
      </c>
      <c r="N380" s="16">
        <f>'Raw Data'!O381*2^-8</f>
        <v>0</v>
      </c>
      <c r="O380" s="17" t="str">
        <f>IF(BITWISE_AND('Raw Data'!$K381, 8192),"X","")</f>
        <v/>
      </c>
      <c r="P380" s="17" t="str">
        <f>IF(BITWISE_AND('Raw Data'!$K381, 2048),"X","")</f>
        <v/>
      </c>
      <c r="Q380" s="17" t="str">
        <f>IF(BITWISE_AND('Raw Data'!$K381, 64),"X","")</f>
        <v/>
      </c>
      <c r="R380" s="18" t="str">
        <f>IF(BITWISE_AND('Raw Data'!$L381, 1024),"X","")</f>
        <v/>
      </c>
      <c r="S380" s="18" t="str">
        <f>IF(BITWISE_AND('Raw Data'!$L381, 512),"X","")</f>
        <v/>
      </c>
      <c r="T380" s="18" t="str">
        <f>IF(BITWISE_AND('Raw Data'!$L381, 256),"X","")</f>
        <v/>
      </c>
      <c r="U380" s="18" t="str">
        <f>IF(BITWISE_AND('Raw Data'!$L381, 64),"X","")</f>
        <v/>
      </c>
      <c r="V380" s="18" t="str">
        <f>IF(BITWISE_AND('Raw Data'!$L381, 2),"X","")</f>
        <v/>
      </c>
      <c r="W380" s="18" t="str">
        <f>IF(BITWISE_AND('Raw Data'!$L381, 1),"X","")</f>
        <v/>
      </c>
      <c r="X380" s="19" t="str">
        <f>IF(BITWISE_AND('Raw Data'!M381, 1),"Bat Voltage", IF(BITWISE_AND('Raw Data'!M381, 2), "Charge Current", IF(BITWISE_AND('Raw Data'!M381, 4),"Input Ilim", IF(BITWISE_AND('Raw Data'!M381, 8), "Input UV", "none"))))</f>
        <v>none</v>
      </c>
    </row>
    <row r="381" spans="1:24" x14ac:dyDescent="0.2">
      <c r="A381" s="15">
        <f>A380+TIME(0,0,'Raw Data'!B381)</f>
        <v>0</v>
      </c>
      <c r="B381" s="4">
        <f>'Raw Data'!C382*0.025</f>
        <v>0</v>
      </c>
      <c r="C381" s="4">
        <f t="shared" si="18"/>
        <v>0</v>
      </c>
      <c r="D381" s="4">
        <f>'Raw Data'!D382*0.025</f>
        <v>0</v>
      </c>
      <c r="E381" s="4">
        <f t="shared" si="19"/>
        <v>0</v>
      </c>
      <c r="F381" s="4">
        <f>'Raw Data'!E382*0.001648</f>
        <v>0</v>
      </c>
      <c r="G381" s="4">
        <f>'Raw Data'!F382*0.001648</f>
        <v>0</v>
      </c>
      <c r="H381" s="4">
        <f>'Raw Data'!G382*6*0.000128176</f>
        <v>0</v>
      </c>
      <c r="I381" s="4">
        <f>'Raw Data'!H382*0.000732435</f>
        <v>0</v>
      </c>
      <c r="J381" s="4">
        <f t="shared" si="17"/>
        <v>0</v>
      </c>
      <c r="K381" s="36">
        <f>IF(('Raw Data'!I382-16384)/32768&lt;0,0,('Raw Data'!I382-16384)/32768)</f>
        <v>0</v>
      </c>
      <c r="L381" s="4">
        <f>IF(('Raw Data'!J382-12010)/45.6=-263.377192982456,0,('Raw Data'!J382-12010)/45.6)</f>
        <v>0</v>
      </c>
      <c r="M381" s="16">
        <f>'Raw Data'!N382*2^-8</f>
        <v>0</v>
      </c>
      <c r="N381" s="16">
        <f>'Raw Data'!O382*2^-8</f>
        <v>0</v>
      </c>
      <c r="O381" s="17" t="str">
        <f>IF(BITWISE_AND('Raw Data'!$K382, 8192),"X","")</f>
        <v/>
      </c>
      <c r="P381" s="17" t="str">
        <f>IF(BITWISE_AND('Raw Data'!$K382, 2048),"X","")</f>
        <v/>
      </c>
      <c r="Q381" s="17" t="str">
        <f>IF(BITWISE_AND('Raw Data'!$K382, 64),"X","")</f>
        <v/>
      </c>
      <c r="R381" s="18" t="str">
        <f>IF(BITWISE_AND('Raw Data'!$L382, 1024),"X","")</f>
        <v/>
      </c>
      <c r="S381" s="18" t="str">
        <f>IF(BITWISE_AND('Raw Data'!$L382, 512),"X","")</f>
        <v/>
      </c>
      <c r="T381" s="18" t="str">
        <f>IF(BITWISE_AND('Raw Data'!$L382, 256),"X","")</f>
        <v/>
      </c>
      <c r="U381" s="18" t="str">
        <f>IF(BITWISE_AND('Raw Data'!$L382, 64),"X","")</f>
        <v/>
      </c>
      <c r="V381" s="18" t="str">
        <f>IF(BITWISE_AND('Raw Data'!$L382, 2),"X","")</f>
        <v/>
      </c>
      <c r="W381" s="18" t="str">
        <f>IF(BITWISE_AND('Raw Data'!$L382, 1),"X","")</f>
        <v/>
      </c>
      <c r="X381" s="19" t="str">
        <f>IF(BITWISE_AND('Raw Data'!M382, 1),"Bat Voltage", IF(BITWISE_AND('Raw Data'!M382, 2), "Charge Current", IF(BITWISE_AND('Raw Data'!M382, 4),"Input Ilim", IF(BITWISE_AND('Raw Data'!M382, 8), "Input UV", "none"))))</f>
        <v>none</v>
      </c>
    </row>
    <row r="382" spans="1:24" x14ac:dyDescent="0.2">
      <c r="A382" s="15">
        <f>A381+TIME(0,0,'Raw Data'!B382)</f>
        <v>0</v>
      </c>
      <c r="B382" s="4">
        <f>'Raw Data'!C383*0.025</f>
        <v>0</v>
      </c>
      <c r="C382" s="4">
        <f t="shared" si="18"/>
        <v>0</v>
      </c>
      <c r="D382" s="4">
        <f>'Raw Data'!D383*0.025</f>
        <v>0</v>
      </c>
      <c r="E382" s="4">
        <f t="shared" si="19"/>
        <v>0</v>
      </c>
      <c r="F382" s="4">
        <f>'Raw Data'!E383*0.001648</f>
        <v>0</v>
      </c>
      <c r="G382" s="4">
        <f>'Raw Data'!F383*0.001648</f>
        <v>0</v>
      </c>
      <c r="H382" s="4">
        <f>'Raw Data'!G383*6*0.000128176</f>
        <v>0</v>
      </c>
      <c r="I382" s="4">
        <f>'Raw Data'!H383*0.000732435</f>
        <v>0</v>
      </c>
      <c r="J382" s="4">
        <f t="shared" si="17"/>
        <v>0</v>
      </c>
      <c r="K382" s="36">
        <f>IF(('Raw Data'!I383-16384)/32768&lt;0,0,('Raw Data'!I383-16384)/32768)</f>
        <v>0</v>
      </c>
      <c r="L382" s="4">
        <f>IF(('Raw Data'!J383-12010)/45.6=-263.377192982456,0,('Raw Data'!J383-12010)/45.6)</f>
        <v>0</v>
      </c>
      <c r="M382" s="16">
        <f>'Raw Data'!N383*2^-8</f>
        <v>0</v>
      </c>
      <c r="N382" s="16">
        <f>'Raw Data'!O383*2^-8</f>
        <v>0</v>
      </c>
      <c r="O382" s="17" t="str">
        <f>IF(BITWISE_AND('Raw Data'!$K383, 8192),"X","")</f>
        <v/>
      </c>
      <c r="P382" s="17" t="str">
        <f>IF(BITWISE_AND('Raw Data'!$K383, 2048),"X","")</f>
        <v/>
      </c>
      <c r="Q382" s="17" t="str">
        <f>IF(BITWISE_AND('Raw Data'!$K383, 64),"X","")</f>
        <v/>
      </c>
      <c r="R382" s="18" t="str">
        <f>IF(BITWISE_AND('Raw Data'!$L383, 1024),"X","")</f>
        <v/>
      </c>
      <c r="S382" s="18" t="str">
        <f>IF(BITWISE_AND('Raw Data'!$L383, 512),"X","")</f>
        <v/>
      </c>
      <c r="T382" s="18" t="str">
        <f>IF(BITWISE_AND('Raw Data'!$L383, 256),"X","")</f>
        <v/>
      </c>
      <c r="U382" s="18" t="str">
        <f>IF(BITWISE_AND('Raw Data'!$L383, 64),"X","")</f>
        <v/>
      </c>
      <c r="V382" s="18" t="str">
        <f>IF(BITWISE_AND('Raw Data'!$L383, 2),"X","")</f>
        <v/>
      </c>
      <c r="W382" s="18" t="str">
        <f>IF(BITWISE_AND('Raw Data'!$L383, 1),"X","")</f>
        <v/>
      </c>
      <c r="X382" s="19" t="str">
        <f>IF(BITWISE_AND('Raw Data'!M383, 1),"Bat Voltage", IF(BITWISE_AND('Raw Data'!M383, 2), "Charge Current", IF(BITWISE_AND('Raw Data'!M383, 4),"Input Ilim", IF(BITWISE_AND('Raw Data'!M383, 8), "Input UV", "none"))))</f>
        <v>none</v>
      </c>
    </row>
    <row r="383" spans="1:24" x14ac:dyDescent="0.2">
      <c r="A383" s="15">
        <f>A382+TIME(0,0,'Raw Data'!B383)</f>
        <v>0</v>
      </c>
      <c r="B383" s="4">
        <f>'Raw Data'!C384*0.025</f>
        <v>0</v>
      </c>
      <c r="C383" s="4">
        <f t="shared" si="18"/>
        <v>0</v>
      </c>
      <c r="D383" s="4">
        <f>'Raw Data'!D384*0.025</f>
        <v>0</v>
      </c>
      <c r="E383" s="4">
        <f t="shared" si="19"/>
        <v>0</v>
      </c>
      <c r="F383" s="4">
        <f>'Raw Data'!E384*0.001648</f>
        <v>0</v>
      </c>
      <c r="G383" s="4">
        <f>'Raw Data'!F384*0.001648</f>
        <v>0</v>
      </c>
      <c r="H383" s="4">
        <f>'Raw Data'!G384*6*0.000128176</f>
        <v>0</v>
      </c>
      <c r="I383" s="4">
        <f>'Raw Data'!H384*0.000732435</f>
        <v>0</v>
      </c>
      <c r="J383" s="4">
        <f t="shared" si="17"/>
        <v>0</v>
      </c>
      <c r="K383" s="36">
        <f>IF(('Raw Data'!I384-16384)/32768&lt;0,0,('Raw Data'!I384-16384)/32768)</f>
        <v>0</v>
      </c>
      <c r="L383" s="4">
        <f>IF(('Raw Data'!J384-12010)/45.6=-263.377192982456,0,('Raw Data'!J384-12010)/45.6)</f>
        <v>0</v>
      </c>
      <c r="M383" s="16">
        <f>'Raw Data'!N384*2^-8</f>
        <v>0</v>
      </c>
      <c r="N383" s="16">
        <f>'Raw Data'!O384*2^-8</f>
        <v>0</v>
      </c>
      <c r="O383" s="17" t="str">
        <f>IF(BITWISE_AND('Raw Data'!$K384, 8192),"X","")</f>
        <v/>
      </c>
      <c r="P383" s="17" t="str">
        <f>IF(BITWISE_AND('Raw Data'!$K384, 2048),"X","")</f>
        <v/>
      </c>
      <c r="Q383" s="17" t="str">
        <f>IF(BITWISE_AND('Raw Data'!$K384, 64),"X","")</f>
        <v/>
      </c>
      <c r="R383" s="18" t="str">
        <f>IF(BITWISE_AND('Raw Data'!$L384, 1024),"X","")</f>
        <v/>
      </c>
      <c r="S383" s="18" t="str">
        <f>IF(BITWISE_AND('Raw Data'!$L384, 512),"X","")</f>
        <v/>
      </c>
      <c r="T383" s="18" t="str">
        <f>IF(BITWISE_AND('Raw Data'!$L384, 256),"X","")</f>
        <v/>
      </c>
      <c r="U383" s="18" t="str">
        <f>IF(BITWISE_AND('Raw Data'!$L384, 64),"X","")</f>
        <v/>
      </c>
      <c r="V383" s="18" t="str">
        <f>IF(BITWISE_AND('Raw Data'!$L384, 2),"X","")</f>
        <v/>
      </c>
      <c r="W383" s="18" t="str">
        <f>IF(BITWISE_AND('Raw Data'!$L384, 1),"X","")</f>
        <v/>
      </c>
      <c r="X383" s="19" t="str">
        <f>IF(BITWISE_AND('Raw Data'!M384, 1),"Bat Voltage", IF(BITWISE_AND('Raw Data'!M384, 2), "Charge Current", IF(BITWISE_AND('Raw Data'!M384, 4),"Input Ilim", IF(BITWISE_AND('Raw Data'!M384, 8), "Input UV", "none"))))</f>
        <v>none</v>
      </c>
    </row>
    <row r="384" spans="1:24" x14ac:dyDescent="0.2">
      <c r="A384" s="15">
        <f>A383+TIME(0,0,'Raw Data'!B384)</f>
        <v>0</v>
      </c>
      <c r="B384" s="4">
        <f>'Raw Data'!C385*0.025</f>
        <v>0</v>
      </c>
      <c r="C384" s="4">
        <f t="shared" si="18"/>
        <v>0</v>
      </c>
      <c r="D384" s="4">
        <f>'Raw Data'!D385*0.025</f>
        <v>0</v>
      </c>
      <c r="E384" s="4">
        <f t="shared" si="19"/>
        <v>0</v>
      </c>
      <c r="F384" s="4">
        <f>'Raw Data'!E385*0.001648</f>
        <v>0</v>
      </c>
      <c r="G384" s="4">
        <f>'Raw Data'!F385*0.001648</f>
        <v>0</v>
      </c>
      <c r="H384" s="4">
        <f>'Raw Data'!G385*6*0.000128176</f>
        <v>0</v>
      </c>
      <c r="I384" s="4">
        <f>'Raw Data'!H385*0.000732435</f>
        <v>0</v>
      </c>
      <c r="J384" s="4">
        <f t="shared" si="17"/>
        <v>0</v>
      </c>
      <c r="K384" s="36">
        <f>IF(('Raw Data'!I385-16384)/32768&lt;0,0,('Raw Data'!I385-16384)/32768)</f>
        <v>0</v>
      </c>
      <c r="L384" s="4">
        <f>IF(('Raw Data'!J385-12010)/45.6=-263.377192982456,0,('Raw Data'!J385-12010)/45.6)</f>
        <v>0</v>
      </c>
      <c r="M384" s="16">
        <f>'Raw Data'!N385*2^-8</f>
        <v>0</v>
      </c>
      <c r="N384" s="16">
        <f>'Raw Data'!O385*2^-8</f>
        <v>0</v>
      </c>
      <c r="O384" s="17" t="str">
        <f>IF(BITWISE_AND('Raw Data'!$K385, 8192),"X","")</f>
        <v/>
      </c>
      <c r="P384" s="17" t="str">
        <f>IF(BITWISE_AND('Raw Data'!$K385, 2048),"X","")</f>
        <v/>
      </c>
      <c r="Q384" s="17" t="str">
        <f>IF(BITWISE_AND('Raw Data'!$K385, 64),"X","")</f>
        <v/>
      </c>
      <c r="R384" s="18" t="str">
        <f>IF(BITWISE_AND('Raw Data'!$L385, 1024),"X","")</f>
        <v/>
      </c>
      <c r="S384" s="18" t="str">
        <f>IF(BITWISE_AND('Raw Data'!$L385, 512),"X","")</f>
        <v/>
      </c>
      <c r="T384" s="18" t="str">
        <f>IF(BITWISE_AND('Raw Data'!$L385, 256),"X","")</f>
        <v/>
      </c>
      <c r="U384" s="18" t="str">
        <f>IF(BITWISE_AND('Raw Data'!$L385, 64),"X","")</f>
        <v/>
      </c>
      <c r="V384" s="18" t="str">
        <f>IF(BITWISE_AND('Raw Data'!$L385, 2),"X","")</f>
        <v/>
      </c>
      <c r="W384" s="18" t="str">
        <f>IF(BITWISE_AND('Raw Data'!$L385, 1),"X","")</f>
        <v/>
      </c>
      <c r="X384" s="19" t="str">
        <f>IF(BITWISE_AND('Raw Data'!M385, 1),"Bat Voltage", IF(BITWISE_AND('Raw Data'!M385, 2), "Charge Current", IF(BITWISE_AND('Raw Data'!M385, 4),"Input Ilim", IF(BITWISE_AND('Raw Data'!M385, 8), "Input UV", "none"))))</f>
        <v>none</v>
      </c>
    </row>
    <row r="385" spans="1:24" x14ac:dyDescent="0.2">
      <c r="A385" s="15">
        <f>A384+TIME(0,0,'Raw Data'!B385)</f>
        <v>0</v>
      </c>
      <c r="B385" s="4">
        <f>'Raw Data'!C386*0.025</f>
        <v>0</v>
      </c>
      <c r="C385" s="4">
        <f t="shared" si="18"/>
        <v>0</v>
      </c>
      <c r="D385" s="4">
        <f>'Raw Data'!D386*0.025</f>
        <v>0</v>
      </c>
      <c r="E385" s="4">
        <f t="shared" si="19"/>
        <v>0</v>
      </c>
      <c r="F385" s="4">
        <f>'Raw Data'!E386*0.001648</f>
        <v>0</v>
      </c>
      <c r="G385" s="4">
        <f>'Raw Data'!F386*0.001648</f>
        <v>0</v>
      </c>
      <c r="H385" s="4">
        <f>'Raw Data'!G386*6*0.000128176</f>
        <v>0</v>
      </c>
      <c r="I385" s="4">
        <f>'Raw Data'!H386*0.000732435</f>
        <v>0</v>
      </c>
      <c r="J385" s="4">
        <f t="shared" si="17"/>
        <v>0</v>
      </c>
      <c r="K385" s="36">
        <f>IF(('Raw Data'!I386-16384)/32768&lt;0,0,('Raw Data'!I386-16384)/32768)</f>
        <v>0</v>
      </c>
      <c r="L385" s="4">
        <f>IF(('Raw Data'!J386-12010)/45.6=-263.377192982456,0,('Raw Data'!J386-12010)/45.6)</f>
        <v>0</v>
      </c>
      <c r="M385" s="16">
        <f>'Raw Data'!N386*2^-8</f>
        <v>0</v>
      </c>
      <c r="N385" s="16">
        <f>'Raw Data'!O386*2^-8</f>
        <v>0</v>
      </c>
      <c r="O385" s="17" t="str">
        <f>IF(BITWISE_AND('Raw Data'!$K386, 8192),"X","")</f>
        <v/>
      </c>
      <c r="P385" s="17" t="str">
        <f>IF(BITWISE_AND('Raw Data'!$K386, 2048),"X","")</f>
        <v/>
      </c>
      <c r="Q385" s="17" t="str">
        <f>IF(BITWISE_AND('Raw Data'!$K386, 64),"X","")</f>
        <v/>
      </c>
      <c r="R385" s="18" t="str">
        <f>IF(BITWISE_AND('Raw Data'!$L386, 1024),"X","")</f>
        <v/>
      </c>
      <c r="S385" s="18" t="str">
        <f>IF(BITWISE_AND('Raw Data'!$L386, 512),"X","")</f>
        <v/>
      </c>
      <c r="T385" s="18" t="str">
        <f>IF(BITWISE_AND('Raw Data'!$L386, 256),"X","")</f>
        <v/>
      </c>
      <c r="U385" s="18" t="str">
        <f>IF(BITWISE_AND('Raw Data'!$L386, 64),"X","")</f>
        <v/>
      </c>
      <c r="V385" s="18" t="str">
        <f>IF(BITWISE_AND('Raw Data'!$L386, 2),"X","")</f>
        <v/>
      </c>
      <c r="W385" s="18" t="str">
        <f>IF(BITWISE_AND('Raw Data'!$L386, 1),"X","")</f>
        <v/>
      </c>
      <c r="X385" s="19" t="str">
        <f>IF(BITWISE_AND('Raw Data'!M386, 1),"Bat Voltage", IF(BITWISE_AND('Raw Data'!M386, 2), "Charge Current", IF(BITWISE_AND('Raw Data'!M386, 4),"Input Ilim", IF(BITWISE_AND('Raw Data'!M386, 8), "Input UV", "none"))))</f>
        <v>none</v>
      </c>
    </row>
    <row r="386" spans="1:24" x14ac:dyDescent="0.2">
      <c r="A386" s="15">
        <f>A385+TIME(0,0,'Raw Data'!B386)</f>
        <v>0</v>
      </c>
      <c r="B386" s="4">
        <f>'Raw Data'!C387*0.025</f>
        <v>0</v>
      </c>
      <c r="C386" s="4">
        <f t="shared" si="18"/>
        <v>0</v>
      </c>
      <c r="D386" s="4">
        <f>'Raw Data'!D387*0.025</f>
        <v>0</v>
      </c>
      <c r="E386" s="4">
        <f t="shared" si="19"/>
        <v>0</v>
      </c>
      <c r="F386" s="4">
        <f>'Raw Data'!E387*0.001648</f>
        <v>0</v>
      </c>
      <c r="G386" s="4">
        <f>'Raw Data'!F387*0.001648</f>
        <v>0</v>
      </c>
      <c r="H386" s="4">
        <f>'Raw Data'!G387*6*0.000128176</f>
        <v>0</v>
      </c>
      <c r="I386" s="4">
        <f>'Raw Data'!H387*0.000732435</f>
        <v>0</v>
      </c>
      <c r="J386" s="4">
        <f t="shared" si="17"/>
        <v>0</v>
      </c>
      <c r="K386" s="36">
        <f>IF(('Raw Data'!I387-16384)/32768&lt;0,0,('Raw Data'!I387-16384)/32768)</f>
        <v>0</v>
      </c>
      <c r="L386" s="4">
        <f>IF(('Raw Data'!J387-12010)/45.6=-263.377192982456,0,('Raw Data'!J387-12010)/45.6)</f>
        <v>0</v>
      </c>
      <c r="M386" s="16">
        <f>'Raw Data'!N387*2^-8</f>
        <v>0</v>
      </c>
      <c r="N386" s="16">
        <f>'Raw Data'!O387*2^-8</f>
        <v>0</v>
      </c>
      <c r="O386" s="17" t="str">
        <f>IF(BITWISE_AND('Raw Data'!$K387, 8192),"X","")</f>
        <v/>
      </c>
      <c r="P386" s="17" t="str">
        <f>IF(BITWISE_AND('Raw Data'!$K387, 2048),"X","")</f>
        <v/>
      </c>
      <c r="Q386" s="17" t="str">
        <f>IF(BITWISE_AND('Raw Data'!$K387, 64),"X","")</f>
        <v/>
      </c>
      <c r="R386" s="18" t="str">
        <f>IF(BITWISE_AND('Raw Data'!$L387, 1024),"X","")</f>
        <v/>
      </c>
      <c r="S386" s="18" t="str">
        <f>IF(BITWISE_AND('Raw Data'!$L387, 512),"X","")</f>
        <v/>
      </c>
      <c r="T386" s="18" t="str">
        <f>IF(BITWISE_AND('Raw Data'!$L387, 256),"X","")</f>
        <v/>
      </c>
      <c r="U386" s="18" t="str">
        <f>IF(BITWISE_AND('Raw Data'!$L387, 64),"X","")</f>
        <v/>
      </c>
      <c r="V386" s="18" t="str">
        <f>IF(BITWISE_AND('Raw Data'!$L387, 2),"X","")</f>
        <v/>
      </c>
      <c r="W386" s="18" t="str">
        <f>IF(BITWISE_AND('Raw Data'!$L387, 1),"X","")</f>
        <v/>
      </c>
      <c r="X386" s="19" t="str">
        <f>IF(BITWISE_AND('Raw Data'!M387, 1),"Bat Voltage", IF(BITWISE_AND('Raw Data'!M387, 2), "Charge Current", IF(BITWISE_AND('Raw Data'!M387, 4),"Input Ilim", IF(BITWISE_AND('Raw Data'!M387, 8), "Input UV", "none"))))</f>
        <v>none</v>
      </c>
    </row>
    <row r="387" spans="1:24" x14ac:dyDescent="0.2">
      <c r="A387" s="15">
        <f>A386+TIME(0,0,'Raw Data'!B387)</f>
        <v>0</v>
      </c>
      <c r="B387" s="4">
        <f>'Raw Data'!C388*0.025</f>
        <v>0</v>
      </c>
      <c r="C387" s="4">
        <f t="shared" si="18"/>
        <v>0</v>
      </c>
      <c r="D387" s="4">
        <f>'Raw Data'!D388*0.025</f>
        <v>0</v>
      </c>
      <c r="E387" s="4">
        <f t="shared" si="19"/>
        <v>0</v>
      </c>
      <c r="F387" s="4">
        <f>'Raw Data'!E388*0.001648</f>
        <v>0</v>
      </c>
      <c r="G387" s="4">
        <f>'Raw Data'!F388*0.001648</f>
        <v>0</v>
      </c>
      <c r="H387" s="4">
        <f>'Raw Data'!G388*6*0.000128176</f>
        <v>0</v>
      </c>
      <c r="I387" s="4">
        <f>'Raw Data'!H388*0.000732435</f>
        <v>0</v>
      </c>
      <c r="J387" s="4">
        <f t="shared" ref="J387:J450" si="20">H387*I387</f>
        <v>0</v>
      </c>
      <c r="K387" s="36">
        <f>IF(('Raw Data'!I388-16384)/32768&lt;0,0,('Raw Data'!I388-16384)/32768)</f>
        <v>0</v>
      </c>
      <c r="L387" s="4">
        <f>IF(('Raw Data'!J388-12010)/45.6=-263.377192982456,0,('Raw Data'!J388-12010)/45.6)</f>
        <v>0</v>
      </c>
      <c r="M387" s="16">
        <f>'Raw Data'!N388*2^-8</f>
        <v>0</v>
      </c>
      <c r="N387" s="16">
        <f>'Raw Data'!O388*2^-8</f>
        <v>0</v>
      </c>
      <c r="O387" s="17" t="str">
        <f>IF(BITWISE_AND('Raw Data'!$K388, 8192),"X","")</f>
        <v/>
      </c>
      <c r="P387" s="17" t="str">
        <f>IF(BITWISE_AND('Raw Data'!$K388, 2048),"X","")</f>
        <v/>
      </c>
      <c r="Q387" s="17" t="str">
        <f>IF(BITWISE_AND('Raw Data'!$K388, 64),"X","")</f>
        <v/>
      </c>
      <c r="R387" s="18" t="str">
        <f>IF(BITWISE_AND('Raw Data'!$L388, 1024),"X","")</f>
        <v/>
      </c>
      <c r="S387" s="18" t="str">
        <f>IF(BITWISE_AND('Raw Data'!$L388, 512),"X","")</f>
        <v/>
      </c>
      <c r="T387" s="18" t="str">
        <f>IF(BITWISE_AND('Raw Data'!$L388, 256),"X","")</f>
        <v/>
      </c>
      <c r="U387" s="18" t="str">
        <f>IF(BITWISE_AND('Raw Data'!$L388, 64),"X","")</f>
        <v/>
      </c>
      <c r="V387" s="18" t="str">
        <f>IF(BITWISE_AND('Raw Data'!$L388, 2),"X","")</f>
        <v/>
      </c>
      <c r="W387" s="18" t="str">
        <f>IF(BITWISE_AND('Raw Data'!$L388, 1),"X","")</f>
        <v/>
      </c>
      <c r="X387" s="19" t="str">
        <f>IF(BITWISE_AND('Raw Data'!M388, 1),"Bat Voltage", IF(BITWISE_AND('Raw Data'!M388, 2), "Charge Current", IF(BITWISE_AND('Raw Data'!M388, 4),"Input Ilim", IF(BITWISE_AND('Raw Data'!M388, 8), "Input UV", "none"))))</f>
        <v>none</v>
      </c>
    </row>
    <row r="388" spans="1:24" x14ac:dyDescent="0.2">
      <c r="A388" s="15">
        <f>A387+TIME(0,0,'Raw Data'!B388)</f>
        <v>0</v>
      </c>
      <c r="B388" s="4">
        <f>'Raw Data'!C389*0.025</f>
        <v>0</v>
      </c>
      <c r="C388" s="4">
        <f t="shared" si="18"/>
        <v>0</v>
      </c>
      <c r="D388" s="4">
        <f>'Raw Data'!D389*0.025</f>
        <v>0</v>
      </c>
      <c r="E388" s="4">
        <f t="shared" si="19"/>
        <v>0</v>
      </c>
      <c r="F388" s="4">
        <f>'Raw Data'!E389*0.001648</f>
        <v>0</v>
      </c>
      <c r="G388" s="4">
        <f>'Raw Data'!F389*0.001648</f>
        <v>0</v>
      </c>
      <c r="H388" s="4">
        <f>'Raw Data'!G389*6*0.000128176</f>
        <v>0</v>
      </c>
      <c r="I388" s="4">
        <f>'Raw Data'!H389*0.000732435</f>
        <v>0</v>
      </c>
      <c r="J388" s="4">
        <f t="shared" si="20"/>
        <v>0</v>
      </c>
      <c r="K388" s="36">
        <f>IF(('Raw Data'!I389-16384)/32768&lt;0,0,('Raw Data'!I389-16384)/32768)</f>
        <v>0</v>
      </c>
      <c r="L388" s="4">
        <f>IF(('Raw Data'!J389-12010)/45.6=-263.377192982456,0,('Raw Data'!J389-12010)/45.6)</f>
        <v>0</v>
      </c>
      <c r="M388" s="16">
        <f>'Raw Data'!N389*2^-8</f>
        <v>0</v>
      </c>
      <c r="N388" s="16">
        <f>'Raw Data'!O389*2^-8</f>
        <v>0</v>
      </c>
      <c r="O388" s="17" t="str">
        <f>IF(BITWISE_AND('Raw Data'!$K389, 8192),"X","")</f>
        <v/>
      </c>
      <c r="P388" s="17" t="str">
        <f>IF(BITWISE_AND('Raw Data'!$K389, 2048),"X","")</f>
        <v/>
      </c>
      <c r="Q388" s="17" t="str">
        <f>IF(BITWISE_AND('Raw Data'!$K389, 64),"X","")</f>
        <v/>
      </c>
      <c r="R388" s="18" t="str">
        <f>IF(BITWISE_AND('Raw Data'!$L389, 1024),"X","")</f>
        <v/>
      </c>
      <c r="S388" s="18" t="str">
        <f>IF(BITWISE_AND('Raw Data'!$L389, 512),"X","")</f>
        <v/>
      </c>
      <c r="T388" s="18" t="str">
        <f>IF(BITWISE_AND('Raw Data'!$L389, 256),"X","")</f>
        <v/>
      </c>
      <c r="U388" s="18" t="str">
        <f>IF(BITWISE_AND('Raw Data'!$L389, 64),"X","")</f>
        <v/>
      </c>
      <c r="V388" s="18" t="str">
        <f>IF(BITWISE_AND('Raw Data'!$L389, 2),"X","")</f>
        <v/>
      </c>
      <c r="W388" s="18" t="str">
        <f>IF(BITWISE_AND('Raw Data'!$L389, 1),"X","")</f>
        <v/>
      </c>
      <c r="X388" s="19" t="str">
        <f>IF(BITWISE_AND('Raw Data'!M389, 1),"Bat Voltage", IF(BITWISE_AND('Raw Data'!M389, 2), "Charge Current", IF(BITWISE_AND('Raw Data'!M389, 4),"Input Ilim", IF(BITWISE_AND('Raw Data'!M389, 8), "Input UV", "none"))))</f>
        <v>none</v>
      </c>
    </row>
    <row r="389" spans="1:24" x14ac:dyDescent="0.2">
      <c r="A389" s="15">
        <f>A388+TIME(0,0,'Raw Data'!B389)</f>
        <v>0</v>
      </c>
      <c r="B389" s="4">
        <f>'Raw Data'!C390*0.025</f>
        <v>0</v>
      </c>
      <c r="C389" s="4">
        <f t="shared" si="18"/>
        <v>0</v>
      </c>
      <c r="D389" s="4">
        <f>'Raw Data'!D390*0.025</f>
        <v>0</v>
      </c>
      <c r="E389" s="4">
        <f t="shared" si="19"/>
        <v>0</v>
      </c>
      <c r="F389" s="4">
        <f>'Raw Data'!E390*0.001648</f>
        <v>0</v>
      </c>
      <c r="G389" s="4">
        <f>'Raw Data'!F390*0.001648</f>
        <v>0</v>
      </c>
      <c r="H389" s="4">
        <f>'Raw Data'!G390*6*0.000128176</f>
        <v>0</v>
      </c>
      <c r="I389" s="4">
        <f>'Raw Data'!H390*0.000732435</f>
        <v>0</v>
      </c>
      <c r="J389" s="4">
        <f t="shared" si="20"/>
        <v>0</v>
      </c>
      <c r="K389" s="36">
        <f>IF(('Raw Data'!I390-16384)/32768&lt;0,0,('Raw Data'!I390-16384)/32768)</f>
        <v>0</v>
      </c>
      <c r="L389" s="4">
        <f>IF(('Raw Data'!J390-12010)/45.6=-263.377192982456,0,('Raw Data'!J390-12010)/45.6)</f>
        <v>0</v>
      </c>
      <c r="M389" s="16">
        <f>'Raw Data'!N390*2^-8</f>
        <v>0</v>
      </c>
      <c r="N389" s="16">
        <f>'Raw Data'!O390*2^-8</f>
        <v>0</v>
      </c>
      <c r="O389" s="17" t="str">
        <f>IF(BITWISE_AND('Raw Data'!$K390, 8192),"X","")</f>
        <v/>
      </c>
      <c r="P389" s="17" t="str">
        <f>IF(BITWISE_AND('Raw Data'!$K390, 2048),"X","")</f>
        <v/>
      </c>
      <c r="Q389" s="17" t="str">
        <f>IF(BITWISE_AND('Raw Data'!$K390, 64),"X","")</f>
        <v/>
      </c>
      <c r="R389" s="18" t="str">
        <f>IF(BITWISE_AND('Raw Data'!$L390, 1024),"X","")</f>
        <v/>
      </c>
      <c r="S389" s="18" t="str">
        <f>IF(BITWISE_AND('Raw Data'!$L390, 512),"X","")</f>
        <v/>
      </c>
      <c r="T389" s="18" t="str">
        <f>IF(BITWISE_AND('Raw Data'!$L390, 256),"X","")</f>
        <v/>
      </c>
      <c r="U389" s="18" t="str">
        <f>IF(BITWISE_AND('Raw Data'!$L390, 64),"X","")</f>
        <v/>
      </c>
      <c r="V389" s="18" t="str">
        <f>IF(BITWISE_AND('Raw Data'!$L390, 2),"X","")</f>
        <v/>
      </c>
      <c r="W389" s="18" t="str">
        <f>IF(BITWISE_AND('Raw Data'!$L390, 1),"X","")</f>
        <v/>
      </c>
      <c r="X389" s="19" t="str">
        <f>IF(BITWISE_AND('Raw Data'!M390, 1),"Bat Voltage", IF(BITWISE_AND('Raw Data'!M390, 2), "Charge Current", IF(BITWISE_AND('Raw Data'!M390, 4),"Input Ilim", IF(BITWISE_AND('Raw Data'!M390, 8), "Input UV", "none"))))</f>
        <v>none</v>
      </c>
    </row>
    <row r="390" spans="1:24" x14ac:dyDescent="0.2">
      <c r="A390" s="15">
        <f>A389+TIME(0,0,'Raw Data'!B390)</f>
        <v>0</v>
      </c>
      <c r="B390" s="4">
        <f>'Raw Data'!C391*0.025</f>
        <v>0</v>
      </c>
      <c r="C390" s="4">
        <f t="shared" si="18"/>
        <v>0</v>
      </c>
      <c r="D390" s="4">
        <f>'Raw Data'!D391*0.025</f>
        <v>0</v>
      </c>
      <c r="E390" s="4">
        <f t="shared" si="19"/>
        <v>0</v>
      </c>
      <c r="F390" s="4">
        <f>'Raw Data'!E391*0.001648</f>
        <v>0</v>
      </c>
      <c r="G390" s="4">
        <f>'Raw Data'!F391*0.001648</f>
        <v>0</v>
      </c>
      <c r="H390" s="4">
        <f>'Raw Data'!G391*6*0.000128176</f>
        <v>0</v>
      </c>
      <c r="I390" s="4">
        <f>'Raw Data'!H391*0.000732435</f>
        <v>0</v>
      </c>
      <c r="J390" s="4">
        <f t="shared" si="20"/>
        <v>0</v>
      </c>
      <c r="K390" s="36">
        <f>IF(('Raw Data'!I391-16384)/32768&lt;0,0,('Raw Data'!I391-16384)/32768)</f>
        <v>0</v>
      </c>
      <c r="L390" s="4">
        <f>IF(('Raw Data'!J391-12010)/45.6=-263.377192982456,0,('Raw Data'!J391-12010)/45.6)</f>
        <v>0</v>
      </c>
      <c r="M390" s="16">
        <f>'Raw Data'!N391*2^-8</f>
        <v>0</v>
      </c>
      <c r="N390" s="16">
        <f>'Raw Data'!O391*2^-8</f>
        <v>0</v>
      </c>
      <c r="O390" s="17" t="str">
        <f>IF(BITWISE_AND('Raw Data'!$K391, 8192),"X","")</f>
        <v/>
      </c>
      <c r="P390" s="17" t="str">
        <f>IF(BITWISE_AND('Raw Data'!$K391, 2048),"X","")</f>
        <v/>
      </c>
      <c r="Q390" s="17" t="str">
        <f>IF(BITWISE_AND('Raw Data'!$K391, 64),"X","")</f>
        <v/>
      </c>
      <c r="R390" s="18" t="str">
        <f>IF(BITWISE_AND('Raw Data'!$L391, 1024),"X","")</f>
        <v/>
      </c>
      <c r="S390" s="18" t="str">
        <f>IF(BITWISE_AND('Raw Data'!$L391, 512),"X","")</f>
        <v/>
      </c>
      <c r="T390" s="18" t="str">
        <f>IF(BITWISE_AND('Raw Data'!$L391, 256),"X","")</f>
        <v/>
      </c>
      <c r="U390" s="18" t="str">
        <f>IF(BITWISE_AND('Raw Data'!$L391, 64),"X","")</f>
        <v/>
      </c>
      <c r="V390" s="18" t="str">
        <f>IF(BITWISE_AND('Raw Data'!$L391, 2),"X","")</f>
        <v/>
      </c>
      <c r="W390" s="18" t="str">
        <f>IF(BITWISE_AND('Raw Data'!$L391, 1),"X","")</f>
        <v/>
      </c>
      <c r="X390" s="19" t="str">
        <f>IF(BITWISE_AND('Raw Data'!M391, 1),"Bat Voltage", IF(BITWISE_AND('Raw Data'!M391, 2), "Charge Current", IF(BITWISE_AND('Raw Data'!M391, 4),"Input Ilim", IF(BITWISE_AND('Raw Data'!M391, 8), "Input UV", "none"))))</f>
        <v>none</v>
      </c>
    </row>
    <row r="391" spans="1:24" x14ac:dyDescent="0.2">
      <c r="A391" s="15">
        <f>A390+TIME(0,0,'Raw Data'!B391)</f>
        <v>0</v>
      </c>
      <c r="B391" s="4">
        <f>'Raw Data'!C392*0.025</f>
        <v>0</v>
      </c>
      <c r="C391" s="4">
        <f t="shared" si="18"/>
        <v>0</v>
      </c>
      <c r="D391" s="4">
        <f>'Raw Data'!D392*0.025</f>
        <v>0</v>
      </c>
      <c r="E391" s="4">
        <f t="shared" si="19"/>
        <v>0</v>
      </c>
      <c r="F391" s="4">
        <f>'Raw Data'!E392*0.001648</f>
        <v>0</v>
      </c>
      <c r="G391" s="4">
        <f>'Raw Data'!F392*0.001648</f>
        <v>0</v>
      </c>
      <c r="H391" s="4">
        <f>'Raw Data'!G392*6*0.000128176</f>
        <v>0</v>
      </c>
      <c r="I391" s="4">
        <f>'Raw Data'!H392*0.000732435</f>
        <v>0</v>
      </c>
      <c r="J391" s="4">
        <f t="shared" si="20"/>
        <v>0</v>
      </c>
      <c r="K391" s="36">
        <f>IF(('Raw Data'!I392-16384)/32768&lt;0,0,('Raw Data'!I392-16384)/32768)</f>
        <v>0</v>
      </c>
      <c r="L391" s="4">
        <f>IF(('Raw Data'!J392-12010)/45.6=-263.377192982456,0,('Raw Data'!J392-12010)/45.6)</f>
        <v>0</v>
      </c>
      <c r="M391" s="16">
        <f>'Raw Data'!N392*2^-8</f>
        <v>0</v>
      </c>
      <c r="N391" s="16">
        <f>'Raw Data'!O392*2^-8</f>
        <v>0</v>
      </c>
      <c r="O391" s="17" t="str">
        <f>IF(BITWISE_AND('Raw Data'!$K392, 8192),"X","")</f>
        <v/>
      </c>
      <c r="P391" s="17" t="str">
        <f>IF(BITWISE_AND('Raw Data'!$K392, 2048),"X","")</f>
        <v/>
      </c>
      <c r="Q391" s="17" t="str">
        <f>IF(BITWISE_AND('Raw Data'!$K392, 64),"X","")</f>
        <v/>
      </c>
      <c r="R391" s="18" t="str">
        <f>IF(BITWISE_AND('Raw Data'!$L392, 1024),"X","")</f>
        <v/>
      </c>
      <c r="S391" s="18" t="str">
        <f>IF(BITWISE_AND('Raw Data'!$L392, 512),"X","")</f>
        <v/>
      </c>
      <c r="T391" s="18" t="str">
        <f>IF(BITWISE_AND('Raw Data'!$L392, 256),"X","")</f>
        <v/>
      </c>
      <c r="U391" s="18" t="str">
        <f>IF(BITWISE_AND('Raw Data'!$L392, 64),"X","")</f>
        <v/>
      </c>
      <c r="V391" s="18" t="str">
        <f>IF(BITWISE_AND('Raw Data'!$L392, 2),"X","")</f>
        <v/>
      </c>
      <c r="W391" s="18" t="str">
        <f>IF(BITWISE_AND('Raw Data'!$L392, 1),"X","")</f>
        <v/>
      </c>
      <c r="X391" s="19" t="str">
        <f>IF(BITWISE_AND('Raw Data'!M392, 1),"Bat Voltage", IF(BITWISE_AND('Raw Data'!M392, 2), "Charge Current", IF(BITWISE_AND('Raw Data'!M392, 4),"Input Ilim", IF(BITWISE_AND('Raw Data'!M392, 8), "Input UV", "none"))))</f>
        <v>none</v>
      </c>
    </row>
    <row r="392" spans="1:24" x14ac:dyDescent="0.2">
      <c r="A392" s="15">
        <f>A391+TIME(0,0,'Raw Data'!B392)</f>
        <v>0</v>
      </c>
      <c r="B392" s="4">
        <f>'Raw Data'!C393*0.025</f>
        <v>0</v>
      </c>
      <c r="C392" s="4">
        <f t="shared" si="18"/>
        <v>0</v>
      </c>
      <c r="D392" s="4">
        <f>'Raw Data'!D393*0.025</f>
        <v>0</v>
      </c>
      <c r="E392" s="4">
        <f t="shared" si="19"/>
        <v>0</v>
      </c>
      <c r="F392" s="4">
        <f>'Raw Data'!E393*0.001648</f>
        <v>0</v>
      </c>
      <c r="G392" s="4">
        <f>'Raw Data'!F393*0.001648</f>
        <v>0</v>
      </c>
      <c r="H392" s="4">
        <f>'Raw Data'!G393*6*0.000128176</f>
        <v>0</v>
      </c>
      <c r="I392" s="4">
        <f>'Raw Data'!H393*0.000732435</f>
        <v>0</v>
      </c>
      <c r="J392" s="4">
        <f t="shared" si="20"/>
        <v>0</v>
      </c>
      <c r="K392" s="36">
        <f>IF(('Raw Data'!I393-16384)/32768&lt;0,0,('Raw Data'!I393-16384)/32768)</f>
        <v>0</v>
      </c>
      <c r="L392" s="4">
        <f>IF(('Raw Data'!J393-12010)/45.6=-263.377192982456,0,('Raw Data'!J393-12010)/45.6)</f>
        <v>0</v>
      </c>
      <c r="M392" s="16">
        <f>'Raw Data'!N393*2^-8</f>
        <v>0</v>
      </c>
      <c r="N392" s="16">
        <f>'Raw Data'!O393*2^-8</f>
        <v>0</v>
      </c>
      <c r="O392" s="17" t="str">
        <f>IF(BITWISE_AND('Raw Data'!$K393, 8192),"X","")</f>
        <v/>
      </c>
      <c r="P392" s="17" t="str">
        <f>IF(BITWISE_AND('Raw Data'!$K393, 2048),"X","")</f>
        <v/>
      </c>
      <c r="Q392" s="17" t="str">
        <f>IF(BITWISE_AND('Raw Data'!$K393, 64),"X","")</f>
        <v/>
      </c>
      <c r="R392" s="18" t="str">
        <f>IF(BITWISE_AND('Raw Data'!$L393, 1024),"X","")</f>
        <v/>
      </c>
      <c r="S392" s="18" t="str">
        <f>IF(BITWISE_AND('Raw Data'!$L393, 512),"X","")</f>
        <v/>
      </c>
      <c r="T392" s="18" t="str">
        <f>IF(BITWISE_AND('Raw Data'!$L393, 256),"X","")</f>
        <v/>
      </c>
      <c r="U392" s="18" t="str">
        <f>IF(BITWISE_AND('Raw Data'!$L393, 64),"X","")</f>
        <v/>
      </c>
      <c r="V392" s="18" t="str">
        <f>IF(BITWISE_AND('Raw Data'!$L393, 2),"X","")</f>
        <v/>
      </c>
      <c r="W392" s="18" t="str">
        <f>IF(BITWISE_AND('Raw Data'!$L393, 1),"X","")</f>
        <v/>
      </c>
      <c r="X392" s="19" t="str">
        <f>IF(BITWISE_AND('Raw Data'!M393, 1),"Bat Voltage", IF(BITWISE_AND('Raw Data'!M393, 2), "Charge Current", IF(BITWISE_AND('Raw Data'!M393, 4),"Input Ilim", IF(BITWISE_AND('Raw Data'!M393, 8), "Input UV", "none"))))</f>
        <v>none</v>
      </c>
    </row>
    <row r="393" spans="1:24" x14ac:dyDescent="0.2">
      <c r="A393" s="15">
        <f>A392+TIME(0,0,'Raw Data'!B393)</f>
        <v>0</v>
      </c>
      <c r="B393" s="4">
        <f>'Raw Data'!C394*0.025</f>
        <v>0</v>
      </c>
      <c r="C393" s="4">
        <f t="shared" si="18"/>
        <v>0</v>
      </c>
      <c r="D393" s="4">
        <f>'Raw Data'!D394*0.025</f>
        <v>0</v>
      </c>
      <c r="E393" s="4">
        <f t="shared" si="19"/>
        <v>0</v>
      </c>
      <c r="F393" s="4">
        <f>'Raw Data'!E394*0.001648</f>
        <v>0</v>
      </c>
      <c r="G393" s="4">
        <f>'Raw Data'!F394*0.001648</f>
        <v>0</v>
      </c>
      <c r="H393" s="4">
        <f>'Raw Data'!G394*6*0.000128176</f>
        <v>0</v>
      </c>
      <c r="I393" s="4">
        <f>'Raw Data'!H394*0.000732435</f>
        <v>0</v>
      </c>
      <c r="J393" s="4">
        <f t="shared" si="20"/>
        <v>0</v>
      </c>
      <c r="K393" s="36">
        <f>IF(('Raw Data'!I394-16384)/32768&lt;0,0,('Raw Data'!I394-16384)/32768)</f>
        <v>0</v>
      </c>
      <c r="L393" s="4">
        <f>IF(('Raw Data'!J394-12010)/45.6=-263.377192982456,0,('Raw Data'!J394-12010)/45.6)</f>
        <v>0</v>
      </c>
      <c r="M393" s="16">
        <f>'Raw Data'!N394*2^-8</f>
        <v>0</v>
      </c>
      <c r="N393" s="16">
        <f>'Raw Data'!O394*2^-8</f>
        <v>0</v>
      </c>
      <c r="O393" s="17" t="str">
        <f>IF(BITWISE_AND('Raw Data'!$K394, 8192),"X","")</f>
        <v/>
      </c>
      <c r="P393" s="17" t="str">
        <f>IF(BITWISE_AND('Raw Data'!$K394, 2048),"X","")</f>
        <v/>
      </c>
      <c r="Q393" s="17" t="str">
        <f>IF(BITWISE_AND('Raw Data'!$K394, 64),"X","")</f>
        <v/>
      </c>
      <c r="R393" s="18" t="str">
        <f>IF(BITWISE_AND('Raw Data'!$L394, 1024),"X","")</f>
        <v/>
      </c>
      <c r="S393" s="18" t="str">
        <f>IF(BITWISE_AND('Raw Data'!$L394, 512),"X","")</f>
        <v/>
      </c>
      <c r="T393" s="18" t="str">
        <f>IF(BITWISE_AND('Raw Data'!$L394, 256),"X","")</f>
        <v/>
      </c>
      <c r="U393" s="18" t="str">
        <f>IF(BITWISE_AND('Raw Data'!$L394, 64),"X","")</f>
        <v/>
      </c>
      <c r="V393" s="18" t="str">
        <f>IF(BITWISE_AND('Raw Data'!$L394, 2),"X","")</f>
        <v/>
      </c>
      <c r="W393" s="18" t="str">
        <f>IF(BITWISE_AND('Raw Data'!$L394, 1),"X","")</f>
        <v/>
      </c>
      <c r="X393" s="19" t="str">
        <f>IF(BITWISE_AND('Raw Data'!M394, 1),"Bat Voltage", IF(BITWISE_AND('Raw Data'!M394, 2), "Charge Current", IF(BITWISE_AND('Raw Data'!M394, 4),"Input Ilim", IF(BITWISE_AND('Raw Data'!M394, 8), "Input UV", "none"))))</f>
        <v>none</v>
      </c>
    </row>
    <row r="394" spans="1:24" x14ac:dyDescent="0.2">
      <c r="A394" s="15">
        <f>A393+TIME(0,0,'Raw Data'!B394)</f>
        <v>0</v>
      </c>
      <c r="B394" s="4">
        <f>'Raw Data'!C395*0.025</f>
        <v>0</v>
      </c>
      <c r="C394" s="4">
        <f t="shared" si="18"/>
        <v>0</v>
      </c>
      <c r="D394" s="4">
        <f>'Raw Data'!D395*0.025</f>
        <v>0</v>
      </c>
      <c r="E394" s="4">
        <f t="shared" si="19"/>
        <v>0</v>
      </c>
      <c r="F394" s="4">
        <f>'Raw Data'!E395*0.001648</f>
        <v>0</v>
      </c>
      <c r="G394" s="4">
        <f>'Raw Data'!F395*0.001648</f>
        <v>0</v>
      </c>
      <c r="H394" s="4">
        <f>'Raw Data'!G395*6*0.000128176</f>
        <v>0</v>
      </c>
      <c r="I394" s="4">
        <f>'Raw Data'!H395*0.000732435</f>
        <v>0</v>
      </c>
      <c r="J394" s="4">
        <f t="shared" si="20"/>
        <v>0</v>
      </c>
      <c r="K394" s="36">
        <f>IF(('Raw Data'!I395-16384)/32768&lt;0,0,('Raw Data'!I395-16384)/32768)</f>
        <v>0</v>
      </c>
      <c r="L394" s="4">
        <f>IF(('Raw Data'!J395-12010)/45.6=-263.377192982456,0,('Raw Data'!J395-12010)/45.6)</f>
        <v>0</v>
      </c>
      <c r="M394" s="16">
        <f>'Raw Data'!N395*2^-8</f>
        <v>0</v>
      </c>
      <c r="N394" s="16">
        <f>'Raw Data'!O395*2^-8</f>
        <v>0</v>
      </c>
      <c r="O394" s="17" t="str">
        <f>IF(BITWISE_AND('Raw Data'!$K395, 8192),"X","")</f>
        <v/>
      </c>
      <c r="P394" s="17" t="str">
        <f>IF(BITWISE_AND('Raw Data'!$K395, 2048),"X","")</f>
        <v/>
      </c>
      <c r="Q394" s="17" t="str">
        <f>IF(BITWISE_AND('Raw Data'!$K395, 64),"X","")</f>
        <v/>
      </c>
      <c r="R394" s="18" t="str">
        <f>IF(BITWISE_AND('Raw Data'!$L395, 1024),"X","")</f>
        <v/>
      </c>
      <c r="S394" s="18" t="str">
        <f>IF(BITWISE_AND('Raw Data'!$L395, 512),"X","")</f>
        <v/>
      </c>
      <c r="T394" s="18" t="str">
        <f>IF(BITWISE_AND('Raw Data'!$L395, 256),"X","")</f>
        <v/>
      </c>
      <c r="U394" s="18" t="str">
        <f>IF(BITWISE_AND('Raw Data'!$L395, 64),"X","")</f>
        <v/>
      </c>
      <c r="V394" s="18" t="str">
        <f>IF(BITWISE_AND('Raw Data'!$L395, 2),"X","")</f>
        <v/>
      </c>
      <c r="W394" s="18" t="str">
        <f>IF(BITWISE_AND('Raw Data'!$L395, 1),"X","")</f>
        <v/>
      </c>
      <c r="X394" s="19" t="str">
        <f>IF(BITWISE_AND('Raw Data'!M395, 1),"Bat Voltage", IF(BITWISE_AND('Raw Data'!M395, 2), "Charge Current", IF(BITWISE_AND('Raw Data'!M395, 4),"Input Ilim", IF(BITWISE_AND('Raw Data'!M395, 8), "Input UV", "none"))))</f>
        <v>none</v>
      </c>
    </row>
    <row r="395" spans="1:24" x14ac:dyDescent="0.2">
      <c r="A395" s="15">
        <f>A394+TIME(0,0,'Raw Data'!B395)</f>
        <v>0</v>
      </c>
      <c r="B395" s="4">
        <f>'Raw Data'!C396*0.025</f>
        <v>0</v>
      </c>
      <c r="C395" s="4">
        <f t="shared" si="18"/>
        <v>0</v>
      </c>
      <c r="D395" s="4">
        <f>'Raw Data'!D396*0.025</f>
        <v>0</v>
      </c>
      <c r="E395" s="4">
        <f t="shared" si="19"/>
        <v>0</v>
      </c>
      <c r="F395" s="4">
        <f>'Raw Data'!E396*0.001648</f>
        <v>0</v>
      </c>
      <c r="G395" s="4">
        <f>'Raw Data'!F396*0.001648</f>
        <v>0</v>
      </c>
      <c r="H395" s="4">
        <f>'Raw Data'!G396*6*0.000128176</f>
        <v>0</v>
      </c>
      <c r="I395" s="4">
        <f>'Raw Data'!H396*0.000732435</f>
        <v>0</v>
      </c>
      <c r="J395" s="4">
        <f t="shared" si="20"/>
        <v>0</v>
      </c>
      <c r="K395" s="36">
        <f>IF(('Raw Data'!I396-16384)/32768&lt;0,0,('Raw Data'!I396-16384)/32768)</f>
        <v>0</v>
      </c>
      <c r="L395" s="4">
        <f>IF(('Raw Data'!J396-12010)/45.6=-263.377192982456,0,('Raw Data'!J396-12010)/45.6)</f>
        <v>0</v>
      </c>
      <c r="M395" s="16">
        <f>'Raw Data'!N396*2^-8</f>
        <v>0</v>
      </c>
      <c r="N395" s="16">
        <f>'Raw Data'!O396*2^-8</f>
        <v>0</v>
      </c>
      <c r="O395" s="17" t="str">
        <f>IF(BITWISE_AND('Raw Data'!$K396, 8192),"X","")</f>
        <v/>
      </c>
      <c r="P395" s="17" t="str">
        <f>IF(BITWISE_AND('Raw Data'!$K396, 2048),"X","")</f>
        <v/>
      </c>
      <c r="Q395" s="17" t="str">
        <f>IF(BITWISE_AND('Raw Data'!$K396, 64),"X","")</f>
        <v/>
      </c>
      <c r="R395" s="18" t="str">
        <f>IF(BITWISE_AND('Raw Data'!$L396, 1024),"X","")</f>
        <v/>
      </c>
      <c r="S395" s="18" t="str">
        <f>IF(BITWISE_AND('Raw Data'!$L396, 512),"X","")</f>
        <v/>
      </c>
      <c r="T395" s="18" t="str">
        <f>IF(BITWISE_AND('Raw Data'!$L396, 256),"X","")</f>
        <v/>
      </c>
      <c r="U395" s="18" t="str">
        <f>IF(BITWISE_AND('Raw Data'!$L396, 64),"X","")</f>
        <v/>
      </c>
      <c r="V395" s="18" t="str">
        <f>IF(BITWISE_AND('Raw Data'!$L396, 2),"X","")</f>
        <v/>
      </c>
      <c r="W395" s="18" t="str">
        <f>IF(BITWISE_AND('Raw Data'!$L396, 1),"X","")</f>
        <v/>
      </c>
      <c r="X395" s="19" t="str">
        <f>IF(BITWISE_AND('Raw Data'!M396, 1),"Bat Voltage", IF(BITWISE_AND('Raw Data'!M396, 2), "Charge Current", IF(BITWISE_AND('Raw Data'!M396, 4),"Input Ilim", IF(BITWISE_AND('Raw Data'!M396, 8), "Input UV", "none"))))</f>
        <v>none</v>
      </c>
    </row>
    <row r="396" spans="1:24" x14ac:dyDescent="0.2">
      <c r="A396" s="15">
        <f>A395+TIME(0,0,'Raw Data'!B396)</f>
        <v>0</v>
      </c>
      <c r="B396" s="4">
        <f>'Raw Data'!C397*0.025</f>
        <v>0</v>
      </c>
      <c r="C396" s="4">
        <f t="shared" si="18"/>
        <v>0</v>
      </c>
      <c r="D396" s="4">
        <f>'Raw Data'!D397*0.025</f>
        <v>0</v>
      </c>
      <c r="E396" s="4">
        <f t="shared" si="19"/>
        <v>0</v>
      </c>
      <c r="F396" s="4">
        <f>'Raw Data'!E397*0.001648</f>
        <v>0</v>
      </c>
      <c r="G396" s="4">
        <f>'Raw Data'!F397*0.001648</f>
        <v>0</v>
      </c>
      <c r="H396" s="4">
        <f>'Raw Data'!G397*6*0.000128176</f>
        <v>0</v>
      </c>
      <c r="I396" s="4">
        <f>'Raw Data'!H397*0.000732435</f>
        <v>0</v>
      </c>
      <c r="J396" s="4">
        <f t="shared" si="20"/>
        <v>0</v>
      </c>
      <c r="K396" s="36">
        <f>IF(('Raw Data'!I397-16384)/32768&lt;0,0,('Raw Data'!I397-16384)/32768)</f>
        <v>0</v>
      </c>
      <c r="L396" s="4">
        <f>IF(('Raw Data'!J397-12010)/45.6=-263.377192982456,0,('Raw Data'!J397-12010)/45.6)</f>
        <v>0</v>
      </c>
      <c r="M396" s="16">
        <f>'Raw Data'!N397*2^-8</f>
        <v>0</v>
      </c>
      <c r="N396" s="16">
        <f>'Raw Data'!O397*2^-8</f>
        <v>0</v>
      </c>
      <c r="O396" s="17" t="str">
        <f>IF(BITWISE_AND('Raw Data'!$K397, 8192),"X","")</f>
        <v/>
      </c>
      <c r="P396" s="17" t="str">
        <f>IF(BITWISE_AND('Raw Data'!$K397, 2048),"X","")</f>
        <v/>
      </c>
      <c r="Q396" s="17" t="str">
        <f>IF(BITWISE_AND('Raw Data'!$K397, 64),"X","")</f>
        <v/>
      </c>
      <c r="R396" s="18" t="str">
        <f>IF(BITWISE_AND('Raw Data'!$L397, 1024),"X","")</f>
        <v/>
      </c>
      <c r="S396" s="18" t="str">
        <f>IF(BITWISE_AND('Raw Data'!$L397, 512),"X","")</f>
        <v/>
      </c>
      <c r="T396" s="18" t="str">
        <f>IF(BITWISE_AND('Raw Data'!$L397, 256),"X","")</f>
        <v/>
      </c>
      <c r="U396" s="18" t="str">
        <f>IF(BITWISE_AND('Raw Data'!$L397, 64),"X","")</f>
        <v/>
      </c>
      <c r="V396" s="18" t="str">
        <f>IF(BITWISE_AND('Raw Data'!$L397, 2),"X","")</f>
        <v/>
      </c>
      <c r="W396" s="18" t="str">
        <f>IF(BITWISE_AND('Raw Data'!$L397, 1),"X","")</f>
        <v/>
      </c>
      <c r="X396" s="19" t="str">
        <f>IF(BITWISE_AND('Raw Data'!M397, 1),"Bat Voltage", IF(BITWISE_AND('Raw Data'!M397, 2), "Charge Current", IF(BITWISE_AND('Raw Data'!M397, 4),"Input Ilim", IF(BITWISE_AND('Raw Data'!M397, 8), "Input UV", "none"))))</f>
        <v>none</v>
      </c>
    </row>
    <row r="397" spans="1:24" x14ac:dyDescent="0.2">
      <c r="A397" s="15">
        <f>A396+TIME(0,0,'Raw Data'!B397)</f>
        <v>0</v>
      </c>
      <c r="B397" s="4">
        <f>'Raw Data'!C398*0.025</f>
        <v>0</v>
      </c>
      <c r="C397" s="4">
        <f t="shared" si="18"/>
        <v>0</v>
      </c>
      <c r="D397" s="4">
        <f>'Raw Data'!D398*0.025</f>
        <v>0</v>
      </c>
      <c r="E397" s="4">
        <f t="shared" si="19"/>
        <v>0</v>
      </c>
      <c r="F397" s="4">
        <f>'Raw Data'!E398*0.001648</f>
        <v>0</v>
      </c>
      <c r="G397" s="4">
        <f>'Raw Data'!F398*0.001648</f>
        <v>0</v>
      </c>
      <c r="H397" s="4">
        <f>'Raw Data'!G398*6*0.000128176</f>
        <v>0</v>
      </c>
      <c r="I397" s="4">
        <f>'Raw Data'!H398*0.000732435</f>
        <v>0</v>
      </c>
      <c r="J397" s="4">
        <f t="shared" si="20"/>
        <v>0</v>
      </c>
      <c r="K397" s="36">
        <f>IF(('Raw Data'!I398-16384)/32768&lt;0,0,('Raw Data'!I398-16384)/32768)</f>
        <v>0</v>
      </c>
      <c r="L397" s="4">
        <f>IF(('Raw Data'!J398-12010)/45.6=-263.377192982456,0,('Raw Data'!J398-12010)/45.6)</f>
        <v>0</v>
      </c>
      <c r="M397" s="16">
        <f>'Raw Data'!N398*2^-8</f>
        <v>0</v>
      </c>
      <c r="N397" s="16">
        <f>'Raw Data'!O398*2^-8</f>
        <v>0</v>
      </c>
      <c r="O397" s="17" t="str">
        <f>IF(BITWISE_AND('Raw Data'!$K398, 8192),"X","")</f>
        <v/>
      </c>
      <c r="P397" s="17" t="str">
        <f>IF(BITWISE_AND('Raw Data'!$K398, 2048),"X","")</f>
        <v/>
      </c>
      <c r="Q397" s="17" t="str">
        <f>IF(BITWISE_AND('Raw Data'!$K398, 64),"X","")</f>
        <v/>
      </c>
      <c r="R397" s="18" t="str">
        <f>IF(BITWISE_AND('Raw Data'!$L398, 1024),"X","")</f>
        <v/>
      </c>
      <c r="S397" s="18" t="str">
        <f>IF(BITWISE_AND('Raw Data'!$L398, 512),"X","")</f>
        <v/>
      </c>
      <c r="T397" s="18" t="str">
        <f>IF(BITWISE_AND('Raw Data'!$L398, 256),"X","")</f>
        <v/>
      </c>
      <c r="U397" s="18" t="str">
        <f>IF(BITWISE_AND('Raw Data'!$L398, 64),"X","")</f>
        <v/>
      </c>
      <c r="V397" s="18" t="str">
        <f>IF(BITWISE_AND('Raw Data'!$L398, 2),"X","")</f>
        <v/>
      </c>
      <c r="W397" s="18" t="str">
        <f>IF(BITWISE_AND('Raw Data'!$L398, 1),"X","")</f>
        <v/>
      </c>
      <c r="X397" s="19" t="str">
        <f>IF(BITWISE_AND('Raw Data'!M398, 1),"Bat Voltage", IF(BITWISE_AND('Raw Data'!M398, 2), "Charge Current", IF(BITWISE_AND('Raw Data'!M398, 4),"Input Ilim", IF(BITWISE_AND('Raw Data'!M398, 8), "Input UV", "none"))))</f>
        <v>none</v>
      </c>
    </row>
    <row r="398" spans="1:24" x14ac:dyDescent="0.2">
      <c r="A398" s="15">
        <f>A397+TIME(0,0,'Raw Data'!B398)</f>
        <v>0</v>
      </c>
      <c r="B398" s="4">
        <f>'Raw Data'!C399*0.025</f>
        <v>0</v>
      </c>
      <c r="C398" s="4">
        <f t="shared" si="18"/>
        <v>0</v>
      </c>
      <c r="D398" s="4">
        <f>'Raw Data'!D399*0.025</f>
        <v>0</v>
      </c>
      <c r="E398" s="4">
        <f t="shared" si="19"/>
        <v>0</v>
      </c>
      <c r="F398" s="4">
        <f>'Raw Data'!E399*0.001648</f>
        <v>0</v>
      </c>
      <c r="G398" s="4">
        <f>'Raw Data'!F399*0.001648</f>
        <v>0</v>
      </c>
      <c r="H398" s="4">
        <f>'Raw Data'!G399*6*0.000128176</f>
        <v>0</v>
      </c>
      <c r="I398" s="4">
        <f>'Raw Data'!H399*0.000732435</f>
        <v>0</v>
      </c>
      <c r="J398" s="4">
        <f t="shared" si="20"/>
        <v>0</v>
      </c>
      <c r="K398" s="36">
        <f>IF(('Raw Data'!I399-16384)/32768&lt;0,0,('Raw Data'!I399-16384)/32768)</f>
        <v>0</v>
      </c>
      <c r="L398" s="4">
        <f>IF(('Raw Data'!J399-12010)/45.6=-263.377192982456,0,('Raw Data'!J399-12010)/45.6)</f>
        <v>0</v>
      </c>
      <c r="M398" s="16">
        <f>'Raw Data'!N399*2^-8</f>
        <v>0</v>
      </c>
      <c r="N398" s="16">
        <f>'Raw Data'!O399*2^-8</f>
        <v>0</v>
      </c>
      <c r="O398" s="17" t="str">
        <f>IF(BITWISE_AND('Raw Data'!$K399, 8192),"X","")</f>
        <v/>
      </c>
      <c r="P398" s="17" t="str">
        <f>IF(BITWISE_AND('Raw Data'!$K399, 2048),"X","")</f>
        <v/>
      </c>
      <c r="Q398" s="17" t="str">
        <f>IF(BITWISE_AND('Raw Data'!$K399, 64),"X","")</f>
        <v/>
      </c>
      <c r="R398" s="18" t="str">
        <f>IF(BITWISE_AND('Raw Data'!$L399, 1024),"X","")</f>
        <v/>
      </c>
      <c r="S398" s="18" t="str">
        <f>IF(BITWISE_AND('Raw Data'!$L399, 512),"X","")</f>
        <v/>
      </c>
      <c r="T398" s="18" t="str">
        <f>IF(BITWISE_AND('Raw Data'!$L399, 256),"X","")</f>
        <v/>
      </c>
      <c r="U398" s="18" t="str">
        <f>IF(BITWISE_AND('Raw Data'!$L399, 64),"X","")</f>
        <v/>
      </c>
      <c r="V398" s="18" t="str">
        <f>IF(BITWISE_AND('Raw Data'!$L399, 2),"X","")</f>
        <v/>
      </c>
      <c r="W398" s="18" t="str">
        <f>IF(BITWISE_AND('Raw Data'!$L399, 1),"X","")</f>
        <v/>
      </c>
      <c r="X398" s="19" t="str">
        <f>IF(BITWISE_AND('Raw Data'!M399, 1),"Bat Voltage", IF(BITWISE_AND('Raw Data'!M399, 2), "Charge Current", IF(BITWISE_AND('Raw Data'!M399, 4),"Input Ilim", IF(BITWISE_AND('Raw Data'!M399, 8), "Input UV", "none"))))</f>
        <v>none</v>
      </c>
    </row>
    <row r="399" spans="1:24" x14ac:dyDescent="0.2">
      <c r="A399" s="15">
        <f>A398+TIME(0,0,'Raw Data'!B399)</f>
        <v>0</v>
      </c>
      <c r="B399" s="4">
        <f>'Raw Data'!C400*0.025</f>
        <v>0</v>
      </c>
      <c r="C399" s="4">
        <f t="shared" si="18"/>
        <v>0</v>
      </c>
      <c r="D399" s="4">
        <f>'Raw Data'!D400*0.025</f>
        <v>0</v>
      </c>
      <c r="E399" s="4">
        <f t="shared" si="19"/>
        <v>0</v>
      </c>
      <c r="F399" s="4">
        <f>'Raw Data'!E400*0.001648</f>
        <v>0</v>
      </c>
      <c r="G399" s="4">
        <f>'Raw Data'!F400*0.001648</f>
        <v>0</v>
      </c>
      <c r="H399" s="4">
        <f>'Raw Data'!G400*6*0.000128176</f>
        <v>0</v>
      </c>
      <c r="I399" s="4">
        <f>'Raw Data'!H400*0.000732435</f>
        <v>0</v>
      </c>
      <c r="J399" s="4">
        <f t="shared" si="20"/>
        <v>0</v>
      </c>
      <c r="K399" s="36">
        <f>IF(('Raw Data'!I400-16384)/32768&lt;0,0,('Raw Data'!I400-16384)/32768)</f>
        <v>0</v>
      </c>
      <c r="L399" s="4">
        <f>IF(('Raw Data'!J400-12010)/45.6=-263.377192982456,0,('Raw Data'!J400-12010)/45.6)</f>
        <v>0</v>
      </c>
      <c r="M399" s="16">
        <f>'Raw Data'!N400*2^-8</f>
        <v>0</v>
      </c>
      <c r="N399" s="16">
        <f>'Raw Data'!O400*2^-8</f>
        <v>0</v>
      </c>
      <c r="O399" s="17" t="str">
        <f>IF(BITWISE_AND('Raw Data'!$K400, 8192),"X","")</f>
        <v/>
      </c>
      <c r="P399" s="17" t="str">
        <f>IF(BITWISE_AND('Raw Data'!$K400, 2048),"X","")</f>
        <v/>
      </c>
      <c r="Q399" s="17" t="str">
        <f>IF(BITWISE_AND('Raw Data'!$K400, 64),"X","")</f>
        <v/>
      </c>
      <c r="R399" s="18" t="str">
        <f>IF(BITWISE_AND('Raw Data'!$L400, 1024),"X","")</f>
        <v/>
      </c>
      <c r="S399" s="18" t="str">
        <f>IF(BITWISE_AND('Raw Data'!$L400, 512),"X","")</f>
        <v/>
      </c>
      <c r="T399" s="18" t="str">
        <f>IF(BITWISE_AND('Raw Data'!$L400, 256),"X","")</f>
        <v/>
      </c>
      <c r="U399" s="18" t="str">
        <f>IF(BITWISE_AND('Raw Data'!$L400, 64),"X","")</f>
        <v/>
      </c>
      <c r="V399" s="18" t="str">
        <f>IF(BITWISE_AND('Raw Data'!$L400, 2),"X","")</f>
        <v/>
      </c>
      <c r="W399" s="18" t="str">
        <f>IF(BITWISE_AND('Raw Data'!$L400, 1),"X","")</f>
        <v/>
      </c>
      <c r="X399" s="19" t="str">
        <f>IF(BITWISE_AND('Raw Data'!M400, 1),"Bat Voltage", IF(BITWISE_AND('Raw Data'!M400, 2), "Charge Current", IF(BITWISE_AND('Raw Data'!M400, 4),"Input Ilim", IF(BITWISE_AND('Raw Data'!M400, 8), "Input UV", "none"))))</f>
        <v>none</v>
      </c>
    </row>
    <row r="400" spans="1:24" x14ac:dyDescent="0.2">
      <c r="A400" s="15">
        <f>A399+TIME(0,0,'Raw Data'!B400)</f>
        <v>0</v>
      </c>
      <c r="B400" s="4">
        <f>'Raw Data'!C401*0.025</f>
        <v>0</v>
      </c>
      <c r="C400" s="4">
        <f t="shared" si="18"/>
        <v>0</v>
      </c>
      <c r="D400" s="4">
        <f>'Raw Data'!D401*0.025</f>
        <v>0</v>
      </c>
      <c r="E400" s="4">
        <f t="shared" si="19"/>
        <v>0</v>
      </c>
      <c r="F400" s="4">
        <f>'Raw Data'!E401*0.001648</f>
        <v>0</v>
      </c>
      <c r="G400" s="4">
        <f>'Raw Data'!F401*0.001648</f>
        <v>0</v>
      </c>
      <c r="H400" s="4">
        <f>'Raw Data'!G401*6*0.000128176</f>
        <v>0</v>
      </c>
      <c r="I400" s="4">
        <f>'Raw Data'!H401*0.000732435</f>
        <v>0</v>
      </c>
      <c r="J400" s="4">
        <f t="shared" si="20"/>
        <v>0</v>
      </c>
      <c r="K400" s="36">
        <f>IF(('Raw Data'!I401-16384)/32768&lt;0,0,('Raw Data'!I401-16384)/32768)</f>
        <v>0</v>
      </c>
      <c r="L400" s="4">
        <f>IF(('Raw Data'!J401-12010)/45.6=-263.377192982456,0,('Raw Data'!J401-12010)/45.6)</f>
        <v>0</v>
      </c>
      <c r="M400" s="16">
        <f>'Raw Data'!N401*2^-8</f>
        <v>0</v>
      </c>
      <c r="N400" s="16">
        <f>'Raw Data'!O401*2^-8</f>
        <v>0</v>
      </c>
      <c r="O400" s="17" t="str">
        <f>IF(BITWISE_AND('Raw Data'!$K401, 8192),"X","")</f>
        <v/>
      </c>
      <c r="P400" s="17" t="str">
        <f>IF(BITWISE_AND('Raw Data'!$K401, 2048),"X","")</f>
        <v/>
      </c>
      <c r="Q400" s="17" t="str">
        <f>IF(BITWISE_AND('Raw Data'!$K401, 64),"X","")</f>
        <v/>
      </c>
      <c r="R400" s="18" t="str">
        <f>IF(BITWISE_AND('Raw Data'!$L401, 1024),"X","")</f>
        <v/>
      </c>
      <c r="S400" s="18" t="str">
        <f>IF(BITWISE_AND('Raw Data'!$L401, 512),"X","")</f>
        <v/>
      </c>
      <c r="T400" s="18" t="str">
        <f>IF(BITWISE_AND('Raw Data'!$L401, 256),"X","")</f>
        <v/>
      </c>
      <c r="U400" s="18" t="str">
        <f>IF(BITWISE_AND('Raw Data'!$L401, 64),"X","")</f>
        <v/>
      </c>
      <c r="V400" s="18" t="str">
        <f>IF(BITWISE_AND('Raw Data'!$L401, 2),"X","")</f>
        <v/>
      </c>
      <c r="W400" s="18" t="str">
        <f>IF(BITWISE_AND('Raw Data'!$L401, 1),"X","")</f>
        <v/>
      </c>
      <c r="X400" s="19" t="str">
        <f>IF(BITWISE_AND('Raw Data'!M401, 1),"Bat Voltage", IF(BITWISE_AND('Raw Data'!M401, 2), "Charge Current", IF(BITWISE_AND('Raw Data'!M401, 4),"Input Ilim", IF(BITWISE_AND('Raw Data'!M401, 8), "Input UV", "none"))))</f>
        <v>none</v>
      </c>
    </row>
    <row r="401" spans="1:24" x14ac:dyDescent="0.2">
      <c r="A401" s="15">
        <f>A400+TIME(0,0,'Raw Data'!B401)</f>
        <v>0</v>
      </c>
      <c r="B401" s="4">
        <f>'Raw Data'!C402*0.025</f>
        <v>0</v>
      </c>
      <c r="C401" s="4">
        <f t="shared" si="18"/>
        <v>0</v>
      </c>
      <c r="D401" s="4">
        <f>'Raw Data'!D402*0.025</f>
        <v>0</v>
      </c>
      <c r="E401" s="4">
        <f t="shared" si="19"/>
        <v>0</v>
      </c>
      <c r="F401" s="4">
        <f>'Raw Data'!E402*0.001648</f>
        <v>0</v>
      </c>
      <c r="G401" s="4">
        <f>'Raw Data'!F402*0.001648</f>
        <v>0</v>
      </c>
      <c r="H401" s="4">
        <f>'Raw Data'!G402*6*0.000128176</f>
        <v>0</v>
      </c>
      <c r="I401" s="4">
        <f>'Raw Data'!H402*0.000732435</f>
        <v>0</v>
      </c>
      <c r="J401" s="4">
        <f t="shared" si="20"/>
        <v>0</v>
      </c>
      <c r="K401" s="36">
        <f>IF(('Raw Data'!I402-16384)/32768&lt;0,0,('Raw Data'!I402-16384)/32768)</f>
        <v>0</v>
      </c>
      <c r="L401" s="4">
        <f>IF(('Raw Data'!J402-12010)/45.6=-263.377192982456,0,('Raw Data'!J402-12010)/45.6)</f>
        <v>0</v>
      </c>
      <c r="M401" s="16">
        <f>'Raw Data'!N402*2^-8</f>
        <v>0</v>
      </c>
      <c r="N401" s="16">
        <f>'Raw Data'!O402*2^-8</f>
        <v>0</v>
      </c>
      <c r="O401" s="17" t="str">
        <f>IF(BITWISE_AND('Raw Data'!$K402, 8192),"X","")</f>
        <v/>
      </c>
      <c r="P401" s="17" t="str">
        <f>IF(BITWISE_AND('Raw Data'!$K402, 2048),"X","")</f>
        <v/>
      </c>
      <c r="Q401" s="17" t="str">
        <f>IF(BITWISE_AND('Raw Data'!$K402, 64),"X","")</f>
        <v/>
      </c>
      <c r="R401" s="18" t="str">
        <f>IF(BITWISE_AND('Raw Data'!$L402, 1024),"X","")</f>
        <v/>
      </c>
      <c r="S401" s="18" t="str">
        <f>IF(BITWISE_AND('Raw Data'!$L402, 512),"X","")</f>
        <v/>
      </c>
      <c r="T401" s="18" t="str">
        <f>IF(BITWISE_AND('Raw Data'!$L402, 256),"X","")</f>
        <v/>
      </c>
      <c r="U401" s="18" t="str">
        <f>IF(BITWISE_AND('Raw Data'!$L402, 64),"X","")</f>
        <v/>
      </c>
      <c r="V401" s="18" t="str">
        <f>IF(BITWISE_AND('Raw Data'!$L402, 2),"X","")</f>
        <v/>
      </c>
      <c r="W401" s="18" t="str">
        <f>IF(BITWISE_AND('Raw Data'!$L402, 1),"X","")</f>
        <v/>
      </c>
      <c r="X401" s="19" t="str">
        <f>IF(BITWISE_AND('Raw Data'!M402, 1),"Bat Voltage", IF(BITWISE_AND('Raw Data'!M402, 2), "Charge Current", IF(BITWISE_AND('Raw Data'!M402, 4),"Input Ilim", IF(BITWISE_AND('Raw Data'!M402, 8), "Input UV", "none"))))</f>
        <v>none</v>
      </c>
    </row>
    <row r="402" spans="1:24" x14ac:dyDescent="0.2">
      <c r="A402" s="15">
        <f>A401+TIME(0,0,'Raw Data'!B402)</f>
        <v>0</v>
      </c>
      <c r="B402" s="4">
        <f>'Raw Data'!C403*0.025</f>
        <v>0</v>
      </c>
      <c r="C402" s="4">
        <f t="shared" si="18"/>
        <v>0</v>
      </c>
      <c r="D402" s="4">
        <f>'Raw Data'!D403*0.025</f>
        <v>0</v>
      </c>
      <c r="E402" s="4">
        <f t="shared" si="19"/>
        <v>0</v>
      </c>
      <c r="F402" s="4">
        <f>'Raw Data'!E403*0.001648</f>
        <v>0</v>
      </c>
      <c r="G402" s="4">
        <f>'Raw Data'!F403*0.001648</f>
        <v>0</v>
      </c>
      <c r="H402" s="4">
        <f>'Raw Data'!G403*6*0.000128176</f>
        <v>0</v>
      </c>
      <c r="I402" s="4">
        <f>'Raw Data'!H403*0.000732435</f>
        <v>0</v>
      </c>
      <c r="J402" s="4">
        <f t="shared" si="20"/>
        <v>0</v>
      </c>
      <c r="K402" s="36">
        <f>IF(('Raw Data'!I403-16384)/32768&lt;0,0,('Raw Data'!I403-16384)/32768)</f>
        <v>0</v>
      </c>
      <c r="L402" s="4">
        <f>IF(('Raw Data'!J403-12010)/45.6=-263.377192982456,0,('Raw Data'!J403-12010)/45.6)</f>
        <v>0</v>
      </c>
      <c r="M402" s="16">
        <f>'Raw Data'!N403*2^-8</f>
        <v>0</v>
      </c>
      <c r="N402" s="16">
        <f>'Raw Data'!O403*2^-8</f>
        <v>0</v>
      </c>
      <c r="O402" s="17" t="str">
        <f>IF(BITWISE_AND('Raw Data'!$K403, 8192),"X","")</f>
        <v/>
      </c>
      <c r="P402" s="17" t="str">
        <f>IF(BITWISE_AND('Raw Data'!$K403, 2048),"X","")</f>
        <v/>
      </c>
      <c r="Q402" s="17" t="str">
        <f>IF(BITWISE_AND('Raw Data'!$K403, 64),"X","")</f>
        <v/>
      </c>
      <c r="R402" s="18" t="str">
        <f>IF(BITWISE_AND('Raw Data'!$L403, 1024),"X","")</f>
        <v/>
      </c>
      <c r="S402" s="18" t="str">
        <f>IF(BITWISE_AND('Raw Data'!$L403, 512),"X","")</f>
        <v/>
      </c>
      <c r="T402" s="18" t="str">
        <f>IF(BITWISE_AND('Raw Data'!$L403, 256),"X","")</f>
        <v/>
      </c>
      <c r="U402" s="18" t="str">
        <f>IF(BITWISE_AND('Raw Data'!$L403, 64),"X","")</f>
        <v/>
      </c>
      <c r="V402" s="18" t="str">
        <f>IF(BITWISE_AND('Raw Data'!$L403, 2),"X","")</f>
        <v/>
      </c>
      <c r="W402" s="18" t="str">
        <f>IF(BITWISE_AND('Raw Data'!$L403, 1),"X","")</f>
        <v/>
      </c>
      <c r="X402" s="19" t="str">
        <f>IF(BITWISE_AND('Raw Data'!M403, 1),"Bat Voltage", IF(BITWISE_AND('Raw Data'!M403, 2), "Charge Current", IF(BITWISE_AND('Raw Data'!M403, 4),"Input Ilim", IF(BITWISE_AND('Raw Data'!M403, 8), "Input UV", "none"))))</f>
        <v>none</v>
      </c>
    </row>
    <row r="403" spans="1:24" x14ac:dyDescent="0.2">
      <c r="A403" s="15">
        <f>A402+TIME(0,0,'Raw Data'!B403)</f>
        <v>0</v>
      </c>
      <c r="B403" s="4">
        <f>'Raw Data'!C404*0.025</f>
        <v>0</v>
      </c>
      <c r="C403" s="4">
        <f t="shared" si="18"/>
        <v>0</v>
      </c>
      <c r="D403" s="4">
        <f>'Raw Data'!D404*0.025</f>
        <v>0</v>
      </c>
      <c r="E403" s="4">
        <f t="shared" si="19"/>
        <v>0</v>
      </c>
      <c r="F403" s="4">
        <f>'Raw Data'!E404*0.001648</f>
        <v>0</v>
      </c>
      <c r="G403" s="4">
        <f>'Raw Data'!F404*0.001648</f>
        <v>0</v>
      </c>
      <c r="H403" s="4">
        <f>'Raw Data'!G404*6*0.000128176</f>
        <v>0</v>
      </c>
      <c r="I403" s="4">
        <f>'Raw Data'!H404*0.000732435</f>
        <v>0</v>
      </c>
      <c r="J403" s="4">
        <f t="shared" si="20"/>
        <v>0</v>
      </c>
      <c r="K403" s="36">
        <f>IF(('Raw Data'!I404-16384)/32768&lt;0,0,('Raw Data'!I404-16384)/32768)</f>
        <v>0</v>
      </c>
      <c r="L403" s="4">
        <f>IF(('Raw Data'!J404-12010)/45.6=-263.377192982456,0,('Raw Data'!J404-12010)/45.6)</f>
        <v>0</v>
      </c>
      <c r="M403" s="16">
        <f>'Raw Data'!N404*2^-8</f>
        <v>0</v>
      </c>
      <c r="N403" s="16">
        <f>'Raw Data'!O404*2^-8</f>
        <v>0</v>
      </c>
      <c r="O403" s="17" t="str">
        <f>IF(BITWISE_AND('Raw Data'!$K404, 8192),"X","")</f>
        <v/>
      </c>
      <c r="P403" s="17" t="str">
        <f>IF(BITWISE_AND('Raw Data'!$K404, 2048),"X","")</f>
        <v/>
      </c>
      <c r="Q403" s="17" t="str">
        <f>IF(BITWISE_AND('Raw Data'!$K404, 64),"X","")</f>
        <v/>
      </c>
      <c r="R403" s="18" t="str">
        <f>IF(BITWISE_AND('Raw Data'!$L404, 1024),"X","")</f>
        <v/>
      </c>
      <c r="S403" s="18" t="str">
        <f>IF(BITWISE_AND('Raw Data'!$L404, 512),"X","")</f>
        <v/>
      </c>
      <c r="T403" s="18" t="str">
        <f>IF(BITWISE_AND('Raw Data'!$L404, 256),"X","")</f>
        <v/>
      </c>
      <c r="U403" s="18" t="str">
        <f>IF(BITWISE_AND('Raw Data'!$L404, 64),"X","")</f>
        <v/>
      </c>
      <c r="V403" s="18" t="str">
        <f>IF(BITWISE_AND('Raw Data'!$L404, 2),"X","")</f>
        <v/>
      </c>
      <c r="W403" s="18" t="str">
        <f>IF(BITWISE_AND('Raw Data'!$L404, 1),"X","")</f>
        <v/>
      </c>
      <c r="X403" s="19" t="str">
        <f>IF(BITWISE_AND('Raw Data'!M404, 1),"Bat Voltage", IF(BITWISE_AND('Raw Data'!M404, 2), "Charge Current", IF(BITWISE_AND('Raw Data'!M404, 4),"Input Ilim", IF(BITWISE_AND('Raw Data'!M404, 8), "Input UV", "none"))))</f>
        <v>none</v>
      </c>
    </row>
    <row r="404" spans="1:24" x14ac:dyDescent="0.2">
      <c r="A404" s="15">
        <f>A403+TIME(0,0,'Raw Data'!B404)</f>
        <v>0</v>
      </c>
      <c r="B404" s="4">
        <f>'Raw Data'!C405*0.025</f>
        <v>0</v>
      </c>
      <c r="C404" s="4">
        <f t="shared" si="18"/>
        <v>0</v>
      </c>
      <c r="D404" s="4">
        <f>'Raw Data'!D405*0.025</f>
        <v>0</v>
      </c>
      <c r="E404" s="4">
        <f t="shared" si="19"/>
        <v>0</v>
      </c>
      <c r="F404" s="4">
        <f>'Raw Data'!E405*0.001648</f>
        <v>0</v>
      </c>
      <c r="G404" s="4">
        <f>'Raw Data'!F405*0.001648</f>
        <v>0</v>
      </c>
      <c r="H404" s="4">
        <f>'Raw Data'!G405*6*0.000128176</f>
        <v>0</v>
      </c>
      <c r="I404" s="4">
        <f>'Raw Data'!H405*0.000732435</f>
        <v>0</v>
      </c>
      <c r="J404" s="4">
        <f t="shared" si="20"/>
        <v>0</v>
      </c>
      <c r="K404" s="36">
        <f>IF(('Raw Data'!I405-16384)/32768&lt;0,0,('Raw Data'!I405-16384)/32768)</f>
        <v>0</v>
      </c>
      <c r="L404" s="4">
        <f>IF(('Raw Data'!J405-12010)/45.6=-263.377192982456,0,('Raw Data'!J405-12010)/45.6)</f>
        <v>0</v>
      </c>
      <c r="M404" s="16">
        <f>'Raw Data'!N405*2^-8</f>
        <v>0</v>
      </c>
      <c r="N404" s="16">
        <f>'Raw Data'!O405*2^-8</f>
        <v>0</v>
      </c>
      <c r="O404" s="17" t="str">
        <f>IF(BITWISE_AND('Raw Data'!$K405, 8192),"X","")</f>
        <v/>
      </c>
      <c r="P404" s="17" t="str">
        <f>IF(BITWISE_AND('Raw Data'!$K405, 2048),"X","")</f>
        <v/>
      </c>
      <c r="Q404" s="17" t="str">
        <f>IF(BITWISE_AND('Raw Data'!$K405, 64),"X","")</f>
        <v/>
      </c>
      <c r="R404" s="18" t="str">
        <f>IF(BITWISE_AND('Raw Data'!$L405, 1024),"X","")</f>
        <v/>
      </c>
      <c r="S404" s="18" t="str">
        <f>IF(BITWISE_AND('Raw Data'!$L405, 512),"X","")</f>
        <v/>
      </c>
      <c r="T404" s="18" t="str">
        <f>IF(BITWISE_AND('Raw Data'!$L405, 256),"X","")</f>
        <v/>
      </c>
      <c r="U404" s="18" t="str">
        <f>IF(BITWISE_AND('Raw Data'!$L405, 64),"X","")</f>
        <v/>
      </c>
      <c r="V404" s="18" t="str">
        <f>IF(BITWISE_AND('Raw Data'!$L405, 2),"X","")</f>
        <v/>
      </c>
      <c r="W404" s="18" t="str">
        <f>IF(BITWISE_AND('Raw Data'!$L405, 1),"X","")</f>
        <v/>
      </c>
      <c r="X404" s="19" t="str">
        <f>IF(BITWISE_AND('Raw Data'!M405, 1),"Bat Voltage", IF(BITWISE_AND('Raw Data'!M405, 2), "Charge Current", IF(BITWISE_AND('Raw Data'!M405, 4),"Input Ilim", IF(BITWISE_AND('Raw Data'!M405, 8), "Input UV", "none"))))</f>
        <v>none</v>
      </c>
    </row>
    <row r="405" spans="1:24" x14ac:dyDescent="0.2">
      <c r="A405" s="15">
        <f>A404+TIME(0,0,'Raw Data'!B405)</f>
        <v>0</v>
      </c>
      <c r="B405" s="4">
        <f>'Raw Data'!C406*0.025</f>
        <v>0</v>
      </c>
      <c r="C405" s="4">
        <f t="shared" ref="C405:C468" si="21">C404+B405/60</f>
        <v>0</v>
      </c>
      <c r="D405" s="4">
        <f>'Raw Data'!D406*0.025</f>
        <v>0</v>
      </c>
      <c r="E405" s="4">
        <f t="shared" ref="E405:E468" si="22">E404+D405/60</f>
        <v>0</v>
      </c>
      <c r="F405" s="4">
        <f>'Raw Data'!E406*0.001648</f>
        <v>0</v>
      </c>
      <c r="G405" s="4">
        <f>'Raw Data'!F406*0.001648</f>
        <v>0</v>
      </c>
      <c r="H405" s="4">
        <f>'Raw Data'!G406*6*0.000128176</f>
        <v>0</v>
      </c>
      <c r="I405" s="4">
        <f>'Raw Data'!H406*0.000732435</f>
        <v>0</v>
      </c>
      <c r="J405" s="4">
        <f t="shared" si="20"/>
        <v>0</v>
      </c>
      <c r="K405" s="36">
        <f>IF(('Raw Data'!I406-16384)/32768&lt;0,0,('Raw Data'!I406-16384)/32768)</f>
        <v>0</v>
      </c>
      <c r="L405" s="4">
        <f>IF(('Raw Data'!J406-12010)/45.6=-263.377192982456,0,('Raw Data'!J406-12010)/45.6)</f>
        <v>0</v>
      </c>
      <c r="M405" s="16">
        <f>'Raw Data'!N406*2^-8</f>
        <v>0</v>
      </c>
      <c r="N405" s="16">
        <f>'Raw Data'!O406*2^-8</f>
        <v>0</v>
      </c>
      <c r="O405" s="17" t="str">
        <f>IF(BITWISE_AND('Raw Data'!$K406, 8192),"X","")</f>
        <v/>
      </c>
      <c r="P405" s="17" t="str">
        <f>IF(BITWISE_AND('Raw Data'!$K406, 2048),"X","")</f>
        <v/>
      </c>
      <c r="Q405" s="17" t="str">
        <f>IF(BITWISE_AND('Raw Data'!$K406, 64),"X","")</f>
        <v/>
      </c>
      <c r="R405" s="18" t="str">
        <f>IF(BITWISE_AND('Raw Data'!$L406, 1024),"X","")</f>
        <v/>
      </c>
      <c r="S405" s="18" t="str">
        <f>IF(BITWISE_AND('Raw Data'!$L406, 512),"X","")</f>
        <v/>
      </c>
      <c r="T405" s="18" t="str">
        <f>IF(BITWISE_AND('Raw Data'!$L406, 256),"X","")</f>
        <v/>
      </c>
      <c r="U405" s="18" t="str">
        <f>IF(BITWISE_AND('Raw Data'!$L406, 64),"X","")</f>
        <v/>
      </c>
      <c r="V405" s="18" t="str">
        <f>IF(BITWISE_AND('Raw Data'!$L406, 2),"X","")</f>
        <v/>
      </c>
      <c r="W405" s="18" t="str">
        <f>IF(BITWISE_AND('Raw Data'!$L406, 1),"X","")</f>
        <v/>
      </c>
      <c r="X405" s="19" t="str">
        <f>IF(BITWISE_AND('Raw Data'!M406, 1),"Bat Voltage", IF(BITWISE_AND('Raw Data'!M406, 2), "Charge Current", IF(BITWISE_AND('Raw Data'!M406, 4),"Input Ilim", IF(BITWISE_AND('Raw Data'!M406, 8), "Input UV", "none"))))</f>
        <v>none</v>
      </c>
    </row>
    <row r="406" spans="1:24" x14ac:dyDescent="0.2">
      <c r="A406" s="15">
        <f>A405+TIME(0,0,'Raw Data'!B406)</f>
        <v>0</v>
      </c>
      <c r="B406" s="4">
        <f>'Raw Data'!C407*0.025</f>
        <v>0</v>
      </c>
      <c r="C406" s="4">
        <f t="shared" si="21"/>
        <v>0</v>
      </c>
      <c r="D406" s="4">
        <f>'Raw Data'!D407*0.025</f>
        <v>0</v>
      </c>
      <c r="E406" s="4">
        <f t="shared" si="22"/>
        <v>0</v>
      </c>
      <c r="F406" s="4">
        <f>'Raw Data'!E407*0.001648</f>
        <v>0</v>
      </c>
      <c r="G406" s="4">
        <f>'Raw Data'!F407*0.001648</f>
        <v>0</v>
      </c>
      <c r="H406" s="4">
        <f>'Raw Data'!G407*6*0.000128176</f>
        <v>0</v>
      </c>
      <c r="I406" s="4">
        <f>'Raw Data'!H407*0.000732435</f>
        <v>0</v>
      </c>
      <c r="J406" s="4">
        <f t="shared" si="20"/>
        <v>0</v>
      </c>
      <c r="K406" s="36">
        <f>IF(('Raw Data'!I407-16384)/32768&lt;0,0,('Raw Data'!I407-16384)/32768)</f>
        <v>0</v>
      </c>
      <c r="L406" s="4">
        <f>IF(('Raw Data'!J407-12010)/45.6=-263.377192982456,0,('Raw Data'!J407-12010)/45.6)</f>
        <v>0</v>
      </c>
      <c r="M406" s="16">
        <f>'Raw Data'!N407*2^-8</f>
        <v>0</v>
      </c>
      <c r="N406" s="16">
        <f>'Raw Data'!O407*2^-8</f>
        <v>0</v>
      </c>
      <c r="O406" s="17" t="str">
        <f>IF(BITWISE_AND('Raw Data'!$K407, 8192),"X","")</f>
        <v/>
      </c>
      <c r="P406" s="17" t="str">
        <f>IF(BITWISE_AND('Raw Data'!$K407, 2048),"X","")</f>
        <v/>
      </c>
      <c r="Q406" s="17" t="str">
        <f>IF(BITWISE_AND('Raw Data'!$K407, 64),"X","")</f>
        <v/>
      </c>
      <c r="R406" s="18" t="str">
        <f>IF(BITWISE_AND('Raw Data'!$L407, 1024),"X","")</f>
        <v/>
      </c>
      <c r="S406" s="18" t="str">
        <f>IF(BITWISE_AND('Raw Data'!$L407, 512),"X","")</f>
        <v/>
      </c>
      <c r="T406" s="18" t="str">
        <f>IF(BITWISE_AND('Raw Data'!$L407, 256),"X","")</f>
        <v/>
      </c>
      <c r="U406" s="18" t="str">
        <f>IF(BITWISE_AND('Raw Data'!$L407, 64),"X","")</f>
        <v/>
      </c>
      <c r="V406" s="18" t="str">
        <f>IF(BITWISE_AND('Raw Data'!$L407, 2),"X","")</f>
        <v/>
      </c>
      <c r="W406" s="18" t="str">
        <f>IF(BITWISE_AND('Raw Data'!$L407, 1),"X","")</f>
        <v/>
      </c>
      <c r="X406" s="19" t="str">
        <f>IF(BITWISE_AND('Raw Data'!M407, 1),"Bat Voltage", IF(BITWISE_AND('Raw Data'!M407, 2), "Charge Current", IF(BITWISE_AND('Raw Data'!M407, 4),"Input Ilim", IF(BITWISE_AND('Raw Data'!M407, 8), "Input UV", "none"))))</f>
        <v>none</v>
      </c>
    </row>
    <row r="407" spans="1:24" x14ac:dyDescent="0.2">
      <c r="A407" s="15">
        <f>A406+TIME(0,0,'Raw Data'!B407)</f>
        <v>0</v>
      </c>
      <c r="B407" s="4">
        <f>'Raw Data'!C408*0.025</f>
        <v>0</v>
      </c>
      <c r="C407" s="4">
        <f t="shared" si="21"/>
        <v>0</v>
      </c>
      <c r="D407" s="4">
        <f>'Raw Data'!D408*0.025</f>
        <v>0</v>
      </c>
      <c r="E407" s="4">
        <f t="shared" si="22"/>
        <v>0</v>
      </c>
      <c r="F407" s="4">
        <f>'Raw Data'!E408*0.001648</f>
        <v>0</v>
      </c>
      <c r="G407" s="4">
        <f>'Raw Data'!F408*0.001648</f>
        <v>0</v>
      </c>
      <c r="H407" s="4">
        <f>'Raw Data'!G408*6*0.000128176</f>
        <v>0</v>
      </c>
      <c r="I407" s="4">
        <f>'Raw Data'!H408*0.000732435</f>
        <v>0</v>
      </c>
      <c r="J407" s="4">
        <f t="shared" si="20"/>
        <v>0</v>
      </c>
      <c r="K407" s="36">
        <f>IF(('Raw Data'!I408-16384)/32768&lt;0,0,('Raw Data'!I408-16384)/32768)</f>
        <v>0</v>
      </c>
      <c r="L407" s="4">
        <f>IF(('Raw Data'!J408-12010)/45.6=-263.377192982456,0,('Raw Data'!J408-12010)/45.6)</f>
        <v>0</v>
      </c>
      <c r="M407" s="16">
        <f>'Raw Data'!N408*2^-8</f>
        <v>0</v>
      </c>
      <c r="N407" s="16">
        <f>'Raw Data'!O408*2^-8</f>
        <v>0</v>
      </c>
      <c r="O407" s="17" t="str">
        <f>IF(BITWISE_AND('Raw Data'!$K408, 8192),"X","")</f>
        <v/>
      </c>
      <c r="P407" s="17" t="str">
        <f>IF(BITWISE_AND('Raw Data'!$K408, 2048),"X","")</f>
        <v/>
      </c>
      <c r="Q407" s="17" t="str">
        <f>IF(BITWISE_AND('Raw Data'!$K408, 64),"X","")</f>
        <v/>
      </c>
      <c r="R407" s="18" t="str">
        <f>IF(BITWISE_AND('Raw Data'!$L408, 1024),"X","")</f>
        <v/>
      </c>
      <c r="S407" s="18" t="str">
        <f>IF(BITWISE_AND('Raw Data'!$L408, 512),"X","")</f>
        <v/>
      </c>
      <c r="T407" s="18" t="str">
        <f>IF(BITWISE_AND('Raw Data'!$L408, 256),"X","")</f>
        <v/>
      </c>
      <c r="U407" s="18" t="str">
        <f>IF(BITWISE_AND('Raw Data'!$L408, 64),"X","")</f>
        <v/>
      </c>
      <c r="V407" s="18" t="str">
        <f>IF(BITWISE_AND('Raw Data'!$L408, 2),"X","")</f>
        <v/>
      </c>
      <c r="W407" s="18" t="str">
        <f>IF(BITWISE_AND('Raw Data'!$L408, 1),"X","")</f>
        <v/>
      </c>
      <c r="X407" s="19" t="str">
        <f>IF(BITWISE_AND('Raw Data'!M408, 1),"Bat Voltage", IF(BITWISE_AND('Raw Data'!M408, 2), "Charge Current", IF(BITWISE_AND('Raw Data'!M408, 4),"Input Ilim", IF(BITWISE_AND('Raw Data'!M408, 8), "Input UV", "none"))))</f>
        <v>none</v>
      </c>
    </row>
    <row r="408" spans="1:24" x14ac:dyDescent="0.2">
      <c r="A408" s="15">
        <f>A407+TIME(0,0,'Raw Data'!B408)</f>
        <v>0</v>
      </c>
      <c r="B408" s="4">
        <f>'Raw Data'!C409*0.025</f>
        <v>0</v>
      </c>
      <c r="C408" s="4">
        <f t="shared" si="21"/>
        <v>0</v>
      </c>
      <c r="D408" s="4">
        <f>'Raw Data'!D409*0.025</f>
        <v>0</v>
      </c>
      <c r="E408" s="4">
        <f t="shared" si="22"/>
        <v>0</v>
      </c>
      <c r="F408" s="4">
        <f>'Raw Data'!E409*0.001648</f>
        <v>0</v>
      </c>
      <c r="G408" s="4">
        <f>'Raw Data'!F409*0.001648</f>
        <v>0</v>
      </c>
      <c r="H408" s="4">
        <f>'Raw Data'!G409*6*0.000128176</f>
        <v>0</v>
      </c>
      <c r="I408" s="4">
        <f>'Raw Data'!H409*0.000732435</f>
        <v>0</v>
      </c>
      <c r="J408" s="4">
        <f t="shared" si="20"/>
        <v>0</v>
      </c>
      <c r="K408" s="36">
        <f>IF(('Raw Data'!I409-16384)/32768&lt;0,0,('Raw Data'!I409-16384)/32768)</f>
        <v>0</v>
      </c>
      <c r="L408" s="4">
        <f>IF(('Raw Data'!J409-12010)/45.6=-263.377192982456,0,('Raw Data'!J409-12010)/45.6)</f>
        <v>0</v>
      </c>
      <c r="M408" s="16">
        <f>'Raw Data'!N409*2^-8</f>
        <v>0</v>
      </c>
      <c r="N408" s="16">
        <f>'Raw Data'!O409*2^-8</f>
        <v>0</v>
      </c>
      <c r="O408" s="17" t="str">
        <f>IF(BITWISE_AND('Raw Data'!$K409, 8192),"X","")</f>
        <v/>
      </c>
      <c r="P408" s="17" t="str">
        <f>IF(BITWISE_AND('Raw Data'!$K409, 2048),"X","")</f>
        <v/>
      </c>
      <c r="Q408" s="17" t="str">
        <f>IF(BITWISE_AND('Raw Data'!$K409, 64),"X","")</f>
        <v/>
      </c>
      <c r="R408" s="18" t="str">
        <f>IF(BITWISE_AND('Raw Data'!$L409, 1024),"X","")</f>
        <v/>
      </c>
      <c r="S408" s="18" t="str">
        <f>IF(BITWISE_AND('Raw Data'!$L409, 512),"X","")</f>
        <v/>
      </c>
      <c r="T408" s="18" t="str">
        <f>IF(BITWISE_AND('Raw Data'!$L409, 256),"X","")</f>
        <v/>
      </c>
      <c r="U408" s="18" t="str">
        <f>IF(BITWISE_AND('Raw Data'!$L409, 64),"X","")</f>
        <v/>
      </c>
      <c r="V408" s="18" t="str">
        <f>IF(BITWISE_AND('Raw Data'!$L409, 2),"X","")</f>
        <v/>
      </c>
      <c r="W408" s="18" t="str">
        <f>IF(BITWISE_AND('Raw Data'!$L409, 1),"X","")</f>
        <v/>
      </c>
      <c r="X408" s="19" t="str">
        <f>IF(BITWISE_AND('Raw Data'!M409, 1),"Bat Voltage", IF(BITWISE_AND('Raw Data'!M409, 2), "Charge Current", IF(BITWISE_AND('Raw Data'!M409, 4),"Input Ilim", IF(BITWISE_AND('Raw Data'!M409, 8), "Input UV", "none"))))</f>
        <v>none</v>
      </c>
    </row>
    <row r="409" spans="1:24" x14ac:dyDescent="0.2">
      <c r="A409" s="15">
        <f>A408+TIME(0,0,'Raw Data'!B409)</f>
        <v>0</v>
      </c>
      <c r="B409" s="4">
        <f>'Raw Data'!C410*0.025</f>
        <v>0</v>
      </c>
      <c r="C409" s="4">
        <f t="shared" si="21"/>
        <v>0</v>
      </c>
      <c r="D409" s="4">
        <f>'Raw Data'!D410*0.025</f>
        <v>0</v>
      </c>
      <c r="E409" s="4">
        <f t="shared" si="22"/>
        <v>0</v>
      </c>
      <c r="F409" s="4">
        <f>'Raw Data'!E410*0.001648</f>
        <v>0</v>
      </c>
      <c r="G409" s="4">
        <f>'Raw Data'!F410*0.001648</f>
        <v>0</v>
      </c>
      <c r="H409" s="4">
        <f>'Raw Data'!G410*6*0.000128176</f>
        <v>0</v>
      </c>
      <c r="I409" s="4">
        <f>'Raw Data'!H410*0.000732435</f>
        <v>0</v>
      </c>
      <c r="J409" s="4">
        <f t="shared" si="20"/>
        <v>0</v>
      </c>
      <c r="K409" s="36">
        <f>IF(('Raw Data'!I410-16384)/32768&lt;0,0,('Raw Data'!I410-16384)/32768)</f>
        <v>0</v>
      </c>
      <c r="L409" s="4">
        <f>IF(('Raw Data'!J410-12010)/45.6=-263.377192982456,0,('Raw Data'!J410-12010)/45.6)</f>
        <v>0</v>
      </c>
      <c r="M409" s="16">
        <f>'Raw Data'!N410*2^-8</f>
        <v>0</v>
      </c>
      <c r="N409" s="16">
        <f>'Raw Data'!O410*2^-8</f>
        <v>0</v>
      </c>
      <c r="O409" s="17" t="str">
        <f>IF(BITWISE_AND('Raw Data'!$K410, 8192),"X","")</f>
        <v/>
      </c>
      <c r="P409" s="17" t="str">
        <f>IF(BITWISE_AND('Raw Data'!$K410, 2048),"X","")</f>
        <v/>
      </c>
      <c r="Q409" s="17" t="str">
        <f>IF(BITWISE_AND('Raw Data'!$K410, 64),"X","")</f>
        <v/>
      </c>
      <c r="R409" s="18" t="str">
        <f>IF(BITWISE_AND('Raw Data'!$L410, 1024),"X","")</f>
        <v/>
      </c>
      <c r="S409" s="18" t="str">
        <f>IF(BITWISE_AND('Raw Data'!$L410, 512),"X","")</f>
        <v/>
      </c>
      <c r="T409" s="18" t="str">
        <f>IF(BITWISE_AND('Raw Data'!$L410, 256),"X","")</f>
        <v/>
      </c>
      <c r="U409" s="18" t="str">
        <f>IF(BITWISE_AND('Raw Data'!$L410, 64),"X","")</f>
        <v/>
      </c>
      <c r="V409" s="18" t="str">
        <f>IF(BITWISE_AND('Raw Data'!$L410, 2),"X","")</f>
        <v/>
      </c>
      <c r="W409" s="18" t="str">
        <f>IF(BITWISE_AND('Raw Data'!$L410, 1),"X","")</f>
        <v/>
      </c>
      <c r="X409" s="19" t="str">
        <f>IF(BITWISE_AND('Raw Data'!M410, 1),"Bat Voltage", IF(BITWISE_AND('Raw Data'!M410, 2), "Charge Current", IF(BITWISE_AND('Raw Data'!M410, 4),"Input Ilim", IF(BITWISE_AND('Raw Data'!M410, 8), "Input UV", "none"))))</f>
        <v>none</v>
      </c>
    </row>
    <row r="410" spans="1:24" x14ac:dyDescent="0.2">
      <c r="A410" s="15">
        <f>A409+TIME(0,0,'Raw Data'!B410)</f>
        <v>0</v>
      </c>
      <c r="B410" s="4">
        <f>'Raw Data'!C411*0.025</f>
        <v>0</v>
      </c>
      <c r="C410" s="4">
        <f t="shared" si="21"/>
        <v>0</v>
      </c>
      <c r="D410" s="4">
        <f>'Raw Data'!D411*0.025</f>
        <v>0</v>
      </c>
      <c r="E410" s="4">
        <f t="shared" si="22"/>
        <v>0</v>
      </c>
      <c r="F410" s="4">
        <f>'Raw Data'!E411*0.001648</f>
        <v>0</v>
      </c>
      <c r="G410" s="4">
        <f>'Raw Data'!F411*0.001648</f>
        <v>0</v>
      </c>
      <c r="H410" s="4">
        <f>'Raw Data'!G411*6*0.000128176</f>
        <v>0</v>
      </c>
      <c r="I410" s="4">
        <f>'Raw Data'!H411*0.000732435</f>
        <v>0</v>
      </c>
      <c r="J410" s="4">
        <f t="shared" si="20"/>
        <v>0</v>
      </c>
      <c r="K410" s="36">
        <f>IF(('Raw Data'!I411-16384)/32768&lt;0,0,('Raw Data'!I411-16384)/32768)</f>
        <v>0</v>
      </c>
      <c r="L410" s="4">
        <f>IF(('Raw Data'!J411-12010)/45.6=-263.377192982456,0,('Raw Data'!J411-12010)/45.6)</f>
        <v>0</v>
      </c>
      <c r="M410" s="16">
        <f>'Raw Data'!N411*2^-8</f>
        <v>0</v>
      </c>
      <c r="N410" s="16">
        <f>'Raw Data'!O411*2^-8</f>
        <v>0</v>
      </c>
      <c r="O410" s="17" t="str">
        <f>IF(BITWISE_AND('Raw Data'!$K411, 8192),"X","")</f>
        <v/>
      </c>
      <c r="P410" s="17" t="str">
        <f>IF(BITWISE_AND('Raw Data'!$K411, 2048),"X","")</f>
        <v/>
      </c>
      <c r="Q410" s="17" t="str">
        <f>IF(BITWISE_AND('Raw Data'!$K411, 64),"X","")</f>
        <v/>
      </c>
      <c r="R410" s="18" t="str">
        <f>IF(BITWISE_AND('Raw Data'!$L411, 1024),"X","")</f>
        <v/>
      </c>
      <c r="S410" s="18" t="str">
        <f>IF(BITWISE_AND('Raw Data'!$L411, 512),"X","")</f>
        <v/>
      </c>
      <c r="T410" s="18" t="str">
        <f>IF(BITWISE_AND('Raw Data'!$L411, 256),"X","")</f>
        <v/>
      </c>
      <c r="U410" s="18" t="str">
        <f>IF(BITWISE_AND('Raw Data'!$L411, 64),"X","")</f>
        <v/>
      </c>
      <c r="V410" s="18" t="str">
        <f>IF(BITWISE_AND('Raw Data'!$L411, 2),"X","")</f>
        <v/>
      </c>
      <c r="W410" s="18" t="str">
        <f>IF(BITWISE_AND('Raw Data'!$L411, 1),"X","")</f>
        <v/>
      </c>
      <c r="X410" s="19" t="str">
        <f>IF(BITWISE_AND('Raw Data'!M411, 1),"Bat Voltage", IF(BITWISE_AND('Raw Data'!M411, 2), "Charge Current", IF(BITWISE_AND('Raw Data'!M411, 4),"Input Ilim", IF(BITWISE_AND('Raw Data'!M411, 8), "Input UV", "none"))))</f>
        <v>none</v>
      </c>
    </row>
    <row r="411" spans="1:24" x14ac:dyDescent="0.2">
      <c r="A411" s="15">
        <f>A410+TIME(0,0,'Raw Data'!B411)</f>
        <v>0</v>
      </c>
      <c r="B411" s="4">
        <f>'Raw Data'!C412*0.025</f>
        <v>0</v>
      </c>
      <c r="C411" s="4">
        <f t="shared" si="21"/>
        <v>0</v>
      </c>
      <c r="D411" s="4">
        <f>'Raw Data'!D412*0.025</f>
        <v>0</v>
      </c>
      <c r="E411" s="4">
        <f t="shared" si="22"/>
        <v>0</v>
      </c>
      <c r="F411" s="4">
        <f>'Raw Data'!E412*0.001648</f>
        <v>0</v>
      </c>
      <c r="G411" s="4">
        <f>'Raw Data'!F412*0.001648</f>
        <v>0</v>
      </c>
      <c r="H411" s="4">
        <f>'Raw Data'!G412*6*0.000128176</f>
        <v>0</v>
      </c>
      <c r="I411" s="4">
        <f>'Raw Data'!H412*0.000732435</f>
        <v>0</v>
      </c>
      <c r="J411" s="4">
        <f t="shared" si="20"/>
        <v>0</v>
      </c>
      <c r="K411" s="36">
        <f>IF(('Raw Data'!I412-16384)/32768&lt;0,0,('Raw Data'!I412-16384)/32768)</f>
        <v>0</v>
      </c>
      <c r="L411" s="4">
        <f>IF(('Raw Data'!J412-12010)/45.6=-263.377192982456,0,('Raw Data'!J412-12010)/45.6)</f>
        <v>0</v>
      </c>
      <c r="M411" s="16">
        <f>'Raw Data'!N412*2^-8</f>
        <v>0</v>
      </c>
      <c r="N411" s="16">
        <f>'Raw Data'!O412*2^-8</f>
        <v>0</v>
      </c>
      <c r="O411" s="17" t="str">
        <f>IF(BITWISE_AND('Raw Data'!$K412, 8192),"X","")</f>
        <v/>
      </c>
      <c r="P411" s="17" t="str">
        <f>IF(BITWISE_AND('Raw Data'!$K412, 2048),"X","")</f>
        <v/>
      </c>
      <c r="Q411" s="17" t="str">
        <f>IF(BITWISE_AND('Raw Data'!$K412, 64),"X","")</f>
        <v/>
      </c>
      <c r="R411" s="18" t="str">
        <f>IF(BITWISE_AND('Raw Data'!$L412, 1024),"X","")</f>
        <v/>
      </c>
      <c r="S411" s="18" t="str">
        <f>IF(BITWISE_AND('Raw Data'!$L412, 512),"X","")</f>
        <v/>
      </c>
      <c r="T411" s="18" t="str">
        <f>IF(BITWISE_AND('Raw Data'!$L412, 256),"X","")</f>
        <v/>
      </c>
      <c r="U411" s="18" t="str">
        <f>IF(BITWISE_AND('Raw Data'!$L412, 64),"X","")</f>
        <v/>
      </c>
      <c r="V411" s="18" t="str">
        <f>IF(BITWISE_AND('Raw Data'!$L412, 2),"X","")</f>
        <v/>
      </c>
      <c r="W411" s="18" t="str">
        <f>IF(BITWISE_AND('Raw Data'!$L412, 1),"X","")</f>
        <v/>
      </c>
      <c r="X411" s="19" t="str">
        <f>IF(BITWISE_AND('Raw Data'!M412, 1),"Bat Voltage", IF(BITWISE_AND('Raw Data'!M412, 2), "Charge Current", IF(BITWISE_AND('Raw Data'!M412, 4),"Input Ilim", IF(BITWISE_AND('Raw Data'!M412, 8), "Input UV", "none"))))</f>
        <v>none</v>
      </c>
    </row>
    <row r="412" spans="1:24" x14ac:dyDescent="0.2">
      <c r="A412" s="15">
        <f>A411+TIME(0,0,'Raw Data'!B412)</f>
        <v>0</v>
      </c>
      <c r="B412" s="4">
        <f>'Raw Data'!C413*0.025</f>
        <v>0</v>
      </c>
      <c r="C412" s="4">
        <f t="shared" si="21"/>
        <v>0</v>
      </c>
      <c r="D412" s="4">
        <f>'Raw Data'!D413*0.025</f>
        <v>0</v>
      </c>
      <c r="E412" s="4">
        <f t="shared" si="22"/>
        <v>0</v>
      </c>
      <c r="F412" s="4">
        <f>'Raw Data'!E413*0.001648</f>
        <v>0</v>
      </c>
      <c r="G412" s="4">
        <f>'Raw Data'!F413*0.001648</f>
        <v>0</v>
      </c>
      <c r="H412" s="4">
        <f>'Raw Data'!G413*6*0.000128176</f>
        <v>0</v>
      </c>
      <c r="I412" s="4">
        <f>'Raw Data'!H413*0.000732435</f>
        <v>0</v>
      </c>
      <c r="J412" s="4">
        <f t="shared" si="20"/>
        <v>0</v>
      </c>
      <c r="K412" s="36">
        <f>IF(('Raw Data'!I413-16384)/32768&lt;0,0,('Raw Data'!I413-16384)/32768)</f>
        <v>0</v>
      </c>
      <c r="L412" s="4">
        <f>IF(('Raw Data'!J413-12010)/45.6=-263.377192982456,0,('Raw Data'!J413-12010)/45.6)</f>
        <v>0</v>
      </c>
      <c r="M412" s="16">
        <f>'Raw Data'!N413*2^-8</f>
        <v>0</v>
      </c>
      <c r="N412" s="16">
        <f>'Raw Data'!O413*2^-8</f>
        <v>0</v>
      </c>
      <c r="O412" s="17" t="str">
        <f>IF(BITWISE_AND('Raw Data'!$K413, 8192),"X","")</f>
        <v/>
      </c>
      <c r="P412" s="17" t="str">
        <f>IF(BITWISE_AND('Raw Data'!$K413, 2048),"X","")</f>
        <v/>
      </c>
      <c r="Q412" s="17" t="str">
        <f>IF(BITWISE_AND('Raw Data'!$K413, 64),"X","")</f>
        <v/>
      </c>
      <c r="R412" s="18" t="str">
        <f>IF(BITWISE_AND('Raw Data'!$L413, 1024),"X","")</f>
        <v/>
      </c>
      <c r="S412" s="18" t="str">
        <f>IF(BITWISE_AND('Raw Data'!$L413, 512),"X","")</f>
        <v/>
      </c>
      <c r="T412" s="18" t="str">
        <f>IF(BITWISE_AND('Raw Data'!$L413, 256),"X","")</f>
        <v/>
      </c>
      <c r="U412" s="18" t="str">
        <f>IF(BITWISE_AND('Raw Data'!$L413, 64),"X","")</f>
        <v/>
      </c>
      <c r="V412" s="18" t="str">
        <f>IF(BITWISE_AND('Raw Data'!$L413, 2),"X","")</f>
        <v/>
      </c>
      <c r="W412" s="18" t="str">
        <f>IF(BITWISE_AND('Raw Data'!$L413, 1),"X","")</f>
        <v/>
      </c>
      <c r="X412" s="19" t="str">
        <f>IF(BITWISE_AND('Raw Data'!M413, 1),"Bat Voltage", IF(BITWISE_AND('Raw Data'!M413, 2), "Charge Current", IF(BITWISE_AND('Raw Data'!M413, 4),"Input Ilim", IF(BITWISE_AND('Raw Data'!M413, 8), "Input UV", "none"))))</f>
        <v>none</v>
      </c>
    </row>
    <row r="413" spans="1:24" x14ac:dyDescent="0.2">
      <c r="A413" s="15">
        <f>A412+TIME(0,0,'Raw Data'!B413)</f>
        <v>0</v>
      </c>
      <c r="B413" s="4">
        <f>'Raw Data'!C414*0.025</f>
        <v>0</v>
      </c>
      <c r="C413" s="4">
        <f t="shared" si="21"/>
        <v>0</v>
      </c>
      <c r="D413" s="4">
        <f>'Raw Data'!D414*0.025</f>
        <v>0</v>
      </c>
      <c r="E413" s="4">
        <f t="shared" si="22"/>
        <v>0</v>
      </c>
      <c r="F413" s="4">
        <f>'Raw Data'!E414*0.001648</f>
        <v>0</v>
      </c>
      <c r="G413" s="4">
        <f>'Raw Data'!F414*0.001648</f>
        <v>0</v>
      </c>
      <c r="H413" s="4">
        <f>'Raw Data'!G414*6*0.000128176</f>
        <v>0</v>
      </c>
      <c r="I413" s="4">
        <f>'Raw Data'!H414*0.000732435</f>
        <v>0</v>
      </c>
      <c r="J413" s="4">
        <f t="shared" si="20"/>
        <v>0</v>
      </c>
      <c r="K413" s="36">
        <f>IF(('Raw Data'!I414-16384)/32768&lt;0,0,('Raw Data'!I414-16384)/32768)</f>
        <v>0</v>
      </c>
      <c r="L413" s="4">
        <f>IF(('Raw Data'!J414-12010)/45.6=-263.377192982456,0,('Raw Data'!J414-12010)/45.6)</f>
        <v>0</v>
      </c>
      <c r="M413" s="16">
        <f>'Raw Data'!N414*2^-8</f>
        <v>0</v>
      </c>
      <c r="N413" s="16">
        <f>'Raw Data'!O414*2^-8</f>
        <v>0</v>
      </c>
      <c r="O413" s="17" t="str">
        <f>IF(BITWISE_AND('Raw Data'!$K414, 8192),"X","")</f>
        <v/>
      </c>
      <c r="P413" s="17" t="str">
        <f>IF(BITWISE_AND('Raw Data'!$K414, 2048),"X","")</f>
        <v/>
      </c>
      <c r="Q413" s="17" t="str">
        <f>IF(BITWISE_AND('Raw Data'!$K414, 64),"X","")</f>
        <v/>
      </c>
      <c r="R413" s="18" t="str">
        <f>IF(BITWISE_AND('Raw Data'!$L414, 1024),"X","")</f>
        <v/>
      </c>
      <c r="S413" s="18" t="str">
        <f>IF(BITWISE_AND('Raw Data'!$L414, 512),"X","")</f>
        <v/>
      </c>
      <c r="T413" s="18" t="str">
        <f>IF(BITWISE_AND('Raw Data'!$L414, 256),"X","")</f>
        <v/>
      </c>
      <c r="U413" s="18" t="str">
        <f>IF(BITWISE_AND('Raw Data'!$L414, 64),"X","")</f>
        <v/>
      </c>
      <c r="V413" s="18" t="str">
        <f>IF(BITWISE_AND('Raw Data'!$L414, 2),"X","")</f>
        <v/>
      </c>
      <c r="W413" s="18" t="str">
        <f>IF(BITWISE_AND('Raw Data'!$L414, 1),"X","")</f>
        <v/>
      </c>
      <c r="X413" s="19" t="str">
        <f>IF(BITWISE_AND('Raw Data'!M414, 1),"Bat Voltage", IF(BITWISE_AND('Raw Data'!M414, 2), "Charge Current", IF(BITWISE_AND('Raw Data'!M414, 4),"Input Ilim", IF(BITWISE_AND('Raw Data'!M414, 8), "Input UV", "none"))))</f>
        <v>none</v>
      </c>
    </row>
    <row r="414" spans="1:24" x14ac:dyDescent="0.2">
      <c r="A414" s="15">
        <f>A413+TIME(0,0,'Raw Data'!B414)</f>
        <v>0</v>
      </c>
      <c r="B414" s="4">
        <f>'Raw Data'!C415*0.025</f>
        <v>0</v>
      </c>
      <c r="C414" s="4">
        <f t="shared" si="21"/>
        <v>0</v>
      </c>
      <c r="D414" s="4">
        <f>'Raw Data'!D415*0.025</f>
        <v>0</v>
      </c>
      <c r="E414" s="4">
        <f t="shared" si="22"/>
        <v>0</v>
      </c>
      <c r="F414" s="4">
        <f>'Raw Data'!E415*0.001648</f>
        <v>0</v>
      </c>
      <c r="G414" s="4">
        <f>'Raw Data'!F415*0.001648</f>
        <v>0</v>
      </c>
      <c r="H414" s="4">
        <f>'Raw Data'!G415*6*0.000128176</f>
        <v>0</v>
      </c>
      <c r="I414" s="4">
        <f>'Raw Data'!H415*0.000732435</f>
        <v>0</v>
      </c>
      <c r="J414" s="4">
        <f t="shared" si="20"/>
        <v>0</v>
      </c>
      <c r="K414" s="36">
        <f>IF(('Raw Data'!I415-16384)/32768&lt;0,0,('Raw Data'!I415-16384)/32768)</f>
        <v>0</v>
      </c>
      <c r="L414" s="4">
        <f>IF(('Raw Data'!J415-12010)/45.6=-263.377192982456,0,('Raw Data'!J415-12010)/45.6)</f>
        <v>0</v>
      </c>
      <c r="M414" s="16">
        <f>'Raw Data'!N415*2^-8</f>
        <v>0</v>
      </c>
      <c r="N414" s="16">
        <f>'Raw Data'!O415*2^-8</f>
        <v>0</v>
      </c>
      <c r="O414" s="17" t="str">
        <f>IF(BITWISE_AND('Raw Data'!$K415, 8192),"X","")</f>
        <v/>
      </c>
      <c r="P414" s="17" t="str">
        <f>IF(BITWISE_AND('Raw Data'!$K415, 2048),"X","")</f>
        <v/>
      </c>
      <c r="Q414" s="17" t="str">
        <f>IF(BITWISE_AND('Raw Data'!$K415, 64),"X","")</f>
        <v/>
      </c>
      <c r="R414" s="18" t="str">
        <f>IF(BITWISE_AND('Raw Data'!$L415, 1024),"X","")</f>
        <v/>
      </c>
      <c r="S414" s="18" t="str">
        <f>IF(BITWISE_AND('Raw Data'!$L415, 512),"X","")</f>
        <v/>
      </c>
      <c r="T414" s="18" t="str">
        <f>IF(BITWISE_AND('Raw Data'!$L415, 256),"X","")</f>
        <v/>
      </c>
      <c r="U414" s="18" t="str">
        <f>IF(BITWISE_AND('Raw Data'!$L415, 64),"X","")</f>
        <v/>
      </c>
      <c r="V414" s="18" t="str">
        <f>IF(BITWISE_AND('Raw Data'!$L415, 2),"X","")</f>
        <v/>
      </c>
      <c r="W414" s="18" t="str">
        <f>IF(BITWISE_AND('Raw Data'!$L415, 1),"X","")</f>
        <v/>
      </c>
      <c r="X414" s="19" t="str">
        <f>IF(BITWISE_AND('Raw Data'!M415, 1),"Bat Voltage", IF(BITWISE_AND('Raw Data'!M415, 2), "Charge Current", IF(BITWISE_AND('Raw Data'!M415, 4),"Input Ilim", IF(BITWISE_AND('Raw Data'!M415, 8), "Input UV", "none"))))</f>
        <v>none</v>
      </c>
    </row>
    <row r="415" spans="1:24" x14ac:dyDescent="0.2">
      <c r="A415" s="15">
        <f>A414+TIME(0,0,'Raw Data'!B415)</f>
        <v>0</v>
      </c>
      <c r="B415" s="4">
        <f>'Raw Data'!C416*0.025</f>
        <v>0</v>
      </c>
      <c r="C415" s="4">
        <f t="shared" si="21"/>
        <v>0</v>
      </c>
      <c r="D415" s="4">
        <f>'Raw Data'!D416*0.025</f>
        <v>0</v>
      </c>
      <c r="E415" s="4">
        <f t="shared" si="22"/>
        <v>0</v>
      </c>
      <c r="F415" s="4">
        <f>'Raw Data'!E416*0.001648</f>
        <v>0</v>
      </c>
      <c r="G415" s="4">
        <f>'Raw Data'!F416*0.001648</f>
        <v>0</v>
      </c>
      <c r="H415" s="4">
        <f>'Raw Data'!G416*6*0.000128176</f>
        <v>0</v>
      </c>
      <c r="I415" s="4">
        <f>'Raw Data'!H416*0.000732435</f>
        <v>0</v>
      </c>
      <c r="J415" s="4">
        <f t="shared" si="20"/>
        <v>0</v>
      </c>
      <c r="K415" s="36">
        <f>IF(('Raw Data'!I416-16384)/32768&lt;0,0,('Raw Data'!I416-16384)/32768)</f>
        <v>0</v>
      </c>
      <c r="L415" s="4">
        <f>IF(('Raw Data'!J416-12010)/45.6=-263.377192982456,0,('Raw Data'!J416-12010)/45.6)</f>
        <v>0</v>
      </c>
      <c r="M415" s="16">
        <f>'Raw Data'!N416*2^-8</f>
        <v>0</v>
      </c>
      <c r="N415" s="16">
        <f>'Raw Data'!O416*2^-8</f>
        <v>0</v>
      </c>
      <c r="O415" s="17" t="str">
        <f>IF(BITWISE_AND('Raw Data'!$K416, 8192),"X","")</f>
        <v/>
      </c>
      <c r="P415" s="17" t="str">
        <f>IF(BITWISE_AND('Raw Data'!$K416, 2048),"X","")</f>
        <v/>
      </c>
      <c r="Q415" s="17" t="str">
        <f>IF(BITWISE_AND('Raw Data'!$K416, 64),"X","")</f>
        <v/>
      </c>
      <c r="R415" s="18" t="str">
        <f>IF(BITWISE_AND('Raw Data'!$L416, 1024),"X","")</f>
        <v/>
      </c>
      <c r="S415" s="18" t="str">
        <f>IF(BITWISE_AND('Raw Data'!$L416, 512),"X","")</f>
        <v/>
      </c>
      <c r="T415" s="18" t="str">
        <f>IF(BITWISE_AND('Raw Data'!$L416, 256),"X","")</f>
        <v/>
      </c>
      <c r="U415" s="18" t="str">
        <f>IF(BITWISE_AND('Raw Data'!$L416, 64),"X","")</f>
        <v/>
      </c>
      <c r="V415" s="18" t="str">
        <f>IF(BITWISE_AND('Raw Data'!$L416, 2),"X","")</f>
        <v/>
      </c>
      <c r="W415" s="18" t="str">
        <f>IF(BITWISE_AND('Raw Data'!$L416, 1),"X","")</f>
        <v/>
      </c>
      <c r="X415" s="19" t="str">
        <f>IF(BITWISE_AND('Raw Data'!M416, 1),"Bat Voltage", IF(BITWISE_AND('Raw Data'!M416, 2), "Charge Current", IF(BITWISE_AND('Raw Data'!M416, 4),"Input Ilim", IF(BITWISE_AND('Raw Data'!M416, 8), "Input UV", "none"))))</f>
        <v>none</v>
      </c>
    </row>
    <row r="416" spans="1:24" x14ac:dyDescent="0.2">
      <c r="A416" s="15">
        <f>A415+TIME(0,0,'Raw Data'!B416)</f>
        <v>0</v>
      </c>
      <c r="B416" s="4">
        <f>'Raw Data'!C417*0.025</f>
        <v>0</v>
      </c>
      <c r="C416" s="4">
        <f t="shared" si="21"/>
        <v>0</v>
      </c>
      <c r="D416" s="4">
        <f>'Raw Data'!D417*0.025</f>
        <v>0</v>
      </c>
      <c r="E416" s="4">
        <f t="shared" si="22"/>
        <v>0</v>
      </c>
      <c r="F416" s="4">
        <f>'Raw Data'!E417*0.001648</f>
        <v>0</v>
      </c>
      <c r="G416" s="4">
        <f>'Raw Data'!F417*0.001648</f>
        <v>0</v>
      </c>
      <c r="H416" s="4">
        <f>'Raw Data'!G417*6*0.000128176</f>
        <v>0</v>
      </c>
      <c r="I416" s="4">
        <f>'Raw Data'!H417*0.000732435</f>
        <v>0</v>
      </c>
      <c r="J416" s="4">
        <f t="shared" si="20"/>
        <v>0</v>
      </c>
      <c r="K416" s="36">
        <f>IF(('Raw Data'!I417-16384)/32768&lt;0,0,('Raw Data'!I417-16384)/32768)</f>
        <v>0</v>
      </c>
      <c r="L416" s="4">
        <f>IF(('Raw Data'!J417-12010)/45.6=-263.377192982456,0,('Raw Data'!J417-12010)/45.6)</f>
        <v>0</v>
      </c>
      <c r="M416" s="16">
        <f>'Raw Data'!N417*2^-8</f>
        <v>0</v>
      </c>
      <c r="N416" s="16">
        <f>'Raw Data'!O417*2^-8</f>
        <v>0</v>
      </c>
      <c r="O416" s="17" t="str">
        <f>IF(BITWISE_AND('Raw Data'!$K417, 8192),"X","")</f>
        <v/>
      </c>
      <c r="P416" s="17" t="str">
        <f>IF(BITWISE_AND('Raw Data'!$K417, 2048),"X","")</f>
        <v/>
      </c>
      <c r="Q416" s="17" t="str">
        <f>IF(BITWISE_AND('Raw Data'!$K417, 64),"X","")</f>
        <v/>
      </c>
      <c r="R416" s="18" t="str">
        <f>IF(BITWISE_AND('Raw Data'!$L417, 1024),"X","")</f>
        <v/>
      </c>
      <c r="S416" s="18" t="str">
        <f>IF(BITWISE_AND('Raw Data'!$L417, 512),"X","")</f>
        <v/>
      </c>
      <c r="T416" s="18" t="str">
        <f>IF(BITWISE_AND('Raw Data'!$L417, 256),"X","")</f>
        <v/>
      </c>
      <c r="U416" s="18" t="str">
        <f>IF(BITWISE_AND('Raw Data'!$L417, 64),"X","")</f>
        <v/>
      </c>
      <c r="V416" s="18" t="str">
        <f>IF(BITWISE_AND('Raw Data'!$L417, 2),"X","")</f>
        <v/>
      </c>
      <c r="W416" s="18" t="str">
        <f>IF(BITWISE_AND('Raw Data'!$L417, 1),"X","")</f>
        <v/>
      </c>
      <c r="X416" s="19" t="str">
        <f>IF(BITWISE_AND('Raw Data'!M417, 1),"Bat Voltage", IF(BITWISE_AND('Raw Data'!M417, 2), "Charge Current", IF(BITWISE_AND('Raw Data'!M417, 4),"Input Ilim", IF(BITWISE_AND('Raw Data'!M417, 8), "Input UV", "none"))))</f>
        <v>none</v>
      </c>
    </row>
    <row r="417" spans="1:24" x14ac:dyDescent="0.2">
      <c r="A417" s="15">
        <f>A416+TIME(0,0,'Raw Data'!B417)</f>
        <v>0</v>
      </c>
      <c r="B417" s="4">
        <f>'Raw Data'!C418*0.025</f>
        <v>0</v>
      </c>
      <c r="C417" s="4">
        <f t="shared" si="21"/>
        <v>0</v>
      </c>
      <c r="D417" s="4">
        <f>'Raw Data'!D418*0.025</f>
        <v>0</v>
      </c>
      <c r="E417" s="4">
        <f t="shared" si="22"/>
        <v>0</v>
      </c>
      <c r="F417" s="4">
        <f>'Raw Data'!E418*0.001648</f>
        <v>0</v>
      </c>
      <c r="G417" s="4">
        <f>'Raw Data'!F418*0.001648</f>
        <v>0</v>
      </c>
      <c r="H417" s="4">
        <f>'Raw Data'!G418*6*0.000128176</f>
        <v>0</v>
      </c>
      <c r="I417" s="4">
        <f>'Raw Data'!H418*0.000732435</f>
        <v>0</v>
      </c>
      <c r="J417" s="4">
        <f t="shared" si="20"/>
        <v>0</v>
      </c>
      <c r="K417" s="36">
        <f>IF(('Raw Data'!I418-16384)/32768&lt;0,0,('Raw Data'!I418-16384)/32768)</f>
        <v>0</v>
      </c>
      <c r="L417" s="4">
        <f>IF(('Raw Data'!J418-12010)/45.6=-263.377192982456,0,('Raw Data'!J418-12010)/45.6)</f>
        <v>0</v>
      </c>
      <c r="M417" s="16">
        <f>'Raw Data'!N418*2^-8</f>
        <v>0</v>
      </c>
      <c r="N417" s="16">
        <f>'Raw Data'!O418*2^-8</f>
        <v>0</v>
      </c>
      <c r="O417" s="17" t="str">
        <f>IF(BITWISE_AND('Raw Data'!$K418, 8192),"X","")</f>
        <v/>
      </c>
      <c r="P417" s="17" t="str">
        <f>IF(BITWISE_AND('Raw Data'!$K418, 2048),"X","")</f>
        <v/>
      </c>
      <c r="Q417" s="17" t="str">
        <f>IF(BITWISE_AND('Raw Data'!$K418, 64),"X","")</f>
        <v/>
      </c>
      <c r="R417" s="18" t="str">
        <f>IF(BITWISE_AND('Raw Data'!$L418, 1024),"X","")</f>
        <v/>
      </c>
      <c r="S417" s="18" t="str">
        <f>IF(BITWISE_AND('Raw Data'!$L418, 512),"X","")</f>
        <v/>
      </c>
      <c r="T417" s="18" t="str">
        <f>IF(BITWISE_AND('Raw Data'!$L418, 256),"X","")</f>
        <v/>
      </c>
      <c r="U417" s="18" t="str">
        <f>IF(BITWISE_AND('Raw Data'!$L418, 64),"X","")</f>
        <v/>
      </c>
      <c r="V417" s="18" t="str">
        <f>IF(BITWISE_AND('Raw Data'!$L418, 2),"X","")</f>
        <v/>
      </c>
      <c r="W417" s="18" t="str">
        <f>IF(BITWISE_AND('Raw Data'!$L418, 1),"X","")</f>
        <v/>
      </c>
      <c r="X417" s="19" t="str">
        <f>IF(BITWISE_AND('Raw Data'!M418, 1),"Bat Voltage", IF(BITWISE_AND('Raw Data'!M418, 2), "Charge Current", IF(BITWISE_AND('Raw Data'!M418, 4),"Input Ilim", IF(BITWISE_AND('Raw Data'!M418, 8), "Input UV", "none"))))</f>
        <v>none</v>
      </c>
    </row>
    <row r="418" spans="1:24" x14ac:dyDescent="0.2">
      <c r="A418" s="15">
        <f>A417+TIME(0,0,'Raw Data'!B418)</f>
        <v>0</v>
      </c>
      <c r="B418" s="4">
        <f>'Raw Data'!C419*0.025</f>
        <v>0</v>
      </c>
      <c r="C418" s="4">
        <f t="shared" si="21"/>
        <v>0</v>
      </c>
      <c r="D418" s="4">
        <f>'Raw Data'!D419*0.025</f>
        <v>0</v>
      </c>
      <c r="E418" s="4">
        <f t="shared" si="22"/>
        <v>0</v>
      </c>
      <c r="F418" s="4">
        <f>'Raw Data'!E419*0.001648</f>
        <v>0</v>
      </c>
      <c r="G418" s="4">
        <f>'Raw Data'!F419*0.001648</f>
        <v>0</v>
      </c>
      <c r="H418" s="4">
        <f>'Raw Data'!G419*6*0.000128176</f>
        <v>0</v>
      </c>
      <c r="I418" s="4">
        <f>'Raw Data'!H419*0.000732435</f>
        <v>0</v>
      </c>
      <c r="J418" s="4">
        <f t="shared" si="20"/>
        <v>0</v>
      </c>
      <c r="K418" s="36">
        <f>IF(('Raw Data'!I419-16384)/32768&lt;0,0,('Raw Data'!I419-16384)/32768)</f>
        <v>0</v>
      </c>
      <c r="L418" s="4">
        <f>IF(('Raw Data'!J419-12010)/45.6=-263.377192982456,0,('Raw Data'!J419-12010)/45.6)</f>
        <v>0</v>
      </c>
      <c r="M418" s="16">
        <f>'Raw Data'!N419*2^-8</f>
        <v>0</v>
      </c>
      <c r="N418" s="16">
        <f>'Raw Data'!O419*2^-8</f>
        <v>0</v>
      </c>
      <c r="O418" s="17" t="str">
        <f>IF(BITWISE_AND('Raw Data'!$K419, 8192),"X","")</f>
        <v/>
      </c>
      <c r="P418" s="17" t="str">
        <f>IF(BITWISE_AND('Raw Data'!$K419, 2048),"X","")</f>
        <v/>
      </c>
      <c r="Q418" s="17" t="str">
        <f>IF(BITWISE_AND('Raw Data'!$K419, 64),"X","")</f>
        <v/>
      </c>
      <c r="R418" s="18" t="str">
        <f>IF(BITWISE_AND('Raw Data'!$L419, 1024),"X","")</f>
        <v/>
      </c>
      <c r="S418" s="18" t="str">
        <f>IF(BITWISE_AND('Raw Data'!$L419, 512),"X","")</f>
        <v/>
      </c>
      <c r="T418" s="18" t="str">
        <f>IF(BITWISE_AND('Raw Data'!$L419, 256),"X","")</f>
        <v/>
      </c>
      <c r="U418" s="18" t="str">
        <f>IF(BITWISE_AND('Raw Data'!$L419, 64),"X","")</f>
        <v/>
      </c>
      <c r="V418" s="18" t="str">
        <f>IF(BITWISE_AND('Raw Data'!$L419, 2),"X","")</f>
        <v/>
      </c>
      <c r="W418" s="18" t="str">
        <f>IF(BITWISE_AND('Raw Data'!$L419, 1),"X","")</f>
        <v/>
      </c>
      <c r="X418" s="19" t="str">
        <f>IF(BITWISE_AND('Raw Data'!M419, 1),"Bat Voltage", IF(BITWISE_AND('Raw Data'!M419, 2), "Charge Current", IF(BITWISE_AND('Raw Data'!M419, 4),"Input Ilim", IF(BITWISE_AND('Raw Data'!M419, 8), "Input UV", "none"))))</f>
        <v>none</v>
      </c>
    </row>
    <row r="419" spans="1:24" x14ac:dyDescent="0.2">
      <c r="A419" s="15">
        <f>A418+TIME(0,0,'Raw Data'!B419)</f>
        <v>0</v>
      </c>
      <c r="B419" s="4">
        <f>'Raw Data'!C420*0.025</f>
        <v>0</v>
      </c>
      <c r="C419" s="4">
        <f t="shared" si="21"/>
        <v>0</v>
      </c>
      <c r="D419" s="4">
        <f>'Raw Data'!D420*0.025</f>
        <v>0</v>
      </c>
      <c r="E419" s="4">
        <f t="shared" si="22"/>
        <v>0</v>
      </c>
      <c r="F419" s="4">
        <f>'Raw Data'!E420*0.001648</f>
        <v>0</v>
      </c>
      <c r="G419" s="4">
        <f>'Raw Data'!F420*0.001648</f>
        <v>0</v>
      </c>
      <c r="H419" s="4">
        <f>'Raw Data'!G420*6*0.000128176</f>
        <v>0</v>
      </c>
      <c r="I419" s="4">
        <f>'Raw Data'!H420*0.000732435</f>
        <v>0</v>
      </c>
      <c r="J419" s="4">
        <f t="shared" si="20"/>
        <v>0</v>
      </c>
      <c r="K419" s="36">
        <f>IF(('Raw Data'!I420-16384)/32768&lt;0,0,('Raw Data'!I420-16384)/32768)</f>
        <v>0</v>
      </c>
      <c r="L419" s="4">
        <f>IF(('Raw Data'!J420-12010)/45.6=-263.377192982456,0,('Raw Data'!J420-12010)/45.6)</f>
        <v>0</v>
      </c>
      <c r="M419" s="16">
        <f>'Raw Data'!N420*2^-8</f>
        <v>0</v>
      </c>
      <c r="N419" s="16">
        <f>'Raw Data'!O420*2^-8</f>
        <v>0</v>
      </c>
      <c r="O419" s="17" t="str">
        <f>IF(BITWISE_AND('Raw Data'!$K420, 8192),"X","")</f>
        <v/>
      </c>
      <c r="P419" s="17" t="str">
        <f>IF(BITWISE_AND('Raw Data'!$K420, 2048),"X","")</f>
        <v/>
      </c>
      <c r="Q419" s="17" t="str">
        <f>IF(BITWISE_AND('Raw Data'!$K420, 64),"X","")</f>
        <v/>
      </c>
      <c r="R419" s="18" t="str">
        <f>IF(BITWISE_AND('Raw Data'!$L420, 1024),"X","")</f>
        <v/>
      </c>
      <c r="S419" s="18" t="str">
        <f>IF(BITWISE_AND('Raw Data'!$L420, 512),"X","")</f>
        <v/>
      </c>
      <c r="T419" s="18" t="str">
        <f>IF(BITWISE_AND('Raw Data'!$L420, 256),"X","")</f>
        <v/>
      </c>
      <c r="U419" s="18" t="str">
        <f>IF(BITWISE_AND('Raw Data'!$L420, 64),"X","")</f>
        <v/>
      </c>
      <c r="V419" s="18" t="str">
        <f>IF(BITWISE_AND('Raw Data'!$L420, 2),"X","")</f>
        <v/>
      </c>
      <c r="W419" s="18" t="str">
        <f>IF(BITWISE_AND('Raw Data'!$L420, 1),"X","")</f>
        <v/>
      </c>
      <c r="X419" s="19" t="str">
        <f>IF(BITWISE_AND('Raw Data'!M420, 1),"Bat Voltage", IF(BITWISE_AND('Raw Data'!M420, 2), "Charge Current", IF(BITWISE_AND('Raw Data'!M420, 4),"Input Ilim", IF(BITWISE_AND('Raw Data'!M420, 8), "Input UV", "none"))))</f>
        <v>none</v>
      </c>
    </row>
    <row r="420" spans="1:24" x14ac:dyDescent="0.2">
      <c r="A420" s="15">
        <f>A419+TIME(0,0,'Raw Data'!B420)</f>
        <v>0</v>
      </c>
      <c r="B420" s="4">
        <f>'Raw Data'!C421*0.025</f>
        <v>0</v>
      </c>
      <c r="C420" s="4">
        <f t="shared" si="21"/>
        <v>0</v>
      </c>
      <c r="D420" s="4">
        <f>'Raw Data'!D421*0.025</f>
        <v>0</v>
      </c>
      <c r="E420" s="4">
        <f t="shared" si="22"/>
        <v>0</v>
      </c>
      <c r="F420" s="4">
        <f>'Raw Data'!E421*0.001648</f>
        <v>0</v>
      </c>
      <c r="G420" s="4">
        <f>'Raw Data'!F421*0.001648</f>
        <v>0</v>
      </c>
      <c r="H420" s="4">
        <f>'Raw Data'!G421*6*0.000128176</f>
        <v>0</v>
      </c>
      <c r="I420" s="4">
        <f>'Raw Data'!H421*0.000732435</f>
        <v>0</v>
      </c>
      <c r="J420" s="4">
        <f t="shared" si="20"/>
        <v>0</v>
      </c>
      <c r="K420" s="36">
        <f>IF(('Raw Data'!I421-16384)/32768&lt;0,0,('Raw Data'!I421-16384)/32768)</f>
        <v>0</v>
      </c>
      <c r="L420" s="4">
        <f>IF(('Raw Data'!J421-12010)/45.6=-263.377192982456,0,('Raw Data'!J421-12010)/45.6)</f>
        <v>0</v>
      </c>
      <c r="M420" s="16">
        <f>'Raw Data'!N421*2^-8</f>
        <v>0</v>
      </c>
      <c r="N420" s="16">
        <f>'Raw Data'!O421*2^-8</f>
        <v>0</v>
      </c>
      <c r="O420" s="17" t="str">
        <f>IF(BITWISE_AND('Raw Data'!$K421, 8192),"X","")</f>
        <v/>
      </c>
      <c r="P420" s="17" t="str">
        <f>IF(BITWISE_AND('Raw Data'!$K421, 2048),"X","")</f>
        <v/>
      </c>
      <c r="Q420" s="17" t="str">
        <f>IF(BITWISE_AND('Raw Data'!$K421, 64),"X","")</f>
        <v/>
      </c>
      <c r="R420" s="18" t="str">
        <f>IF(BITWISE_AND('Raw Data'!$L421, 1024),"X","")</f>
        <v/>
      </c>
      <c r="S420" s="18" t="str">
        <f>IF(BITWISE_AND('Raw Data'!$L421, 512),"X","")</f>
        <v/>
      </c>
      <c r="T420" s="18" t="str">
        <f>IF(BITWISE_AND('Raw Data'!$L421, 256),"X","")</f>
        <v/>
      </c>
      <c r="U420" s="18" t="str">
        <f>IF(BITWISE_AND('Raw Data'!$L421, 64),"X","")</f>
        <v/>
      </c>
      <c r="V420" s="18" t="str">
        <f>IF(BITWISE_AND('Raw Data'!$L421, 2),"X","")</f>
        <v/>
      </c>
      <c r="W420" s="18" t="str">
        <f>IF(BITWISE_AND('Raw Data'!$L421, 1),"X","")</f>
        <v/>
      </c>
      <c r="X420" s="19" t="str">
        <f>IF(BITWISE_AND('Raw Data'!M421, 1),"Bat Voltage", IF(BITWISE_AND('Raw Data'!M421, 2), "Charge Current", IF(BITWISE_AND('Raw Data'!M421, 4),"Input Ilim", IF(BITWISE_AND('Raw Data'!M421, 8), "Input UV", "none"))))</f>
        <v>none</v>
      </c>
    </row>
    <row r="421" spans="1:24" x14ac:dyDescent="0.2">
      <c r="A421" s="15">
        <f>A420+TIME(0,0,'Raw Data'!B421)</f>
        <v>0</v>
      </c>
      <c r="B421" s="4">
        <f>'Raw Data'!C422*0.025</f>
        <v>0</v>
      </c>
      <c r="C421" s="4">
        <f t="shared" si="21"/>
        <v>0</v>
      </c>
      <c r="D421" s="4">
        <f>'Raw Data'!D422*0.025</f>
        <v>0</v>
      </c>
      <c r="E421" s="4">
        <f t="shared" si="22"/>
        <v>0</v>
      </c>
      <c r="F421" s="4">
        <f>'Raw Data'!E422*0.001648</f>
        <v>0</v>
      </c>
      <c r="G421" s="4">
        <f>'Raw Data'!F422*0.001648</f>
        <v>0</v>
      </c>
      <c r="H421" s="4">
        <f>'Raw Data'!G422*6*0.000128176</f>
        <v>0</v>
      </c>
      <c r="I421" s="4">
        <f>'Raw Data'!H422*0.000732435</f>
        <v>0</v>
      </c>
      <c r="J421" s="4">
        <f t="shared" si="20"/>
        <v>0</v>
      </c>
      <c r="K421" s="36">
        <f>IF(('Raw Data'!I422-16384)/32768&lt;0,0,('Raw Data'!I422-16384)/32768)</f>
        <v>0</v>
      </c>
      <c r="L421" s="4">
        <f>IF(('Raw Data'!J422-12010)/45.6=-263.377192982456,0,('Raw Data'!J422-12010)/45.6)</f>
        <v>0</v>
      </c>
      <c r="M421" s="16">
        <f>'Raw Data'!N422*2^-8</f>
        <v>0</v>
      </c>
      <c r="N421" s="16">
        <f>'Raw Data'!O422*2^-8</f>
        <v>0</v>
      </c>
      <c r="O421" s="17" t="str">
        <f>IF(BITWISE_AND('Raw Data'!$K422, 8192),"X","")</f>
        <v/>
      </c>
      <c r="P421" s="17" t="str">
        <f>IF(BITWISE_AND('Raw Data'!$K422, 2048),"X","")</f>
        <v/>
      </c>
      <c r="Q421" s="17" t="str">
        <f>IF(BITWISE_AND('Raw Data'!$K422, 64),"X","")</f>
        <v/>
      </c>
      <c r="R421" s="18" t="str">
        <f>IF(BITWISE_AND('Raw Data'!$L422, 1024),"X","")</f>
        <v/>
      </c>
      <c r="S421" s="18" t="str">
        <f>IF(BITWISE_AND('Raw Data'!$L422, 512),"X","")</f>
        <v/>
      </c>
      <c r="T421" s="18" t="str">
        <f>IF(BITWISE_AND('Raw Data'!$L422, 256),"X","")</f>
        <v/>
      </c>
      <c r="U421" s="18" t="str">
        <f>IF(BITWISE_AND('Raw Data'!$L422, 64),"X","")</f>
        <v/>
      </c>
      <c r="V421" s="18" t="str">
        <f>IF(BITWISE_AND('Raw Data'!$L422, 2),"X","")</f>
        <v/>
      </c>
      <c r="W421" s="18" t="str">
        <f>IF(BITWISE_AND('Raw Data'!$L422, 1),"X","")</f>
        <v/>
      </c>
      <c r="X421" s="19" t="str">
        <f>IF(BITWISE_AND('Raw Data'!M422, 1),"Bat Voltage", IF(BITWISE_AND('Raw Data'!M422, 2), "Charge Current", IF(BITWISE_AND('Raw Data'!M422, 4),"Input Ilim", IF(BITWISE_AND('Raw Data'!M422, 8), "Input UV", "none"))))</f>
        <v>none</v>
      </c>
    </row>
    <row r="422" spans="1:24" x14ac:dyDescent="0.2">
      <c r="A422" s="15">
        <f>A421+TIME(0,0,'Raw Data'!B422)</f>
        <v>0</v>
      </c>
      <c r="B422" s="4">
        <f>'Raw Data'!C423*0.025</f>
        <v>0</v>
      </c>
      <c r="C422" s="4">
        <f t="shared" si="21"/>
        <v>0</v>
      </c>
      <c r="D422" s="4">
        <f>'Raw Data'!D423*0.025</f>
        <v>0</v>
      </c>
      <c r="E422" s="4">
        <f t="shared" si="22"/>
        <v>0</v>
      </c>
      <c r="F422" s="4">
        <f>'Raw Data'!E423*0.001648</f>
        <v>0</v>
      </c>
      <c r="G422" s="4">
        <f>'Raw Data'!F423*0.001648</f>
        <v>0</v>
      </c>
      <c r="H422" s="4">
        <f>'Raw Data'!G423*6*0.000128176</f>
        <v>0</v>
      </c>
      <c r="I422" s="4">
        <f>'Raw Data'!H423*0.000732435</f>
        <v>0</v>
      </c>
      <c r="J422" s="4">
        <f t="shared" si="20"/>
        <v>0</v>
      </c>
      <c r="K422" s="36">
        <f>IF(('Raw Data'!I423-16384)/32768&lt;0,0,('Raw Data'!I423-16384)/32768)</f>
        <v>0</v>
      </c>
      <c r="L422" s="4">
        <f>IF(('Raw Data'!J423-12010)/45.6=-263.377192982456,0,('Raw Data'!J423-12010)/45.6)</f>
        <v>0</v>
      </c>
      <c r="M422" s="16">
        <f>'Raw Data'!N423*2^-8</f>
        <v>0</v>
      </c>
      <c r="N422" s="16">
        <f>'Raw Data'!O423*2^-8</f>
        <v>0</v>
      </c>
      <c r="O422" s="17" t="str">
        <f>IF(BITWISE_AND('Raw Data'!$K423, 8192),"X","")</f>
        <v/>
      </c>
      <c r="P422" s="17" t="str">
        <f>IF(BITWISE_AND('Raw Data'!$K423, 2048),"X","")</f>
        <v/>
      </c>
      <c r="Q422" s="17" t="str">
        <f>IF(BITWISE_AND('Raw Data'!$K423, 64),"X","")</f>
        <v/>
      </c>
      <c r="R422" s="18" t="str">
        <f>IF(BITWISE_AND('Raw Data'!$L423, 1024),"X","")</f>
        <v/>
      </c>
      <c r="S422" s="18" t="str">
        <f>IF(BITWISE_AND('Raw Data'!$L423, 512),"X","")</f>
        <v/>
      </c>
      <c r="T422" s="18" t="str">
        <f>IF(BITWISE_AND('Raw Data'!$L423, 256),"X","")</f>
        <v/>
      </c>
      <c r="U422" s="18" t="str">
        <f>IF(BITWISE_AND('Raw Data'!$L423, 64),"X","")</f>
        <v/>
      </c>
      <c r="V422" s="18" t="str">
        <f>IF(BITWISE_AND('Raw Data'!$L423, 2),"X","")</f>
        <v/>
      </c>
      <c r="W422" s="18" t="str">
        <f>IF(BITWISE_AND('Raw Data'!$L423, 1),"X","")</f>
        <v/>
      </c>
      <c r="X422" s="19" t="str">
        <f>IF(BITWISE_AND('Raw Data'!M423, 1),"Bat Voltage", IF(BITWISE_AND('Raw Data'!M423, 2), "Charge Current", IF(BITWISE_AND('Raw Data'!M423, 4),"Input Ilim", IF(BITWISE_AND('Raw Data'!M423, 8), "Input UV", "none"))))</f>
        <v>none</v>
      </c>
    </row>
    <row r="423" spans="1:24" x14ac:dyDescent="0.2">
      <c r="A423" s="15">
        <f>A422+TIME(0,0,'Raw Data'!B423)</f>
        <v>0</v>
      </c>
      <c r="B423" s="4">
        <f>'Raw Data'!C424*0.025</f>
        <v>0</v>
      </c>
      <c r="C423" s="4">
        <f t="shared" si="21"/>
        <v>0</v>
      </c>
      <c r="D423" s="4">
        <f>'Raw Data'!D424*0.025</f>
        <v>0</v>
      </c>
      <c r="E423" s="4">
        <f t="shared" si="22"/>
        <v>0</v>
      </c>
      <c r="F423" s="4">
        <f>'Raw Data'!E424*0.001648</f>
        <v>0</v>
      </c>
      <c r="G423" s="4">
        <f>'Raw Data'!F424*0.001648</f>
        <v>0</v>
      </c>
      <c r="H423" s="4">
        <f>'Raw Data'!G424*6*0.000128176</f>
        <v>0</v>
      </c>
      <c r="I423" s="4">
        <f>'Raw Data'!H424*0.000732435</f>
        <v>0</v>
      </c>
      <c r="J423" s="4">
        <f t="shared" si="20"/>
        <v>0</v>
      </c>
      <c r="K423" s="36">
        <f>IF(('Raw Data'!I424-16384)/32768&lt;0,0,('Raw Data'!I424-16384)/32768)</f>
        <v>0</v>
      </c>
      <c r="L423" s="4">
        <f>IF(('Raw Data'!J424-12010)/45.6=-263.377192982456,0,('Raw Data'!J424-12010)/45.6)</f>
        <v>0</v>
      </c>
      <c r="M423" s="16">
        <f>'Raw Data'!N424*2^-8</f>
        <v>0</v>
      </c>
      <c r="N423" s="16">
        <f>'Raw Data'!O424*2^-8</f>
        <v>0</v>
      </c>
      <c r="O423" s="17" t="str">
        <f>IF(BITWISE_AND('Raw Data'!$K424, 8192),"X","")</f>
        <v/>
      </c>
      <c r="P423" s="17" t="str">
        <f>IF(BITWISE_AND('Raw Data'!$K424, 2048),"X","")</f>
        <v/>
      </c>
      <c r="Q423" s="17" t="str">
        <f>IF(BITWISE_AND('Raw Data'!$K424, 64),"X","")</f>
        <v/>
      </c>
      <c r="R423" s="18" t="str">
        <f>IF(BITWISE_AND('Raw Data'!$L424, 1024),"X","")</f>
        <v/>
      </c>
      <c r="S423" s="18" t="str">
        <f>IF(BITWISE_AND('Raw Data'!$L424, 512),"X","")</f>
        <v/>
      </c>
      <c r="T423" s="18" t="str">
        <f>IF(BITWISE_AND('Raw Data'!$L424, 256),"X","")</f>
        <v/>
      </c>
      <c r="U423" s="18" t="str">
        <f>IF(BITWISE_AND('Raw Data'!$L424, 64),"X","")</f>
        <v/>
      </c>
      <c r="V423" s="18" t="str">
        <f>IF(BITWISE_AND('Raw Data'!$L424, 2),"X","")</f>
        <v/>
      </c>
      <c r="W423" s="18" t="str">
        <f>IF(BITWISE_AND('Raw Data'!$L424, 1),"X","")</f>
        <v/>
      </c>
      <c r="X423" s="19" t="str">
        <f>IF(BITWISE_AND('Raw Data'!M424, 1),"Bat Voltage", IF(BITWISE_AND('Raw Data'!M424, 2), "Charge Current", IF(BITWISE_AND('Raw Data'!M424, 4),"Input Ilim", IF(BITWISE_AND('Raw Data'!M424, 8), "Input UV", "none"))))</f>
        <v>none</v>
      </c>
    </row>
    <row r="424" spans="1:24" x14ac:dyDescent="0.2">
      <c r="A424" s="15">
        <f>A423+TIME(0,0,'Raw Data'!B424)</f>
        <v>0</v>
      </c>
      <c r="B424" s="4">
        <f>'Raw Data'!C425*0.025</f>
        <v>0</v>
      </c>
      <c r="C424" s="4">
        <f t="shared" si="21"/>
        <v>0</v>
      </c>
      <c r="D424" s="4">
        <f>'Raw Data'!D425*0.025</f>
        <v>0</v>
      </c>
      <c r="E424" s="4">
        <f t="shared" si="22"/>
        <v>0</v>
      </c>
      <c r="F424" s="4">
        <f>'Raw Data'!E425*0.001648</f>
        <v>0</v>
      </c>
      <c r="G424" s="4">
        <f>'Raw Data'!F425*0.001648</f>
        <v>0</v>
      </c>
      <c r="H424" s="4">
        <f>'Raw Data'!G425*6*0.000128176</f>
        <v>0</v>
      </c>
      <c r="I424" s="4">
        <f>'Raw Data'!H425*0.000732435</f>
        <v>0</v>
      </c>
      <c r="J424" s="4">
        <f t="shared" si="20"/>
        <v>0</v>
      </c>
      <c r="K424" s="36">
        <f>IF(('Raw Data'!I425-16384)/32768&lt;0,0,('Raw Data'!I425-16384)/32768)</f>
        <v>0</v>
      </c>
      <c r="L424" s="4">
        <f>IF(('Raw Data'!J425-12010)/45.6=-263.377192982456,0,('Raw Data'!J425-12010)/45.6)</f>
        <v>0</v>
      </c>
      <c r="M424" s="16">
        <f>'Raw Data'!N425*2^-8</f>
        <v>0</v>
      </c>
      <c r="N424" s="16">
        <f>'Raw Data'!O425*2^-8</f>
        <v>0</v>
      </c>
      <c r="O424" s="17" t="str">
        <f>IF(BITWISE_AND('Raw Data'!$K425, 8192),"X","")</f>
        <v/>
      </c>
      <c r="P424" s="17" t="str">
        <f>IF(BITWISE_AND('Raw Data'!$K425, 2048),"X","")</f>
        <v/>
      </c>
      <c r="Q424" s="17" t="str">
        <f>IF(BITWISE_AND('Raw Data'!$K425, 64),"X","")</f>
        <v/>
      </c>
      <c r="R424" s="18" t="str">
        <f>IF(BITWISE_AND('Raw Data'!$L425, 1024),"X","")</f>
        <v/>
      </c>
      <c r="S424" s="18" t="str">
        <f>IF(BITWISE_AND('Raw Data'!$L425, 512),"X","")</f>
        <v/>
      </c>
      <c r="T424" s="18" t="str">
        <f>IF(BITWISE_AND('Raw Data'!$L425, 256),"X","")</f>
        <v/>
      </c>
      <c r="U424" s="18" t="str">
        <f>IF(BITWISE_AND('Raw Data'!$L425, 64),"X","")</f>
        <v/>
      </c>
      <c r="V424" s="18" t="str">
        <f>IF(BITWISE_AND('Raw Data'!$L425, 2),"X","")</f>
        <v/>
      </c>
      <c r="W424" s="18" t="str">
        <f>IF(BITWISE_AND('Raw Data'!$L425, 1),"X","")</f>
        <v/>
      </c>
      <c r="X424" s="19" t="str">
        <f>IF(BITWISE_AND('Raw Data'!M425, 1),"Bat Voltage", IF(BITWISE_AND('Raw Data'!M425, 2), "Charge Current", IF(BITWISE_AND('Raw Data'!M425, 4),"Input Ilim", IF(BITWISE_AND('Raw Data'!M425, 8), "Input UV", "none"))))</f>
        <v>none</v>
      </c>
    </row>
    <row r="425" spans="1:24" x14ac:dyDescent="0.2">
      <c r="A425" s="15">
        <f>A424+TIME(0,0,'Raw Data'!B425)</f>
        <v>0</v>
      </c>
      <c r="B425" s="4">
        <f>'Raw Data'!C426*0.025</f>
        <v>0</v>
      </c>
      <c r="C425" s="4">
        <f t="shared" si="21"/>
        <v>0</v>
      </c>
      <c r="D425" s="4">
        <f>'Raw Data'!D426*0.025</f>
        <v>0</v>
      </c>
      <c r="E425" s="4">
        <f t="shared" si="22"/>
        <v>0</v>
      </c>
      <c r="F425" s="4">
        <f>'Raw Data'!E426*0.001648</f>
        <v>0</v>
      </c>
      <c r="G425" s="4">
        <f>'Raw Data'!F426*0.001648</f>
        <v>0</v>
      </c>
      <c r="H425" s="4">
        <f>'Raw Data'!G426*6*0.000128176</f>
        <v>0</v>
      </c>
      <c r="I425" s="4">
        <f>'Raw Data'!H426*0.000732435</f>
        <v>0</v>
      </c>
      <c r="J425" s="4">
        <f t="shared" si="20"/>
        <v>0</v>
      </c>
      <c r="K425" s="36">
        <f>IF(('Raw Data'!I426-16384)/32768&lt;0,0,('Raw Data'!I426-16384)/32768)</f>
        <v>0</v>
      </c>
      <c r="L425" s="4">
        <f>IF(('Raw Data'!J426-12010)/45.6=-263.377192982456,0,('Raw Data'!J426-12010)/45.6)</f>
        <v>0</v>
      </c>
      <c r="M425" s="16">
        <f>'Raw Data'!N426*2^-8</f>
        <v>0</v>
      </c>
      <c r="N425" s="16">
        <f>'Raw Data'!O426*2^-8</f>
        <v>0</v>
      </c>
      <c r="O425" s="17" t="str">
        <f>IF(BITWISE_AND('Raw Data'!$K426, 8192),"X","")</f>
        <v/>
      </c>
      <c r="P425" s="17" t="str">
        <f>IF(BITWISE_AND('Raw Data'!$K426, 2048),"X","")</f>
        <v/>
      </c>
      <c r="Q425" s="17" t="str">
        <f>IF(BITWISE_AND('Raw Data'!$K426, 64),"X","")</f>
        <v/>
      </c>
      <c r="R425" s="18" t="str">
        <f>IF(BITWISE_AND('Raw Data'!$L426, 1024),"X","")</f>
        <v/>
      </c>
      <c r="S425" s="18" t="str">
        <f>IF(BITWISE_AND('Raw Data'!$L426, 512),"X","")</f>
        <v/>
      </c>
      <c r="T425" s="18" t="str">
        <f>IF(BITWISE_AND('Raw Data'!$L426, 256),"X","")</f>
        <v/>
      </c>
      <c r="U425" s="18" t="str">
        <f>IF(BITWISE_AND('Raw Data'!$L426, 64),"X","")</f>
        <v/>
      </c>
      <c r="V425" s="18" t="str">
        <f>IF(BITWISE_AND('Raw Data'!$L426, 2),"X","")</f>
        <v/>
      </c>
      <c r="W425" s="18" t="str">
        <f>IF(BITWISE_AND('Raw Data'!$L426, 1),"X","")</f>
        <v/>
      </c>
      <c r="X425" s="19" t="str">
        <f>IF(BITWISE_AND('Raw Data'!M426, 1),"Bat Voltage", IF(BITWISE_AND('Raw Data'!M426, 2), "Charge Current", IF(BITWISE_AND('Raw Data'!M426, 4),"Input Ilim", IF(BITWISE_AND('Raw Data'!M426, 8), "Input UV", "none"))))</f>
        <v>none</v>
      </c>
    </row>
    <row r="426" spans="1:24" x14ac:dyDescent="0.2">
      <c r="A426" s="15">
        <f>A425+TIME(0,0,'Raw Data'!B426)</f>
        <v>0</v>
      </c>
      <c r="B426" s="4">
        <f>'Raw Data'!C427*0.025</f>
        <v>0</v>
      </c>
      <c r="C426" s="4">
        <f t="shared" si="21"/>
        <v>0</v>
      </c>
      <c r="D426" s="4">
        <f>'Raw Data'!D427*0.025</f>
        <v>0</v>
      </c>
      <c r="E426" s="4">
        <f t="shared" si="22"/>
        <v>0</v>
      </c>
      <c r="F426" s="4">
        <f>'Raw Data'!E427*0.001648</f>
        <v>0</v>
      </c>
      <c r="G426" s="4">
        <f>'Raw Data'!F427*0.001648</f>
        <v>0</v>
      </c>
      <c r="H426" s="4">
        <f>'Raw Data'!G427*6*0.000128176</f>
        <v>0</v>
      </c>
      <c r="I426" s="4">
        <f>'Raw Data'!H427*0.000732435</f>
        <v>0</v>
      </c>
      <c r="J426" s="4">
        <f t="shared" si="20"/>
        <v>0</v>
      </c>
      <c r="K426" s="36">
        <f>IF(('Raw Data'!I427-16384)/32768&lt;0,0,('Raw Data'!I427-16384)/32768)</f>
        <v>0</v>
      </c>
      <c r="L426" s="4">
        <f>IF(('Raw Data'!J427-12010)/45.6=-263.377192982456,0,('Raw Data'!J427-12010)/45.6)</f>
        <v>0</v>
      </c>
      <c r="M426" s="16">
        <f>'Raw Data'!N427*2^-8</f>
        <v>0</v>
      </c>
      <c r="N426" s="16">
        <f>'Raw Data'!O427*2^-8</f>
        <v>0</v>
      </c>
      <c r="O426" s="17" t="str">
        <f>IF(BITWISE_AND('Raw Data'!$K427, 8192),"X","")</f>
        <v/>
      </c>
      <c r="P426" s="17" t="str">
        <f>IF(BITWISE_AND('Raw Data'!$K427, 2048),"X","")</f>
        <v/>
      </c>
      <c r="Q426" s="17" t="str">
        <f>IF(BITWISE_AND('Raw Data'!$K427, 64),"X","")</f>
        <v/>
      </c>
      <c r="R426" s="18" t="str">
        <f>IF(BITWISE_AND('Raw Data'!$L427, 1024),"X","")</f>
        <v/>
      </c>
      <c r="S426" s="18" t="str">
        <f>IF(BITWISE_AND('Raw Data'!$L427, 512),"X","")</f>
        <v/>
      </c>
      <c r="T426" s="18" t="str">
        <f>IF(BITWISE_AND('Raw Data'!$L427, 256),"X","")</f>
        <v/>
      </c>
      <c r="U426" s="18" t="str">
        <f>IF(BITWISE_AND('Raw Data'!$L427, 64),"X","")</f>
        <v/>
      </c>
      <c r="V426" s="18" t="str">
        <f>IF(BITWISE_AND('Raw Data'!$L427, 2),"X","")</f>
        <v/>
      </c>
      <c r="W426" s="18" t="str">
        <f>IF(BITWISE_AND('Raw Data'!$L427, 1),"X","")</f>
        <v/>
      </c>
      <c r="X426" s="19" t="str">
        <f>IF(BITWISE_AND('Raw Data'!M427, 1),"Bat Voltage", IF(BITWISE_AND('Raw Data'!M427, 2), "Charge Current", IF(BITWISE_AND('Raw Data'!M427, 4),"Input Ilim", IF(BITWISE_AND('Raw Data'!M427, 8), "Input UV", "none"))))</f>
        <v>none</v>
      </c>
    </row>
    <row r="427" spans="1:24" x14ac:dyDescent="0.2">
      <c r="A427" s="15">
        <f>A426+TIME(0,0,'Raw Data'!B427)</f>
        <v>0</v>
      </c>
      <c r="B427" s="4">
        <f>'Raw Data'!C428*0.025</f>
        <v>0</v>
      </c>
      <c r="C427" s="4">
        <f t="shared" si="21"/>
        <v>0</v>
      </c>
      <c r="D427" s="4">
        <f>'Raw Data'!D428*0.025</f>
        <v>0</v>
      </c>
      <c r="E427" s="4">
        <f t="shared" si="22"/>
        <v>0</v>
      </c>
      <c r="F427" s="4">
        <f>'Raw Data'!E428*0.001648</f>
        <v>0</v>
      </c>
      <c r="G427" s="4">
        <f>'Raw Data'!F428*0.001648</f>
        <v>0</v>
      </c>
      <c r="H427" s="4">
        <f>'Raw Data'!G428*6*0.000128176</f>
        <v>0</v>
      </c>
      <c r="I427" s="4">
        <f>'Raw Data'!H428*0.000732435</f>
        <v>0</v>
      </c>
      <c r="J427" s="4">
        <f t="shared" si="20"/>
        <v>0</v>
      </c>
      <c r="K427" s="36">
        <f>IF(('Raw Data'!I428-16384)/32768&lt;0,0,('Raw Data'!I428-16384)/32768)</f>
        <v>0</v>
      </c>
      <c r="L427" s="4">
        <f>IF(('Raw Data'!J428-12010)/45.6=-263.377192982456,0,('Raw Data'!J428-12010)/45.6)</f>
        <v>0</v>
      </c>
      <c r="M427" s="16">
        <f>'Raw Data'!N428*2^-8</f>
        <v>0</v>
      </c>
      <c r="N427" s="16">
        <f>'Raw Data'!O428*2^-8</f>
        <v>0</v>
      </c>
      <c r="O427" s="17" t="str">
        <f>IF(BITWISE_AND('Raw Data'!$K428, 8192),"X","")</f>
        <v/>
      </c>
      <c r="P427" s="17" t="str">
        <f>IF(BITWISE_AND('Raw Data'!$K428, 2048),"X","")</f>
        <v/>
      </c>
      <c r="Q427" s="17" t="str">
        <f>IF(BITWISE_AND('Raw Data'!$K428, 64),"X","")</f>
        <v/>
      </c>
      <c r="R427" s="18" t="str">
        <f>IF(BITWISE_AND('Raw Data'!$L428, 1024),"X","")</f>
        <v/>
      </c>
      <c r="S427" s="18" t="str">
        <f>IF(BITWISE_AND('Raw Data'!$L428, 512),"X","")</f>
        <v/>
      </c>
      <c r="T427" s="18" t="str">
        <f>IF(BITWISE_AND('Raw Data'!$L428, 256),"X","")</f>
        <v/>
      </c>
      <c r="U427" s="18" t="str">
        <f>IF(BITWISE_AND('Raw Data'!$L428, 64),"X","")</f>
        <v/>
      </c>
      <c r="V427" s="18" t="str">
        <f>IF(BITWISE_AND('Raw Data'!$L428, 2),"X","")</f>
        <v/>
      </c>
      <c r="W427" s="18" t="str">
        <f>IF(BITWISE_AND('Raw Data'!$L428, 1),"X","")</f>
        <v/>
      </c>
      <c r="X427" s="19" t="str">
        <f>IF(BITWISE_AND('Raw Data'!M428, 1),"Bat Voltage", IF(BITWISE_AND('Raw Data'!M428, 2), "Charge Current", IF(BITWISE_AND('Raw Data'!M428, 4),"Input Ilim", IF(BITWISE_AND('Raw Data'!M428, 8), "Input UV", "none"))))</f>
        <v>none</v>
      </c>
    </row>
    <row r="428" spans="1:24" x14ac:dyDescent="0.2">
      <c r="A428" s="15">
        <f>A427+TIME(0,0,'Raw Data'!B428)</f>
        <v>0</v>
      </c>
      <c r="B428" s="4">
        <f>'Raw Data'!C429*0.025</f>
        <v>0</v>
      </c>
      <c r="C428" s="4">
        <f t="shared" si="21"/>
        <v>0</v>
      </c>
      <c r="D428" s="4">
        <f>'Raw Data'!D429*0.025</f>
        <v>0</v>
      </c>
      <c r="E428" s="4">
        <f t="shared" si="22"/>
        <v>0</v>
      </c>
      <c r="F428" s="4">
        <f>'Raw Data'!E429*0.001648</f>
        <v>0</v>
      </c>
      <c r="G428" s="4">
        <f>'Raw Data'!F429*0.001648</f>
        <v>0</v>
      </c>
      <c r="H428" s="4">
        <f>'Raw Data'!G429*6*0.000128176</f>
        <v>0</v>
      </c>
      <c r="I428" s="4">
        <f>'Raw Data'!H429*0.000732435</f>
        <v>0</v>
      </c>
      <c r="J428" s="4">
        <f t="shared" si="20"/>
        <v>0</v>
      </c>
      <c r="K428" s="36">
        <f>IF(('Raw Data'!I429-16384)/32768&lt;0,0,('Raw Data'!I429-16384)/32768)</f>
        <v>0</v>
      </c>
      <c r="L428" s="4">
        <f>IF(('Raw Data'!J429-12010)/45.6=-263.377192982456,0,('Raw Data'!J429-12010)/45.6)</f>
        <v>0</v>
      </c>
      <c r="M428" s="16">
        <f>'Raw Data'!N429*2^-8</f>
        <v>0</v>
      </c>
      <c r="N428" s="16">
        <f>'Raw Data'!O429*2^-8</f>
        <v>0</v>
      </c>
      <c r="O428" s="17" t="str">
        <f>IF(BITWISE_AND('Raw Data'!$K429, 8192),"X","")</f>
        <v/>
      </c>
      <c r="P428" s="17" t="str">
        <f>IF(BITWISE_AND('Raw Data'!$K429, 2048),"X","")</f>
        <v/>
      </c>
      <c r="Q428" s="17" t="str">
        <f>IF(BITWISE_AND('Raw Data'!$K429, 64),"X","")</f>
        <v/>
      </c>
      <c r="R428" s="18" t="str">
        <f>IF(BITWISE_AND('Raw Data'!$L429, 1024),"X","")</f>
        <v/>
      </c>
      <c r="S428" s="18" t="str">
        <f>IF(BITWISE_AND('Raw Data'!$L429, 512),"X","")</f>
        <v/>
      </c>
      <c r="T428" s="18" t="str">
        <f>IF(BITWISE_AND('Raw Data'!$L429, 256),"X","")</f>
        <v/>
      </c>
      <c r="U428" s="18" t="str">
        <f>IF(BITWISE_AND('Raw Data'!$L429, 64),"X","")</f>
        <v/>
      </c>
      <c r="V428" s="18" t="str">
        <f>IF(BITWISE_AND('Raw Data'!$L429, 2),"X","")</f>
        <v/>
      </c>
      <c r="W428" s="18" t="str">
        <f>IF(BITWISE_AND('Raw Data'!$L429, 1),"X","")</f>
        <v/>
      </c>
      <c r="X428" s="19" t="str">
        <f>IF(BITWISE_AND('Raw Data'!M429, 1),"Bat Voltage", IF(BITWISE_AND('Raw Data'!M429, 2), "Charge Current", IF(BITWISE_AND('Raw Data'!M429, 4),"Input Ilim", IF(BITWISE_AND('Raw Data'!M429, 8), "Input UV", "none"))))</f>
        <v>none</v>
      </c>
    </row>
    <row r="429" spans="1:24" x14ac:dyDescent="0.2">
      <c r="A429" s="15">
        <f>A428+TIME(0,0,'Raw Data'!B429)</f>
        <v>0</v>
      </c>
      <c r="B429" s="4">
        <f>'Raw Data'!C430*0.025</f>
        <v>0</v>
      </c>
      <c r="C429" s="4">
        <f t="shared" si="21"/>
        <v>0</v>
      </c>
      <c r="D429" s="4">
        <f>'Raw Data'!D430*0.025</f>
        <v>0</v>
      </c>
      <c r="E429" s="4">
        <f t="shared" si="22"/>
        <v>0</v>
      </c>
      <c r="F429" s="4">
        <f>'Raw Data'!E430*0.001648</f>
        <v>0</v>
      </c>
      <c r="G429" s="4">
        <f>'Raw Data'!F430*0.001648</f>
        <v>0</v>
      </c>
      <c r="H429" s="4">
        <f>'Raw Data'!G430*6*0.000128176</f>
        <v>0</v>
      </c>
      <c r="I429" s="4">
        <f>'Raw Data'!H430*0.000732435</f>
        <v>0</v>
      </c>
      <c r="J429" s="4">
        <f t="shared" si="20"/>
        <v>0</v>
      </c>
      <c r="K429" s="36">
        <f>IF(('Raw Data'!I430-16384)/32768&lt;0,0,('Raw Data'!I430-16384)/32768)</f>
        <v>0</v>
      </c>
      <c r="L429" s="4">
        <f>IF(('Raw Data'!J430-12010)/45.6=-263.377192982456,0,('Raw Data'!J430-12010)/45.6)</f>
        <v>0</v>
      </c>
      <c r="M429" s="16">
        <f>'Raw Data'!N430*2^-8</f>
        <v>0</v>
      </c>
      <c r="N429" s="16">
        <f>'Raw Data'!O430*2^-8</f>
        <v>0</v>
      </c>
      <c r="O429" s="17" t="str">
        <f>IF(BITWISE_AND('Raw Data'!$K430, 8192),"X","")</f>
        <v/>
      </c>
      <c r="P429" s="17" t="str">
        <f>IF(BITWISE_AND('Raw Data'!$K430, 2048),"X","")</f>
        <v/>
      </c>
      <c r="Q429" s="17" t="str">
        <f>IF(BITWISE_AND('Raw Data'!$K430, 64),"X","")</f>
        <v/>
      </c>
      <c r="R429" s="18" t="str">
        <f>IF(BITWISE_AND('Raw Data'!$L430, 1024),"X","")</f>
        <v/>
      </c>
      <c r="S429" s="18" t="str">
        <f>IF(BITWISE_AND('Raw Data'!$L430, 512),"X","")</f>
        <v/>
      </c>
      <c r="T429" s="18" t="str">
        <f>IF(BITWISE_AND('Raw Data'!$L430, 256),"X","")</f>
        <v/>
      </c>
      <c r="U429" s="18" t="str">
        <f>IF(BITWISE_AND('Raw Data'!$L430, 64),"X","")</f>
        <v/>
      </c>
      <c r="V429" s="18" t="str">
        <f>IF(BITWISE_AND('Raw Data'!$L430, 2),"X","")</f>
        <v/>
      </c>
      <c r="W429" s="18" t="str">
        <f>IF(BITWISE_AND('Raw Data'!$L430, 1),"X","")</f>
        <v/>
      </c>
      <c r="X429" s="19" t="str">
        <f>IF(BITWISE_AND('Raw Data'!M430, 1),"Bat Voltage", IF(BITWISE_AND('Raw Data'!M430, 2), "Charge Current", IF(BITWISE_AND('Raw Data'!M430, 4),"Input Ilim", IF(BITWISE_AND('Raw Data'!M430, 8), "Input UV", "none"))))</f>
        <v>none</v>
      </c>
    </row>
    <row r="430" spans="1:24" x14ac:dyDescent="0.2">
      <c r="A430" s="15">
        <f>A429+TIME(0,0,'Raw Data'!B430)</f>
        <v>0</v>
      </c>
      <c r="B430" s="4">
        <f>'Raw Data'!C431*0.025</f>
        <v>0</v>
      </c>
      <c r="C430" s="4">
        <f t="shared" si="21"/>
        <v>0</v>
      </c>
      <c r="D430" s="4">
        <f>'Raw Data'!D431*0.025</f>
        <v>0</v>
      </c>
      <c r="E430" s="4">
        <f t="shared" si="22"/>
        <v>0</v>
      </c>
      <c r="F430" s="4">
        <f>'Raw Data'!E431*0.001648</f>
        <v>0</v>
      </c>
      <c r="G430" s="4">
        <f>'Raw Data'!F431*0.001648</f>
        <v>0</v>
      </c>
      <c r="H430" s="4">
        <f>'Raw Data'!G431*6*0.000128176</f>
        <v>0</v>
      </c>
      <c r="I430" s="4">
        <f>'Raw Data'!H431*0.000732435</f>
        <v>0</v>
      </c>
      <c r="J430" s="4">
        <f t="shared" si="20"/>
        <v>0</v>
      </c>
      <c r="K430" s="36">
        <f>IF(('Raw Data'!I431-16384)/32768&lt;0,0,('Raw Data'!I431-16384)/32768)</f>
        <v>0</v>
      </c>
      <c r="L430" s="4">
        <f>IF(('Raw Data'!J431-12010)/45.6=-263.377192982456,0,('Raw Data'!J431-12010)/45.6)</f>
        <v>0</v>
      </c>
      <c r="M430" s="16">
        <f>'Raw Data'!N431*2^-8</f>
        <v>0</v>
      </c>
      <c r="N430" s="16">
        <f>'Raw Data'!O431*2^-8</f>
        <v>0</v>
      </c>
      <c r="O430" s="17" t="str">
        <f>IF(BITWISE_AND('Raw Data'!$K431, 8192),"X","")</f>
        <v/>
      </c>
      <c r="P430" s="17" t="str">
        <f>IF(BITWISE_AND('Raw Data'!$K431, 2048),"X","")</f>
        <v/>
      </c>
      <c r="Q430" s="17" t="str">
        <f>IF(BITWISE_AND('Raw Data'!$K431, 64),"X","")</f>
        <v/>
      </c>
      <c r="R430" s="18" t="str">
        <f>IF(BITWISE_AND('Raw Data'!$L431, 1024),"X","")</f>
        <v/>
      </c>
      <c r="S430" s="18" t="str">
        <f>IF(BITWISE_AND('Raw Data'!$L431, 512),"X","")</f>
        <v/>
      </c>
      <c r="T430" s="18" t="str">
        <f>IF(BITWISE_AND('Raw Data'!$L431, 256),"X","")</f>
        <v/>
      </c>
      <c r="U430" s="18" t="str">
        <f>IF(BITWISE_AND('Raw Data'!$L431, 64),"X","")</f>
        <v/>
      </c>
      <c r="V430" s="18" t="str">
        <f>IF(BITWISE_AND('Raw Data'!$L431, 2),"X","")</f>
        <v/>
      </c>
      <c r="W430" s="18" t="str">
        <f>IF(BITWISE_AND('Raw Data'!$L431, 1),"X","")</f>
        <v/>
      </c>
      <c r="X430" s="19" t="str">
        <f>IF(BITWISE_AND('Raw Data'!M431, 1),"Bat Voltage", IF(BITWISE_AND('Raw Data'!M431, 2), "Charge Current", IF(BITWISE_AND('Raw Data'!M431, 4),"Input Ilim", IF(BITWISE_AND('Raw Data'!M431, 8), "Input UV", "none"))))</f>
        <v>none</v>
      </c>
    </row>
    <row r="431" spans="1:24" x14ac:dyDescent="0.2">
      <c r="A431" s="15">
        <f>A430+TIME(0,0,'Raw Data'!B431)</f>
        <v>0</v>
      </c>
      <c r="B431" s="4">
        <f>'Raw Data'!C432*0.025</f>
        <v>0</v>
      </c>
      <c r="C431" s="4">
        <f t="shared" si="21"/>
        <v>0</v>
      </c>
      <c r="D431" s="4">
        <f>'Raw Data'!D432*0.025</f>
        <v>0</v>
      </c>
      <c r="E431" s="4">
        <f t="shared" si="22"/>
        <v>0</v>
      </c>
      <c r="F431" s="4">
        <f>'Raw Data'!E432*0.001648</f>
        <v>0</v>
      </c>
      <c r="G431" s="4">
        <f>'Raw Data'!F432*0.001648</f>
        <v>0</v>
      </c>
      <c r="H431" s="4">
        <f>'Raw Data'!G432*6*0.000128176</f>
        <v>0</v>
      </c>
      <c r="I431" s="4">
        <f>'Raw Data'!H432*0.000732435</f>
        <v>0</v>
      </c>
      <c r="J431" s="4">
        <f t="shared" si="20"/>
        <v>0</v>
      </c>
      <c r="K431" s="36">
        <f>IF(('Raw Data'!I432-16384)/32768&lt;0,0,('Raw Data'!I432-16384)/32768)</f>
        <v>0</v>
      </c>
      <c r="L431" s="4">
        <f>IF(('Raw Data'!J432-12010)/45.6=-263.377192982456,0,('Raw Data'!J432-12010)/45.6)</f>
        <v>0</v>
      </c>
      <c r="M431" s="16">
        <f>'Raw Data'!N432*2^-8</f>
        <v>0</v>
      </c>
      <c r="N431" s="16">
        <f>'Raw Data'!O432*2^-8</f>
        <v>0</v>
      </c>
      <c r="O431" s="17" t="str">
        <f>IF(BITWISE_AND('Raw Data'!$K432, 8192),"X","")</f>
        <v/>
      </c>
      <c r="P431" s="17" t="str">
        <f>IF(BITWISE_AND('Raw Data'!$K432, 2048),"X","")</f>
        <v/>
      </c>
      <c r="Q431" s="17" t="str">
        <f>IF(BITWISE_AND('Raw Data'!$K432, 64),"X","")</f>
        <v/>
      </c>
      <c r="R431" s="18" t="str">
        <f>IF(BITWISE_AND('Raw Data'!$L432, 1024),"X","")</f>
        <v/>
      </c>
      <c r="S431" s="18" t="str">
        <f>IF(BITWISE_AND('Raw Data'!$L432, 512),"X","")</f>
        <v/>
      </c>
      <c r="T431" s="18" t="str">
        <f>IF(BITWISE_AND('Raw Data'!$L432, 256),"X","")</f>
        <v/>
      </c>
      <c r="U431" s="18" t="str">
        <f>IF(BITWISE_AND('Raw Data'!$L432, 64),"X","")</f>
        <v/>
      </c>
      <c r="V431" s="18" t="str">
        <f>IF(BITWISE_AND('Raw Data'!$L432, 2),"X","")</f>
        <v/>
      </c>
      <c r="W431" s="18" t="str">
        <f>IF(BITWISE_AND('Raw Data'!$L432, 1),"X","")</f>
        <v/>
      </c>
      <c r="X431" s="19" t="str">
        <f>IF(BITWISE_AND('Raw Data'!M432, 1),"Bat Voltage", IF(BITWISE_AND('Raw Data'!M432, 2), "Charge Current", IF(BITWISE_AND('Raw Data'!M432, 4),"Input Ilim", IF(BITWISE_AND('Raw Data'!M432, 8), "Input UV", "none"))))</f>
        <v>none</v>
      </c>
    </row>
    <row r="432" spans="1:24" x14ac:dyDescent="0.2">
      <c r="A432" s="15">
        <f>A431+TIME(0,0,'Raw Data'!B432)</f>
        <v>0</v>
      </c>
      <c r="B432" s="4">
        <f>'Raw Data'!C433*0.025</f>
        <v>0</v>
      </c>
      <c r="C432" s="4">
        <f t="shared" si="21"/>
        <v>0</v>
      </c>
      <c r="D432" s="4">
        <f>'Raw Data'!D433*0.025</f>
        <v>0</v>
      </c>
      <c r="E432" s="4">
        <f t="shared" si="22"/>
        <v>0</v>
      </c>
      <c r="F432" s="4">
        <f>'Raw Data'!E433*0.001648</f>
        <v>0</v>
      </c>
      <c r="G432" s="4">
        <f>'Raw Data'!F433*0.001648</f>
        <v>0</v>
      </c>
      <c r="H432" s="4">
        <f>'Raw Data'!G433*6*0.000128176</f>
        <v>0</v>
      </c>
      <c r="I432" s="4">
        <f>'Raw Data'!H433*0.000732435</f>
        <v>0</v>
      </c>
      <c r="J432" s="4">
        <f t="shared" si="20"/>
        <v>0</v>
      </c>
      <c r="K432" s="36">
        <f>IF(('Raw Data'!I433-16384)/32768&lt;0,0,('Raw Data'!I433-16384)/32768)</f>
        <v>0</v>
      </c>
      <c r="L432" s="4">
        <f>IF(('Raw Data'!J433-12010)/45.6=-263.377192982456,0,('Raw Data'!J433-12010)/45.6)</f>
        <v>0</v>
      </c>
      <c r="M432" s="16">
        <f>'Raw Data'!N433*2^-8</f>
        <v>0</v>
      </c>
      <c r="N432" s="16">
        <f>'Raw Data'!O433*2^-8</f>
        <v>0</v>
      </c>
      <c r="O432" s="17" t="str">
        <f>IF(BITWISE_AND('Raw Data'!$K433, 8192),"X","")</f>
        <v/>
      </c>
      <c r="P432" s="17" t="str">
        <f>IF(BITWISE_AND('Raw Data'!$K433, 2048),"X","")</f>
        <v/>
      </c>
      <c r="Q432" s="17" t="str">
        <f>IF(BITWISE_AND('Raw Data'!$K433, 64),"X","")</f>
        <v/>
      </c>
      <c r="R432" s="18" t="str">
        <f>IF(BITWISE_AND('Raw Data'!$L433, 1024),"X","")</f>
        <v/>
      </c>
      <c r="S432" s="18" t="str">
        <f>IF(BITWISE_AND('Raw Data'!$L433, 512),"X","")</f>
        <v/>
      </c>
      <c r="T432" s="18" t="str">
        <f>IF(BITWISE_AND('Raw Data'!$L433, 256),"X","")</f>
        <v/>
      </c>
      <c r="U432" s="18" t="str">
        <f>IF(BITWISE_AND('Raw Data'!$L433, 64),"X","")</f>
        <v/>
      </c>
      <c r="V432" s="18" t="str">
        <f>IF(BITWISE_AND('Raw Data'!$L433, 2),"X","")</f>
        <v/>
      </c>
      <c r="W432" s="18" t="str">
        <f>IF(BITWISE_AND('Raw Data'!$L433, 1),"X","")</f>
        <v/>
      </c>
      <c r="X432" s="19" t="str">
        <f>IF(BITWISE_AND('Raw Data'!M433, 1),"Bat Voltage", IF(BITWISE_AND('Raw Data'!M433, 2), "Charge Current", IF(BITWISE_AND('Raw Data'!M433, 4),"Input Ilim", IF(BITWISE_AND('Raw Data'!M433, 8), "Input UV", "none"))))</f>
        <v>none</v>
      </c>
    </row>
    <row r="433" spans="1:24" x14ac:dyDescent="0.2">
      <c r="A433" s="15">
        <f>A432+TIME(0,0,'Raw Data'!B433)</f>
        <v>0</v>
      </c>
      <c r="B433" s="4">
        <f>'Raw Data'!C434*0.025</f>
        <v>0</v>
      </c>
      <c r="C433" s="4">
        <f t="shared" si="21"/>
        <v>0</v>
      </c>
      <c r="D433" s="4">
        <f>'Raw Data'!D434*0.025</f>
        <v>0</v>
      </c>
      <c r="E433" s="4">
        <f t="shared" si="22"/>
        <v>0</v>
      </c>
      <c r="F433" s="4">
        <f>'Raw Data'!E434*0.001648</f>
        <v>0</v>
      </c>
      <c r="G433" s="4">
        <f>'Raw Data'!F434*0.001648</f>
        <v>0</v>
      </c>
      <c r="H433" s="4">
        <f>'Raw Data'!G434*6*0.000128176</f>
        <v>0</v>
      </c>
      <c r="I433" s="4">
        <f>'Raw Data'!H434*0.000732435</f>
        <v>0</v>
      </c>
      <c r="J433" s="4">
        <f t="shared" si="20"/>
        <v>0</v>
      </c>
      <c r="K433" s="36">
        <f>IF(('Raw Data'!I434-16384)/32768&lt;0,0,('Raw Data'!I434-16384)/32768)</f>
        <v>0</v>
      </c>
      <c r="L433" s="4">
        <f>IF(('Raw Data'!J434-12010)/45.6=-263.377192982456,0,('Raw Data'!J434-12010)/45.6)</f>
        <v>0</v>
      </c>
      <c r="M433" s="16">
        <f>'Raw Data'!N434*2^-8</f>
        <v>0</v>
      </c>
      <c r="N433" s="16">
        <f>'Raw Data'!O434*2^-8</f>
        <v>0</v>
      </c>
      <c r="O433" s="17" t="str">
        <f>IF(BITWISE_AND('Raw Data'!$K434, 8192),"X","")</f>
        <v/>
      </c>
      <c r="P433" s="17" t="str">
        <f>IF(BITWISE_AND('Raw Data'!$K434, 2048),"X","")</f>
        <v/>
      </c>
      <c r="Q433" s="17" t="str">
        <f>IF(BITWISE_AND('Raw Data'!$K434, 64),"X","")</f>
        <v/>
      </c>
      <c r="R433" s="18" t="str">
        <f>IF(BITWISE_AND('Raw Data'!$L434, 1024),"X","")</f>
        <v/>
      </c>
      <c r="S433" s="18" t="str">
        <f>IF(BITWISE_AND('Raw Data'!$L434, 512),"X","")</f>
        <v/>
      </c>
      <c r="T433" s="18" t="str">
        <f>IF(BITWISE_AND('Raw Data'!$L434, 256),"X","")</f>
        <v/>
      </c>
      <c r="U433" s="18" t="str">
        <f>IF(BITWISE_AND('Raw Data'!$L434, 64),"X","")</f>
        <v/>
      </c>
      <c r="V433" s="18" t="str">
        <f>IF(BITWISE_AND('Raw Data'!$L434, 2),"X","")</f>
        <v/>
      </c>
      <c r="W433" s="18" t="str">
        <f>IF(BITWISE_AND('Raw Data'!$L434, 1),"X","")</f>
        <v/>
      </c>
      <c r="X433" s="19" t="str">
        <f>IF(BITWISE_AND('Raw Data'!M434, 1),"Bat Voltage", IF(BITWISE_AND('Raw Data'!M434, 2), "Charge Current", IF(BITWISE_AND('Raw Data'!M434, 4),"Input Ilim", IF(BITWISE_AND('Raw Data'!M434, 8), "Input UV", "none"))))</f>
        <v>none</v>
      </c>
    </row>
    <row r="434" spans="1:24" x14ac:dyDescent="0.2">
      <c r="A434" s="15">
        <f>A433+TIME(0,0,'Raw Data'!B434)</f>
        <v>0</v>
      </c>
      <c r="B434" s="4">
        <f>'Raw Data'!C435*0.025</f>
        <v>0</v>
      </c>
      <c r="C434" s="4">
        <f t="shared" si="21"/>
        <v>0</v>
      </c>
      <c r="D434" s="4">
        <f>'Raw Data'!D435*0.025</f>
        <v>0</v>
      </c>
      <c r="E434" s="4">
        <f t="shared" si="22"/>
        <v>0</v>
      </c>
      <c r="F434" s="4">
        <f>'Raw Data'!E435*0.001648</f>
        <v>0</v>
      </c>
      <c r="G434" s="4">
        <f>'Raw Data'!F435*0.001648</f>
        <v>0</v>
      </c>
      <c r="H434" s="4">
        <f>'Raw Data'!G435*6*0.000128176</f>
        <v>0</v>
      </c>
      <c r="I434" s="4">
        <f>'Raw Data'!H435*0.000732435</f>
        <v>0</v>
      </c>
      <c r="J434" s="4">
        <f t="shared" si="20"/>
        <v>0</v>
      </c>
      <c r="K434" s="36">
        <f>IF(('Raw Data'!I435-16384)/32768&lt;0,0,('Raw Data'!I435-16384)/32768)</f>
        <v>0</v>
      </c>
      <c r="L434" s="4">
        <f>IF(('Raw Data'!J435-12010)/45.6=-263.377192982456,0,('Raw Data'!J435-12010)/45.6)</f>
        <v>0</v>
      </c>
      <c r="M434" s="16">
        <f>'Raw Data'!N435*2^-8</f>
        <v>0</v>
      </c>
      <c r="N434" s="16">
        <f>'Raw Data'!O435*2^-8</f>
        <v>0</v>
      </c>
      <c r="O434" s="17" t="str">
        <f>IF(BITWISE_AND('Raw Data'!$K435, 8192),"X","")</f>
        <v/>
      </c>
      <c r="P434" s="17" t="str">
        <f>IF(BITWISE_AND('Raw Data'!$K435, 2048),"X","")</f>
        <v/>
      </c>
      <c r="Q434" s="17" t="str">
        <f>IF(BITWISE_AND('Raw Data'!$K435, 64),"X","")</f>
        <v/>
      </c>
      <c r="R434" s="18" t="str">
        <f>IF(BITWISE_AND('Raw Data'!$L435, 1024),"X","")</f>
        <v/>
      </c>
      <c r="S434" s="18" t="str">
        <f>IF(BITWISE_AND('Raw Data'!$L435, 512),"X","")</f>
        <v/>
      </c>
      <c r="T434" s="18" t="str">
        <f>IF(BITWISE_AND('Raw Data'!$L435, 256),"X","")</f>
        <v/>
      </c>
      <c r="U434" s="18" t="str">
        <f>IF(BITWISE_AND('Raw Data'!$L435, 64),"X","")</f>
        <v/>
      </c>
      <c r="V434" s="18" t="str">
        <f>IF(BITWISE_AND('Raw Data'!$L435, 2),"X","")</f>
        <v/>
      </c>
      <c r="W434" s="18" t="str">
        <f>IF(BITWISE_AND('Raw Data'!$L435, 1),"X","")</f>
        <v/>
      </c>
      <c r="X434" s="19" t="str">
        <f>IF(BITWISE_AND('Raw Data'!M435, 1),"Bat Voltage", IF(BITWISE_AND('Raw Data'!M435, 2), "Charge Current", IF(BITWISE_AND('Raw Data'!M435, 4),"Input Ilim", IF(BITWISE_AND('Raw Data'!M435, 8), "Input UV", "none"))))</f>
        <v>none</v>
      </c>
    </row>
    <row r="435" spans="1:24" x14ac:dyDescent="0.2">
      <c r="A435" s="15">
        <f>A434+TIME(0,0,'Raw Data'!B435)</f>
        <v>0</v>
      </c>
      <c r="B435" s="4">
        <f>'Raw Data'!C436*0.025</f>
        <v>0</v>
      </c>
      <c r="C435" s="4">
        <f t="shared" si="21"/>
        <v>0</v>
      </c>
      <c r="D435" s="4">
        <f>'Raw Data'!D436*0.025</f>
        <v>0</v>
      </c>
      <c r="E435" s="4">
        <f t="shared" si="22"/>
        <v>0</v>
      </c>
      <c r="F435" s="4">
        <f>'Raw Data'!E436*0.001648</f>
        <v>0</v>
      </c>
      <c r="G435" s="4">
        <f>'Raw Data'!F436*0.001648</f>
        <v>0</v>
      </c>
      <c r="H435" s="4">
        <f>'Raw Data'!G436*6*0.000128176</f>
        <v>0</v>
      </c>
      <c r="I435" s="4">
        <f>'Raw Data'!H436*0.000732435</f>
        <v>0</v>
      </c>
      <c r="J435" s="4">
        <f t="shared" si="20"/>
        <v>0</v>
      </c>
      <c r="K435" s="36">
        <f>IF(('Raw Data'!I436-16384)/32768&lt;0,0,('Raw Data'!I436-16384)/32768)</f>
        <v>0</v>
      </c>
      <c r="L435" s="4">
        <f>IF(('Raw Data'!J436-12010)/45.6=-263.377192982456,0,('Raw Data'!J436-12010)/45.6)</f>
        <v>0</v>
      </c>
      <c r="M435" s="16">
        <f>'Raw Data'!N436*2^-8</f>
        <v>0</v>
      </c>
      <c r="N435" s="16">
        <f>'Raw Data'!O436*2^-8</f>
        <v>0</v>
      </c>
      <c r="O435" s="17" t="str">
        <f>IF(BITWISE_AND('Raw Data'!$K436, 8192),"X","")</f>
        <v/>
      </c>
      <c r="P435" s="17" t="str">
        <f>IF(BITWISE_AND('Raw Data'!$K436, 2048),"X","")</f>
        <v/>
      </c>
      <c r="Q435" s="17" t="str">
        <f>IF(BITWISE_AND('Raw Data'!$K436, 64),"X","")</f>
        <v/>
      </c>
      <c r="R435" s="18" t="str">
        <f>IF(BITWISE_AND('Raw Data'!$L436, 1024),"X","")</f>
        <v/>
      </c>
      <c r="S435" s="18" t="str">
        <f>IF(BITWISE_AND('Raw Data'!$L436, 512),"X","")</f>
        <v/>
      </c>
      <c r="T435" s="18" t="str">
        <f>IF(BITWISE_AND('Raw Data'!$L436, 256),"X","")</f>
        <v/>
      </c>
      <c r="U435" s="18" t="str">
        <f>IF(BITWISE_AND('Raw Data'!$L436, 64),"X","")</f>
        <v/>
      </c>
      <c r="V435" s="18" t="str">
        <f>IF(BITWISE_AND('Raw Data'!$L436, 2),"X","")</f>
        <v/>
      </c>
      <c r="W435" s="18" t="str">
        <f>IF(BITWISE_AND('Raw Data'!$L436, 1),"X","")</f>
        <v/>
      </c>
      <c r="X435" s="19" t="str">
        <f>IF(BITWISE_AND('Raw Data'!M436, 1),"Bat Voltage", IF(BITWISE_AND('Raw Data'!M436, 2), "Charge Current", IF(BITWISE_AND('Raw Data'!M436, 4),"Input Ilim", IF(BITWISE_AND('Raw Data'!M436, 8), "Input UV", "none"))))</f>
        <v>none</v>
      </c>
    </row>
    <row r="436" spans="1:24" x14ac:dyDescent="0.2">
      <c r="A436" s="15">
        <f>A435+TIME(0,0,'Raw Data'!B436)</f>
        <v>0</v>
      </c>
      <c r="B436" s="4">
        <f>'Raw Data'!C437*0.025</f>
        <v>0</v>
      </c>
      <c r="C436" s="4">
        <f t="shared" si="21"/>
        <v>0</v>
      </c>
      <c r="D436" s="4">
        <f>'Raw Data'!D437*0.025</f>
        <v>0</v>
      </c>
      <c r="E436" s="4">
        <f t="shared" si="22"/>
        <v>0</v>
      </c>
      <c r="F436" s="4">
        <f>'Raw Data'!E437*0.001648</f>
        <v>0</v>
      </c>
      <c r="G436" s="4">
        <f>'Raw Data'!F437*0.001648</f>
        <v>0</v>
      </c>
      <c r="H436" s="4">
        <f>'Raw Data'!G437*6*0.000128176</f>
        <v>0</v>
      </c>
      <c r="I436" s="4">
        <f>'Raw Data'!H437*0.000732435</f>
        <v>0</v>
      </c>
      <c r="J436" s="4">
        <f t="shared" si="20"/>
        <v>0</v>
      </c>
      <c r="K436" s="36">
        <f>IF(('Raw Data'!I437-16384)/32768&lt;0,0,('Raw Data'!I437-16384)/32768)</f>
        <v>0</v>
      </c>
      <c r="L436" s="4">
        <f>IF(('Raw Data'!J437-12010)/45.6=-263.377192982456,0,('Raw Data'!J437-12010)/45.6)</f>
        <v>0</v>
      </c>
      <c r="M436" s="16">
        <f>'Raw Data'!N437*2^-8</f>
        <v>0</v>
      </c>
      <c r="N436" s="16">
        <f>'Raw Data'!O437*2^-8</f>
        <v>0</v>
      </c>
      <c r="O436" s="17" t="str">
        <f>IF(BITWISE_AND('Raw Data'!$K437, 8192),"X","")</f>
        <v/>
      </c>
      <c r="P436" s="17" t="str">
        <f>IF(BITWISE_AND('Raw Data'!$K437, 2048),"X","")</f>
        <v/>
      </c>
      <c r="Q436" s="17" t="str">
        <f>IF(BITWISE_AND('Raw Data'!$K437, 64),"X","")</f>
        <v/>
      </c>
      <c r="R436" s="18" t="str">
        <f>IF(BITWISE_AND('Raw Data'!$L437, 1024),"X","")</f>
        <v/>
      </c>
      <c r="S436" s="18" t="str">
        <f>IF(BITWISE_AND('Raw Data'!$L437, 512),"X","")</f>
        <v/>
      </c>
      <c r="T436" s="18" t="str">
        <f>IF(BITWISE_AND('Raw Data'!$L437, 256),"X","")</f>
        <v/>
      </c>
      <c r="U436" s="18" t="str">
        <f>IF(BITWISE_AND('Raw Data'!$L437, 64),"X","")</f>
        <v/>
      </c>
      <c r="V436" s="18" t="str">
        <f>IF(BITWISE_AND('Raw Data'!$L437, 2),"X","")</f>
        <v/>
      </c>
      <c r="W436" s="18" t="str">
        <f>IF(BITWISE_AND('Raw Data'!$L437, 1),"X","")</f>
        <v/>
      </c>
      <c r="X436" s="19" t="str">
        <f>IF(BITWISE_AND('Raw Data'!M437, 1),"Bat Voltage", IF(BITWISE_AND('Raw Data'!M437, 2), "Charge Current", IF(BITWISE_AND('Raw Data'!M437, 4),"Input Ilim", IF(BITWISE_AND('Raw Data'!M437, 8), "Input UV", "none"))))</f>
        <v>none</v>
      </c>
    </row>
    <row r="437" spans="1:24" x14ac:dyDescent="0.2">
      <c r="A437" s="15">
        <f>A436+TIME(0,0,'Raw Data'!B437)</f>
        <v>0</v>
      </c>
      <c r="B437" s="4">
        <f>'Raw Data'!C438*0.025</f>
        <v>0</v>
      </c>
      <c r="C437" s="4">
        <f t="shared" si="21"/>
        <v>0</v>
      </c>
      <c r="D437" s="4">
        <f>'Raw Data'!D438*0.025</f>
        <v>0</v>
      </c>
      <c r="E437" s="4">
        <f t="shared" si="22"/>
        <v>0</v>
      </c>
      <c r="F437" s="4">
        <f>'Raw Data'!E438*0.001648</f>
        <v>0</v>
      </c>
      <c r="G437" s="4">
        <f>'Raw Data'!F438*0.001648</f>
        <v>0</v>
      </c>
      <c r="H437" s="4">
        <f>'Raw Data'!G438*6*0.000128176</f>
        <v>0</v>
      </c>
      <c r="I437" s="4">
        <f>'Raw Data'!H438*0.000732435</f>
        <v>0</v>
      </c>
      <c r="J437" s="4">
        <f t="shared" si="20"/>
        <v>0</v>
      </c>
      <c r="K437" s="36">
        <f>IF(('Raw Data'!I438-16384)/32768&lt;0,0,('Raw Data'!I438-16384)/32768)</f>
        <v>0</v>
      </c>
      <c r="L437" s="4">
        <f>IF(('Raw Data'!J438-12010)/45.6=-263.377192982456,0,('Raw Data'!J438-12010)/45.6)</f>
        <v>0</v>
      </c>
      <c r="M437" s="16">
        <f>'Raw Data'!N438*2^-8</f>
        <v>0</v>
      </c>
      <c r="N437" s="16">
        <f>'Raw Data'!O438*2^-8</f>
        <v>0</v>
      </c>
      <c r="O437" s="17" t="str">
        <f>IF(BITWISE_AND('Raw Data'!$K438, 8192),"X","")</f>
        <v/>
      </c>
      <c r="P437" s="17" t="str">
        <f>IF(BITWISE_AND('Raw Data'!$K438, 2048),"X","")</f>
        <v/>
      </c>
      <c r="Q437" s="17" t="str">
        <f>IF(BITWISE_AND('Raw Data'!$K438, 64),"X","")</f>
        <v/>
      </c>
      <c r="R437" s="18" t="str">
        <f>IF(BITWISE_AND('Raw Data'!$L438, 1024),"X","")</f>
        <v/>
      </c>
      <c r="S437" s="18" t="str">
        <f>IF(BITWISE_AND('Raw Data'!$L438, 512),"X","")</f>
        <v/>
      </c>
      <c r="T437" s="18" t="str">
        <f>IF(BITWISE_AND('Raw Data'!$L438, 256),"X","")</f>
        <v/>
      </c>
      <c r="U437" s="18" t="str">
        <f>IF(BITWISE_AND('Raw Data'!$L438, 64),"X","")</f>
        <v/>
      </c>
      <c r="V437" s="18" t="str">
        <f>IF(BITWISE_AND('Raw Data'!$L438, 2),"X","")</f>
        <v/>
      </c>
      <c r="W437" s="18" t="str">
        <f>IF(BITWISE_AND('Raw Data'!$L438, 1),"X","")</f>
        <v/>
      </c>
      <c r="X437" s="19" t="str">
        <f>IF(BITWISE_AND('Raw Data'!M438, 1),"Bat Voltage", IF(BITWISE_AND('Raw Data'!M438, 2), "Charge Current", IF(BITWISE_AND('Raw Data'!M438, 4),"Input Ilim", IF(BITWISE_AND('Raw Data'!M438, 8), "Input UV", "none"))))</f>
        <v>none</v>
      </c>
    </row>
    <row r="438" spans="1:24" x14ac:dyDescent="0.2">
      <c r="A438" s="15">
        <f>A437+TIME(0,0,'Raw Data'!B438)</f>
        <v>0</v>
      </c>
      <c r="B438" s="4">
        <f>'Raw Data'!C439*0.025</f>
        <v>0</v>
      </c>
      <c r="C438" s="4">
        <f t="shared" si="21"/>
        <v>0</v>
      </c>
      <c r="D438" s="4">
        <f>'Raw Data'!D439*0.025</f>
        <v>0</v>
      </c>
      <c r="E438" s="4">
        <f t="shared" si="22"/>
        <v>0</v>
      </c>
      <c r="F438" s="4">
        <f>'Raw Data'!E439*0.001648</f>
        <v>0</v>
      </c>
      <c r="G438" s="4">
        <f>'Raw Data'!F439*0.001648</f>
        <v>0</v>
      </c>
      <c r="H438" s="4">
        <f>'Raw Data'!G439*6*0.000128176</f>
        <v>0</v>
      </c>
      <c r="I438" s="4">
        <f>'Raw Data'!H439*0.000732435</f>
        <v>0</v>
      </c>
      <c r="J438" s="4">
        <f t="shared" si="20"/>
        <v>0</v>
      </c>
      <c r="K438" s="36">
        <f>IF(('Raw Data'!I439-16384)/32768&lt;0,0,('Raw Data'!I439-16384)/32768)</f>
        <v>0</v>
      </c>
      <c r="L438" s="4">
        <f>IF(('Raw Data'!J439-12010)/45.6=-263.377192982456,0,('Raw Data'!J439-12010)/45.6)</f>
        <v>0</v>
      </c>
      <c r="M438" s="16">
        <f>'Raw Data'!N439*2^-8</f>
        <v>0</v>
      </c>
      <c r="N438" s="16">
        <f>'Raw Data'!O439*2^-8</f>
        <v>0</v>
      </c>
      <c r="O438" s="17" t="str">
        <f>IF(BITWISE_AND('Raw Data'!$K439, 8192),"X","")</f>
        <v/>
      </c>
      <c r="P438" s="17" t="str">
        <f>IF(BITWISE_AND('Raw Data'!$K439, 2048),"X","")</f>
        <v/>
      </c>
      <c r="Q438" s="17" t="str">
        <f>IF(BITWISE_AND('Raw Data'!$K439, 64),"X","")</f>
        <v/>
      </c>
      <c r="R438" s="18" t="str">
        <f>IF(BITWISE_AND('Raw Data'!$L439, 1024),"X","")</f>
        <v/>
      </c>
      <c r="S438" s="18" t="str">
        <f>IF(BITWISE_AND('Raw Data'!$L439, 512),"X","")</f>
        <v/>
      </c>
      <c r="T438" s="18" t="str">
        <f>IF(BITWISE_AND('Raw Data'!$L439, 256),"X","")</f>
        <v/>
      </c>
      <c r="U438" s="18" t="str">
        <f>IF(BITWISE_AND('Raw Data'!$L439, 64),"X","")</f>
        <v/>
      </c>
      <c r="V438" s="18" t="str">
        <f>IF(BITWISE_AND('Raw Data'!$L439, 2),"X","")</f>
        <v/>
      </c>
      <c r="W438" s="18" t="str">
        <f>IF(BITWISE_AND('Raw Data'!$L439, 1),"X","")</f>
        <v/>
      </c>
      <c r="X438" s="19" t="str">
        <f>IF(BITWISE_AND('Raw Data'!M439, 1),"Bat Voltage", IF(BITWISE_AND('Raw Data'!M439, 2), "Charge Current", IF(BITWISE_AND('Raw Data'!M439, 4),"Input Ilim", IF(BITWISE_AND('Raw Data'!M439, 8), "Input UV", "none"))))</f>
        <v>none</v>
      </c>
    </row>
    <row r="439" spans="1:24" x14ac:dyDescent="0.2">
      <c r="A439" s="15">
        <f>A438+TIME(0,0,'Raw Data'!B439)</f>
        <v>0</v>
      </c>
      <c r="B439" s="4">
        <f>'Raw Data'!C440*0.025</f>
        <v>0</v>
      </c>
      <c r="C439" s="4">
        <f t="shared" si="21"/>
        <v>0</v>
      </c>
      <c r="D439" s="4">
        <f>'Raw Data'!D440*0.025</f>
        <v>0</v>
      </c>
      <c r="E439" s="4">
        <f t="shared" si="22"/>
        <v>0</v>
      </c>
      <c r="F439" s="4">
        <f>'Raw Data'!E440*0.001648</f>
        <v>0</v>
      </c>
      <c r="G439" s="4">
        <f>'Raw Data'!F440*0.001648</f>
        <v>0</v>
      </c>
      <c r="H439" s="4">
        <f>'Raw Data'!G440*6*0.000128176</f>
        <v>0</v>
      </c>
      <c r="I439" s="4">
        <f>'Raw Data'!H440*0.000732435</f>
        <v>0</v>
      </c>
      <c r="J439" s="4">
        <f t="shared" si="20"/>
        <v>0</v>
      </c>
      <c r="K439" s="36">
        <f>IF(('Raw Data'!I440-16384)/32768&lt;0,0,('Raw Data'!I440-16384)/32768)</f>
        <v>0</v>
      </c>
      <c r="L439" s="4">
        <f>IF(('Raw Data'!J440-12010)/45.6=-263.377192982456,0,('Raw Data'!J440-12010)/45.6)</f>
        <v>0</v>
      </c>
      <c r="M439" s="16">
        <f>'Raw Data'!N440*2^-8</f>
        <v>0</v>
      </c>
      <c r="N439" s="16">
        <f>'Raw Data'!O440*2^-8</f>
        <v>0</v>
      </c>
      <c r="O439" s="17" t="str">
        <f>IF(BITWISE_AND('Raw Data'!$K440, 8192),"X","")</f>
        <v/>
      </c>
      <c r="P439" s="17" t="str">
        <f>IF(BITWISE_AND('Raw Data'!$K440, 2048),"X","")</f>
        <v/>
      </c>
      <c r="Q439" s="17" t="str">
        <f>IF(BITWISE_AND('Raw Data'!$K440, 64),"X","")</f>
        <v/>
      </c>
      <c r="R439" s="18" t="str">
        <f>IF(BITWISE_AND('Raw Data'!$L440, 1024),"X","")</f>
        <v/>
      </c>
      <c r="S439" s="18" t="str">
        <f>IF(BITWISE_AND('Raw Data'!$L440, 512),"X","")</f>
        <v/>
      </c>
      <c r="T439" s="18" t="str">
        <f>IF(BITWISE_AND('Raw Data'!$L440, 256),"X","")</f>
        <v/>
      </c>
      <c r="U439" s="18" t="str">
        <f>IF(BITWISE_AND('Raw Data'!$L440, 64),"X","")</f>
        <v/>
      </c>
      <c r="V439" s="18" t="str">
        <f>IF(BITWISE_AND('Raw Data'!$L440, 2),"X","")</f>
        <v/>
      </c>
      <c r="W439" s="18" t="str">
        <f>IF(BITWISE_AND('Raw Data'!$L440, 1),"X","")</f>
        <v/>
      </c>
      <c r="X439" s="19" t="str">
        <f>IF(BITWISE_AND('Raw Data'!M440, 1),"Bat Voltage", IF(BITWISE_AND('Raw Data'!M440, 2), "Charge Current", IF(BITWISE_AND('Raw Data'!M440, 4),"Input Ilim", IF(BITWISE_AND('Raw Data'!M440, 8), "Input UV", "none"))))</f>
        <v>none</v>
      </c>
    </row>
    <row r="440" spans="1:24" x14ac:dyDescent="0.2">
      <c r="A440" s="15">
        <f>A439+TIME(0,0,'Raw Data'!B440)</f>
        <v>0</v>
      </c>
      <c r="B440" s="4">
        <f>'Raw Data'!C441*0.025</f>
        <v>0</v>
      </c>
      <c r="C440" s="4">
        <f t="shared" si="21"/>
        <v>0</v>
      </c>
      <c r="D440" s="4">
        <f>'Raw Data'!D441*0.025</f>
        <v>0</v>
      </c>
      <c r="E440" s="4">
        <f t="shared" si="22"/>
        <v>0</v>
      </c>
      <c r="F440" s="4">
        <f>'Raw Data'!E441*0.001648</f>
        <v>0</v>
      </c>
      <c r="G440" s="4">
        <f>'Raw Data'!F441*0.001648</f>
        <v>0</v>
      </c>
      <c r="H440" s="4">
        <f>'Raw Data'!G441*6*0.000128176</f>
        <v>0</v>
      </c>
      <c r="I440" s="4">
        <f>'Raw Data'!H441*0.000732435</f>
        <v>0</v>
      </c>
      <c r="J440" s="4">
        <f t="shared" si="20"/>
        <v>0</v>
      </c>
      <c r="K440" s="36">
        <f>IF(('Raw Data'!I441-16384)/32768&lt;0,0,('Raw Data'!I441-16384)/32768)</f>
        <v>0</v>
      </c>
      <c r="L440" s="4">
        <f>IF(('Raw Data'!J441-12010)/45.6=-263.377192982456,0,('Raw Data'!J441-12010)/45.6)</f>
        <v>0</v>
      </c>
      <c r="M440" s="16">
        <f>'Raw Data'!N441*2^-8</f>
        <v>0</v>
      </c>
      <c r="N440" s="16">
        <f>'Raw Data'!O441*2^-8</f>
        <v>0</v>
      </c>
      <c r="O440" s="17" t="str">
        <f>IF(BITWISE_AND('Raw Data'!$K441, 8192),"X","")</f>
        <v/>
      </c>
      <c r="P440" s="17" t="str">
        <f>IF(BITWISE_AND('Raw Data'!$K441, 2048),"X","")</f>
        <v/>
      </c>
      <c r="Q440" s="17" t="str">
        <f>IF(BITWISE_AND('Raw Data'!$K441, 64),"X","")</f>
        <v/>
      </c>
      <c r="R440" s="18" t="str">
        <f>IF(BITWISE_AND('Raw Data'!$L441, 1024),"X","")</f>
        <v/>
      </c>
      <c r="S440" s="18" t="str">
        <f>IF(BITWISE_AND('Raw Data'!$L441, 512),"X","")</f>
        <v/>
      </c>
      <c r="T440" s="18" t="str">
        <f>IF(BITWISE_AND('Raw Data'!$L441, 256),"X","")</f>
        <v/>
      </c>
      <c r="U440" s="18" t="str">
        <f>IF(BITWISE_AND('Raw Data'!$L441, 64),"X","")</f>
        <v/>
      </c>
      <c r="V440" s="18" t="str">
        <f>IF(BITWISE_AND('Raw Data'!$L441, 2),"X","")</f>
        <v/>
      </c>
      <c r="W440" s="18" t="str">
        <f>IF(BITWISE_AND('Raw Data'!$L441, 1),"X","")</f>
        <v/>
      </c>
      <c r="X440" s="19" t="str">
        <f>IF(BITWISE_AND('Raw Data'!M441, 1),"Bat Voltage", IF(BITWISE_AND('Raw Data'!M441, 2), "Charge Current", IF(BITWISE_AND('Raw Data'!M441, 4),"Input Ilim", IF(BITWISE_AND('Raw Data'!M441, 8), "Input UV", "none"))))</f>
        <v>none</v>
      </c>
    </row>
    <row r="441" spans="1:24" x14ac:dyDescent="0.2">
      <c r="A441" s="15">
        <f>A440+TIME(0,0,'Raw Data'!B441)</f>
        <v>0</v>
      </c>
      <c r="B441" s="4">
        <f>'Raw Data'!C442*0.025</f>
        <v>0</v>
      </c>
      <c r="C441" s="4">
        <f t="shared" si="21"/>
        <v>0</v>
      </c>
      <c r="D441" s="4">
        <f>'Raw Data'!D442*0.025</f>
        <v>0</v>
      </c>
      <c r="E441" s="4">
        <f t="shared" si="22"/>
        <v>0</v>
      </c>
      <c r="F441" s="4">
        <f>'Raw Data'!E442*0.001648</f>
        <v>0</v>
      </c>
      <c r="G441" s="4">
        <f>'Raw Data'!F442*0.001648</f>
        <v>0</v>
      </c>
      <c r="H441" s="4">
        <f>'Raw Data'!G442*6*0.000128176</f>
        <v>0</v>
      </c>
      <c r="I441" s="4">
        <f>'Raw Data'!H442*0.000732435</f>
        <v>0</v>
      </c>
      <c r="J441" s="4">
        <f t="shared" si="20"/>
        <v>0</v>
      </c>
      <c r="K441" s="36">
        <f>IF(('Raw Data'!I442-16384)/32768&lt;0,0,('Raw Data'!I442-16384)/32768)</f>
        <v>0</v>
      </c>
      <c r="L441" s="4">
        <f>IF(('Raw Data'!J442-12010)/45.6=-263.377192982456,0,('Raw Data'!J442-12010)/45.6)</f>
        <v>0</v>
      </c>
      <c r="M441" s="16">
        <f>'Raw Data'!N442*2^-8</f>
        <v>0</v>
      </c>
      <c r="N441" s="16">
        <f>'Raw Data'!O442*2^-8</f>
        <v>0</v>
      </c>
      <c r="O441" s="17" t="str">
        <f>IF(BITWISE_AND('Raw Data'!$K442, 8192),"X","")</f>
        <v/>
      </c>
      <c r="P441" s="17" t="str">
        <f>IF(BITWISE_AND('Raw Data'!$K442, 2048),"X","")</f>
        <v/>
      </c>
      <c r="Q441" s="17" t="str">
        <f>IF(BITWISE_AND('Raw Data'!$K442, 64),"X","")</f>
        <v/>
      </c>
      <c r="R441" s="18" t="str">
        <f>IF(BITWISE_AND('Raw Data'!$L442, 1024),"X","")</f>
        <v/>
      </c>
      <c r="S441" s="18" t="str">
        <f>IF(BITWISE_AND('Raw Data'!$L442, 512),"X","")</f>
        <v/>
      </c>
      <c r="T441" s="18" t="str">
        <f>IF(BITWISE_AND('Raw Data'!$L442, 256),"X","")</f>
        <v/>
      </c>
      <c r="U441" s="18" t="str">
        <f>IF(BITWISE_AND('Raw Data'!$L442, 64),"X","")</f>
        <v/>
      </c>
      <c r="V441" s="18" t="str">
        <f>IF(BITWISE_AND('Raw Data'!$L442, 2),"X","")</f>
        <v/>
      </c>
      <c r="W441" s="18" t="str">
        <f>IF(BITWISE_AND('Raw Data'!$L442, 1),"X","")</f>
        <v/>
      </c>
      <c r="X441" s="19" t="str">
        <f>IF(BITWISE_AND('Raw Data'!M442, 1),"Bat Voltage", IF(BITWISE_AND('Raw Data'!M442, 2), "Charge Current", IF(BITWISE_AND('Raw Data'!M442, 4),"Input Ilim", IF(BITWISE_AND('Raw Data'!M442, 8), "Input UV", "none"))))</f>
        <v>none</v>
      </c>
    </row>
    <row r="442" spans="1:24" x14ac:dyDescent="0.2">
      <c r="A442" s="15">
        <f>A441+TIME(0,0,'Raw Data'!B442)</f>
        <v>0</v>
      </c>
      <c r="B442" s="4">
        <f>'Raw Data'!C443*0.025</f>
        <v>0</v>
      </c>
      <c r="C442" s="4">
        <f t="shared" si="21"/>
        <v>0</v>
      </c>
      <c r="D442" s="4">
        <f>'Raw Data'!D443*0.025</f>
        <v>0</v>
      </c>
      <c r="E442" s="4">
        <f t="shared" si="22"/>
        <v>0</v>
      </c>
      <c r="F442" s="4">
        <f>'Raw Data'!E443*0.001648</f>
        <v>0</v>
      </c>
      <c r="G442" s="4">
        <f>'Raw Data'!F443*0.001648</f>
        <v>0</v>
      </c>
      <c r="H442" s="4">
        <f>'Raw Data'!G443*6*0.000128176</f>
        <v>0</v>
      </c>
      <c r="I442" s="4">
        <f>'Raw Data'!H443*0.000732435</f>
        <v>0</v>
      </c>
      <c r="J442" s="4">
        <f t="shared" si="20"/>
        <v>0</v>
      </c>
      <c r="K442" s="36">
        <f>IF(('Raw Data'!I443-16384)/32768&lt;0,0,('Raw Data'!I443-16384)/32768)</f>
        <v>0</v>
      </c>
      <c r="L442" s="4">
        <f>IF(('Raw Data'!J443-12010)/45.6=-263.377192982456,0,('Raw Data'!J443-12010)/45.6)</f>
        <v>0</v>
      </c>
      <c r="M442" s="16">
        <f>'Raw Data'!N443*2^-8</f>
        <v>0</v>
      </c>
      <c r="N442" s="16">
        <f>'Raw Data'!O443*2^-8</f>
        <v>0</v>
      </c>
      <c r="O442" s="17" t="str">
        <f>IF(BITWISE_AND('Raw Data'!$K443, 8192),"X","")</f>
        <v/>
      </c>
      <c r="P442" s="17" t="str">
        <f>IF(BITWISE_AND('Raw Data'!$K443, 2048),"X","")</f>
        <v/>
      </c>
      <c r="Q442" s="17" t="str">
        <f>IF(BITWISE_AND('Raw Data'!$K443, 64),"X","")</f>
        <v/>
      </c>
      <c r="R442" s="18" t="str">
        <f>IF(BITWISE_AND('Raw Data'!$L443, 1024),"X","")</f>
        <v/>
      </c>
      <c r="S442" s="18" t="str">
        <f>IF(BITWISE_AND('Raw Data'!$L443, 512),"X","")</f>
        <v/>
      </c>
      <c r="T442" s="18" t="str">
        <f>IF(BITWISE_AND('Raw Data'!$L443, 256),"X","")</f>
        <v/>
      </c>
      <c r="U442" s="18" t="str">
        <f>IF(BITWISE_AND('Raw Data'!$L443, 64),"X","")</f>
        <v/>
      </c>
      <c r="V442" s="18" t="str">
        <f>IF(BITWISE_AND('Raw Data'!$L443, 2),"X","")</f>
        <v/>
      </c>
      <c r="W442" s="18" t="str">
        <f>IF(BITWISE_AND('Raw Data'!$L443, 1),"X","")</f>
        <v/>
      </c>
      <c r="X442" s="19" t="str">
        <f>IF(BITWISE_AND('Raw Data'!M443, 1),"Bat Voltage", IF(BITWISE_AND('Raw Data'!M443, 2), "Charge Current", IF(BITWISE_AND('Raw Data'!M443, 4),"Input Ilim", IF(BITWISE_AND('Raw Data'!M443, 8), "Input UV", "none"))))</f>
        <v>none</v>
      </c>
    </row>
    <row r="443" spans="1:24" x14ac:dyDescent="0.2">
      <c r="A443" s="15">
        <f>A442+TIME(0,0,'Raw Data'!B443)</f>
        <v>0</v>
      </c>
      <c r="B443" s="4">
        <f>'Raw Data'!C444*0.025</f>
        <v>0</v>
      </c>
      <c r="C443" s="4">
        <f t="shared" si="21"/>
        <v>0</v>
      </c>
      <c r="D443" s="4">
        <f>'Raw Data'!D444*0.025</f>
        <v>0</v>
      </c>
      <c r="E443" s="4">
        <f t="shared" si="22"/>
        <v>0</v>
      </c>
      <c r="F443" s="4">
        <f>'Raw Data'!E444*0.001648</f>
        <v>0</v>
      </c>
      <c r="G443" s="4">
        <f>'Raw Data'!F444*0.001648</f>
        <v>0</v>
      </c>
      <c r="H443" s="4">
        <f>'Raw Data'!G444*6*0.000128176</f>
        <v>0</v>
      </c>
      <c r="I443" s="4">
        <f>'Raw Data'!H444*0.000732435</f>
        <v>0</v>
      </c>
      <c r="J443" s="4">
        <f t="shared" si="20"/>
        <v>0</v>
      </c>
      <c r="K443" s="36">
        <f>IF(('Raw Data'!I444-16384)/32768&lt;0,0,('Raw Data'!I444-16384)/32768)</f>
        <v>0</v>
      </c>
      <c r="L443" s="4">
        <f>IF(('Raw Data'!J444-12010)/45.6=-263.377192982456,0,('Raw Data'!J444-12010)/45.6)</f>
        <v>0</v>
      </c>
      <c r="M443" s="16">
        <f>'Raw Data'!N444*2^-8</f>
        <v>0</v>
      </c>
      <c r="N443" s="16">
        <f>'Raw Data'!O444*2^-8</f>
        <v>0</v>
      </c>
      <c r="O443" s="17" t="str">
        <f>IF(BITWISE_AND('Raw Data'!$K444, 8192),"X","")</f>
        <v/>
      </c>
      <c r="P443" s="17" t="str">
        <f>IF(BITWISE_AND('Raw Data'!$K444, 2048),"X","")</f>
        <v/>
      </c>
      <c r="Q443" s="17" t="str">
        <f>IF(BITWISE_AND('Raw Data'!$K444, 64),"X","")</f>
        <v/>
      </c>
      <c r="R443" s="18" t="str">
        <f>IF(BITWISE_AND('Raw Data'!$L444, 1024),"X","")</f>
        <v/>
      </c>
      <c r="S443" s="18" t="str">
        <f>IF(BITWISE_AND('Raw Data'!$L444, 512),"X","")</f>
        <v/>
      </c>
      <c r="T443" s="18" t="str">
        <f>IF(BITWISE_AND('Raw Data'!$L444, 256),"X","")</f>
        <v/>
      </c>
      <c r="U443" s="18" t="str">
        <f>IF(BITWISE_AND('Raw Data'!$L444, 64),"X","")</f>
        <v/>
      </c>
      <c r="V443" s="18" t="str">
        <f>IF(BITWISE_AND('Raw Data'!$L444, 2),"X","")</f>
        <v/>
      </c>
      <c r="W443" s="18" t="str">
        <f>IF(BITWISE_AND('Raw Data'!$L444, 1),"X","")</f>
        <v/>
      </c>
      <c r="X443" s="19" t="str">
        <f>IF(BITWISE_AND('Raw Data'!M444, 1),"Bat Voltage", IF(BITWISE_AND('Raw Data'!M444, 2), "Charge Current", IF(BITWISE_AND('Raw Data'!M444, 4),"Input Ilim", IF(BITWISE_AND('Raw Data'!M444, 8), "Input UV", "none"))))</f>
        <v>none</v>
      </c>
    </row>
    <row r="444" spans="1:24" x14ac:dyDescent="0.2">
      <c r="A444" s="15">
        <f>A443+TIME(0,0,'Raw Data'!B444)</f>
        <v>0</v>
      </c>
      <c r="B444" s="4">
        <f>'Raw Data'!C445*0.025</f>
        <v>0</v>
      </c>
      <c r="C444" s="4">
        <f t="shared" si="21"/>
        <v>0</v>
      </c>
      <c r="D444" s="4">
        <f>'Raw Data'!D445*0.025</f>
        <v>0</v>
      </c>
      <c r="E444" s="4">
        <f t="shared" si="22"/>
        <v>0</v>
      </c>
      <c r="F444" s="4">
        <f>'Raw Data'!E445*0.001648</f>
        <v>0</v>
      </c>
      <c r="G444" s="4">
        <f>'Raw Data'!F445*0.001648</f>
        <v>0</v>
      </c>
      <c r="H444" s="4">
        <f>'Raw Data'!G445*6*0.000128176</f>
        <v>0</v>
      </c>
      <c r="I444" s="4">
        <f>'Raw Data'!H445*0.000732435</f>
        <v>0</v>
      </c>
      <c r="J444" s="4">
        <f t="shared" si="20"/>
        <v>0</v>
      </c>
      <c r="K444" s="36">
        <f>IF(('Raw Data'!I445-16384)/32768&lt;0,0,('Raw Data'!I445-16384)/32768)</f>
        <v>0</v>
      </c>
      <c r="L444" s="4">
        <f>IF(('Raw Data'!J445-12010)/45.6=-263.377192982456,0,('Raw Data'!J445-12010)/45.6)</f>
        <v>0</v>
      </c>
      <c r="M444" s="16">
        <f>'Raw Data'!N445*2^-8</f>
        <v>0</v>
      </c>
      <c r="N444" s="16">
        <f>'Raw Data'!O445*2^-8</f>
        <v>0</v>
      </c>
      <c r="O444" s="17" t="str">
        <f>IF(BITWISE_AND('Raw Data'!$K445, 8192),"X","")</f>
        <v/>
      </c>
      <c r="P444" s="17" t="str">
        <f>IF(BITWISE_AND('Raw Data'!$K445, 2048),"X","")</f>
        <v/>
      </c>
      <c r="Q444" s="17" t="str">
        <f>IF(BITWISE_AND('Raw Data'!$K445, 64),"X","")</f>
        <v/>
      </c>
      <c r="R444" s="18" t="str">
        <f>IF(BITWISE_AND('Raw Data'!$L445, 1024),"X","")</f>
        <v/>
      </c>
      <c r="S444" s="18" t="str">
        <f>IF(BITWISE_AND('Raw Data'!$L445, 512),"X","")</f>
        <v/>
      </c>
      <c r="T444" s="18" t="str">
        <f>IF(BITWISE_AND('Raw Data'!$L445, 256),"X","")</f>
        <v/>
      </c>
      <c r="U444" s="18" t="str">
        <f>IF(BITWISE_AND('Raw Data'!$L445, 64),"X","")</f>
        <v/>
      </c>
      <c r="V444" s="18" t="str">
        <f>IF(BITWISE_AND('Raw Data'!$L445, 2),"X","")</f>
        <v/>
      </c>
      <c r="W444" s="18" t="str">
        <f>IF(BITWISE_AND('Raw Data'!$L445, 1),"X","")</f>
        <v/>
      </c>
      <c r="X444" s="19" t="str">
        <f>IF(BITWISE_AND('Raw Data'!M445, 1),"Bat Voltage", IF(BITWISE_AND('Raw Data'!M445, 2), "Charge Current", IF(BITWISE_AND('Raw Data'!M445, 4),"Input Ilim", IF(BITWISE_AND('Raw Data'!M445, 8), "Input UV", "none"))))</f>
        <v>none</v>
      </c>
    </row>
    <row r="445" spans="1:24" x14ac:dyDescent="0.2">
      <c r="A445" s="15">
        <f>A444+TIME(0,0,'Raw Data'!B445)</f>
        <v>0</v>
      </c>
      <c r="B445" s="4">
        <f>'Raw Data'!C446*0.025</f>
        <v>0</v>
      </c>
      <c r="C445" s="4">
        <f t="shared" si="21"/>
        <v>0</v>
      </c>
      <c r="D445" s="4">
        <f>'Raw Data'!D446*0.025</f>
        <v>0</v>
      </c>
      <c r="E445" s="4">
        <f t="shared" si="22"/>
        <v>0</v>
      </c>
      <c r="F445" s="4">
        <f>'Raw Data'!E446*0.001648</f>
        <v>0</v>
      </c>
      <c r="G445" s="4">
        <f>'Raw Data'!F446*0.001648</f>
        <v>0</v>
      </c>
      <c r="H445" s="4">
        <f>'Raw Data'!G446*6*0.000128176</f>
        <v>0</v>
      </c>
      <c r="I445" s="4">
        <f>'Raw Data'!H446*0.000732435</f>
        <v>0</v>
      </c>
      <c r="J445" s="4">
        <f t="shared" si="20"/>
        <v>0</v>
      </c>
      <c r="K445" s="36">
        <f>IF(('Raw Data'!I446-16384)/32768&lt;0,0,('Raw Data'!I446-16384)/32768)</f>
        <v>0</v>
      </c>
      <c r="L445" s="4">
        <f>IF(('Raw Data'!J446-12010)/45.6=-263.377192982456,0,('Raw Data'!J446-12010)/45.6)</f>
        <v>0</v>
      </c>
      <c r="M445" s="16">
        <f>'Raw Data'!N446*2^-8</f>
        <v>0</v>
      </c>
      <c r="N445" s="16">
        <f>'Raw Data'!O446*2^-8</f>
        <v>0</v>
      </c>
      <c r="O445" s="17" t="str">
        <f>IF(BITWISE_AND('Raw Data'!$K446, 8192),"X","")</f>
        <v/>
      </c>
      <c r="P445" s="17" t="str">
        <f>IF(BITWISE_AND('Raw Data'!$K446, 2048),"X","")</f>
        <v/>
      </c>
      <c r="Q445" s="17" t="str">
        <f>IF(BITWISE_AND('Raw Data'!$K446, 64),"X","")</f>
        <v/>
      </c>
      <c r="R445" s="18" t="str">
        <f>IF(BITWISE_AND('Raw Data'!$L446, 1024),"X","")</f>
        <v/>
      </c>
      <c r="S445" s="18" t="str">
        <f>IF(BITWISE_AND('Raw Data'!$L446, 512),"X","")</f>
        <v/>
      </c>
      <c r="T445" s="18" t="str">
        <f>IF(BITWISE_AND('Raw Data'!$L446, 256),"X","")</f>
        <v/>
      </c>
      <c r="U445" s="18" t="str">
        <f>IF(BITWISE_AND('Raw Data'!$L446, 64),"X","")</f>
        <v/>
      </c>
      <c r="V445" s="18" t="str">
        <f>IF(BITWISE_AND('Raw Data'!$L446, 2),"X","")</f>
        <v/>
      </c>
      <c r="W445" s="18" t="str">
        <f>IF(BITWISE_AND('Raw Data'!$L446, 1),"X","")</f>
        <v/>
      </c>
      <c r="X445" s="19" t="str">
        <f>IF(BITWISE_AND('Raw Data'!M446, 1),"Bat Voltage", IF(BITWISE_AND('Raw Data'!M446, 2), "Charge Current", IF(BITWISE_AND('Raw Data'!M446, 4),"Input Ilim", IF(BITWISE_AND('Raw Data'!M446, 8), "Input UV", "none"))))</f>
        <v>none</v>
      </c>
    </row>
    <row r="446" spans="1:24" x14ac:dyDescent="0.2">
      <c r="A446" s="15">
        <f>A445+TIME(0,0,'Raw Data'!B446)</f>
        <v>0</v>
      </c>
      <c r="B446" s="4">
        <f>'Raw Data'!C447*0.025</f>
        <v>0</v>
      </c>
      <c r="C446" s="4">
        <f t="shared" si="21"/>
        <v>0</v>
      </c>
      <c r="D446" s="4">
        <f>'Raw Data'!D447*0.025</f>
        <v>0</v>
      </c>
      <c r="E446" s="4">
        <f t="shared" si="22"/>
        <v>0</v>
      </c>
      <c r="F446" s="4">
        <f>'Raw Data'!E447*0.001648</f>
        <v>0</v>
      </c>
      <c r="G446" s="4">
        <f>'Raw Data'!F447*0.001648</f>
        <v>0</v>
      </c>
      <c r="H446" s="4">
        <f>'Raw Data'!G447*6*0.000128176</f>
        <v>0</v>
      </c>
      <c r="I446" s="4">
        <f>'Raw Data'!H447*0.000732435</f>
        <v>0</v>
      </c>
      <c r="J446" s="4">
        <f t="shared" si="20"/>
        <v>0</v>
      </c>
      <c r="K446" s="36">
        <f>IF(('Raw Data'!I447-16384)/32768&lt;0,0,('Raw Data'!I447-16384)/32768)</f>
        <v>0</v>
      </c>
      <c r="L446" s="4">
        <f>IF(('Raw Data'!J447-12010)/45.6=-263.377192982456,0,('Raw Data'!J447-12010)/45.6)</f>
        <v>0</v>
      </c>
      <c r="M446" s="16">
        <f>'Raw Data'!N447*2^-8</f>
        <v>0</v>
      </c>
      <c r="N446" s="16">
        <f>'Raw Data'!O447*2^-8</f>
        <v>0</v>
      </c>
      <c r="O446" s="17" t="str">
        <f>IF(BITWISE_AND('Raw Data'!$K447, 8192),"X","")</f>
        <v/>
      </c>
      <c r="P446" s="17" t="str">
        <f>IF(BITWISE_AND('Raw Data'!$K447, 2048),"X","")</f>
        <v/>
      </c>
      <c r="Q446" s="17" t="str">
        <f>IF(BITWISE_AND('Raw Data'!$K447, 64),"X","")</f>
        <v/>
      </c>
      <c r="R446" s="18" t="str">
        <f>IF(BITWISE_AND('Raw Data'!$L447, 1024),"X","")</f>
        <v/>
      </c>
      <c r="S446" s="18" t="str">
        <f>IF(BITWISE_AND('Raw Data'!$L447, 512),"X","")</f>
        <v/>
      </c>
      <c r="T446" s="18" t="str">
        <f>IF(BITWISE_AND('Raw Data'!$L447, 256),"X","")</f>
        <v/>
      </c>
      <c r="U446" s="18" t="str">
        <f>IF(BITWISE_AND('Raw Data'!$L447, 64),"X","")</f>
        <v/>
      </c>
      <c r="V446" s="18" t="str">
        <f>IF(BITWISE_AND('Raw Data'!$L447, 2),"X","")</f>
        <v/>
      </c>
      <c r="W446" s="18" t="str">
        <f>IF(BITWISE_AND('Raw Data'!$L447, 1),"X","")</f>
        <v/>
      </c>
      <c r="X446" s="19" t="str">
        <f>IF(BITWISE_AND('Raw Data'!M447, 1),"Bat Voltage", IF(BITWISE_AND('Raw Data'!M447, 2), "Charge Current", IF(BITWISE_AND('Raw Data'!M447, 4),"Input Ilim", IF(BITWISE_AND('Raw Data'!M447, 8), "Input UV", "none"))))</f>
        <v>none</v>
      </c>
    </row>
    <row r="447" spans="1:24" x14ac:dyDescent="0.2">
      <c r="A447" s="15">
        <f>A446+TIME(0,0,'Raw Data'!B447)</f>
        <v>0</v>
      </c>
      <c r="B447" s="4">
        <f>'Raw Data'!C448*0.025</f>
        <v>0</v>
      </c>
      <c r="C447" s="4">
        <f t="shared" si="21"/>
        <v>0</v>
      </c>
      <c r="D447" s="4">
        <f>'Raw Data'!D448*0.025</f>
        <v>0</v>
      </c>
      <c r="E447" s="4">
        <f t="shared" si="22"/>
        <v>0</v>
      </c>
      <c r="F447" s="4">
        <f>'Raw Data'!E448*0.001648</f>
        <v>0</v>
      </c>
      <c r="G447" s="4">
        <f>'Raw Data'!F448*0.001648</f>
        <v>0</v>
      </c>
      <c r="H447" s="4">
        <f>'Raw Data'!G448*6*0.000128176</f>
        <v>0</v>
      </c>
      <c r="I447" s="4">
        <f>'Raw Data'!H448*0.000732435</f>
        <v>0</v>
      </c>
      <c r="J447" s="4">
        <f t="shared" si="20"/>
        <v>0</v>
      </c>
      <c r="K447" s="36">
        <f>IF(('Raw Data'!I448-16384)/32768&lt;0,0,('Raw Data'!I448-16384)/32768)</f>
        <v>0</v>
      </c>
      <c r="L447" s="4">
        <f>IF(('Raw Data'!J448-12010)/45.6=-263.377192982456,0,('Raw Data'!J448-12010)/45.6)</f>
        <v>0</v>
      </c>
      <c r="M447" s="16">
        <f>'Raw Data'!N448*2^-8</f>
        <v>0</v>
      </c>
      <c r="N447" s="16">
        <f>'Raw Data'!O448*2^-8</f>
        <v>0</v>
      </c>
      <c r="O447" s="17" t="str">
        <f>IF(BITWISE_AND('Raw Data'!$K448, 8192),"X","")</f>
        <v/>
      </c>
      <c r="P447" s="17" t="str">
        <f>IF(BITWISE_AND('Raw Data'!$K448, 2048),"X","")</f>
        <v/>
      </c>
      <c r="Q447" s="17" t="str">
        <f>IF(BITWISE_AND('Raw Data'!$K448, 64),"X","")</f>
        <v/>
      </c>
      <c r="R447" s="18" t="str">
        <f>IF(BITWISE_AND('Raw Data'!$L448, 1024),"X","")</f>
        <v/>
      </c>
      <c r="S447" s="18" t="str">
        <f>IF(BITWISE_AND('Raw Data'!$L448, 512),"X","")</f>
        <v/>
      </c>
      <c r="T447" s="18" t="str">
        <f>IF(BITWISE_AND('Raw Data'!$L448, 256),"X","")</f>
        <v/>
      </c>
      <c r="U447" s="18" t="str">
        <f>IF(BITWISE_AND('Raw Data'!$L448, 64),"X","")</f>
        <v/>
      </c>
      <c r="V447" s="18" t="str">
        <f>IF(BITWISE_AND('Raw Data'!$L448, 2),"X","")</f>
        <v/>
      </c>
      <c r="W447" s="18" t="str">
        <f>IF(BITWISE_AND('Raw Data'!$L448, 1),"X","")</f>
        <v/>
      </c>
      <c r="X447" s="19" t="str">
        <f>IF(BITWISE_AND('Raw Data'!M448, 1),"Bat Voltage", IF(BITWISE_AND('Raw Data'!M448, 2), "Charge Current", IF(BITWISE_AND('Raw Data'!M448, 4),"Input Ilim", IF(BITWISE_AND('Raw Data'!M448, 8), "Input UV", "none"))))</f>
        <v>none</v>
      </c>
    </row>
    <row r="448" spans="1:24" x14ac:dyDescent="0.2">
      <c r="A448" s="15">
        <f>A447+TIME(0,0,'Raw Data'!B448)</f>
        <v>0</v>
      </c>
      <c r="B448" s="4">
        <f>'Raw Data'!C449*0.025</f>
        <v>0</v>
      </c>
      <c r="C448" s="4">
        <f t="shared" si="21"/>
        <v>0</v>
      </c>
      <c r="D448" s="4">
        <f>'Raw Data'!D449*0.025</f>
        <v>0</v>
      </c>
      <c r="E448" s="4">
        <f t="shared" si="22"/>
        <v>0</v>
      </c>
      <c r="F448" s="4">
        <f>'Raw Data'!E449*0.001648</f>
        <v>0</v>
      </c>
      <c r="G448" s="4">
        <f>'Raw Data'!F449*0.001648</f>
        <v>0</v>
      </c>
      <c r="H448" s="4">
        <f>'Raw Data'!G449*6*0.000128176</f>
        <v>0</v>
      </c>
      <c r="I448" s="4">
        <f>'Raw Data'!H449*0.000732435</f>
        <v>0</v>
      </c>
      <c r="J448" s="4">
        <f t="shared" si="20"/>
        <v>0</v>
      </c>
      <c r="K448" s="36">
        <f>IF(('Raw Data'!I449-16384)/32768&lt;0,0,('Raw Data'!I449-16384)/32768)</f>
        <v>0</v>
      </c>
      <c r="L448" s="4">
        <f>IF(('Raw Data'!J449-12010)/45.6=-263.377192982456,0,('Raw Data'!J449-12010)/45.6)</f>
        <v>0</v>
      </c>
      <c r="M448" s="16">
        <f>'Raw Data'!N449*2^-8</f>
        <v>0</v>
      </c>
      <c r="N448" s="16">
        <f>'Raw Data'!O449*2^-8</f>
        <v>0</v>
      </c>
      <c r="O448" s="17" t="str">
        <f>IF(BITWISE_AND('Raw Data'!$K449, 8192),"X","")</f>
        <v/>
      </c>
      <c r="P448" s="17" t="str">
        <f>IF(BITWISE_AND('Raw Data'!$K449, 2048),"X","")</f>
        <v/>
      </c>
      <c r="Q448" s="17" t="str">
        <f>IF(BITWISE_AND('Raw Data'!$K449, 64),"X","")</f>
        <v/>
      </c>
      <c r="R448" s="18" t="str">
        <f>IF(BITWISE_AND('Raw Data'!$L449, 1024),"X","")</f>
        <v/>
      </c>
      <c r="S448" s="18" t="str">
        <f>IF(BITWISE_AND('Raw Data'!$L449, 512),"X","")</f>
        <v/>
      </c>
      <c r="T448" s="18" t="str">
        <f>IF(BITWISE_AND('Raw Data'!$L449, 256),"X","")</f>
        <v/>
      </c>
      <c r="U448" s="18" t="str">
        <f>IF(BITWISE_AND('Raw Data'!$L449, 64),"X","")</f>
        <v/>
      </c>
      <c r="V448" s="18" t="str">
        <f>IF(BITWISE_AND('Raw Data'!$L449, 2),"X","")</f>
        <v/>
      </c>
      <c r="W448" s="18" t="str">
        <f>IF(BITWISE_AND('Raw Data'!$L449, 1),"X","")</f>
        <v/>
      </c>
      <c r="X448" s="19" t="str">
        <f>IF(BITWISE_AND('Raw Data'!M449, 1),"Bat Voltage", IF(BITWISE_AND('Raw Data'!M449, 2), "Charge Current", IF(BITWISE_AND('Raw Data'!M449, 4),"Input Ilim", IF(BITWISE_AND('Raw Data'!M449, 8), "Input UV", "none"))))</f>
        <v>none</v>
      </c>
    </row>
    <row r="449" spans="1:24" x14ac:dyDescent="0.2">
      <c r="A449" s="15">
        <f>A448+TIME(0,0,'Raw Data'!B449)</f>
        <v>0</v>
      </c>
      <c r="B449" s="4">
        <f>'Raw Data'!C450*0.025</f>
        <v>0</v>
      </c>
      <c r="C449" s="4">
        <f t="shared" si="21"/>
        <v>0</v>
      </c>
      <c r="D449" s="4">
        <f>'Raw Data'!D450*0.025</f>
        <v>0</v>
      </c>
      <c r="E449" s="4">
        <f t="shared" si="22"/>
        <v>0</v>
      </c>
      <c r="F449" s="4">
        <f>'Raw Data'!E450*0.001648</f>
        <v>0</v>
      </c>
      <c r="G449" s="4">
        <f>'Raw Data'!F450*0.001648</f>
        <v>0</v>
      </c>
      <c r="H449" s="4">
        <f>'Raw Data'!G450*6*0.000128176</f>
        <v>0</v>
      </c>
      <c r="I449" s="4">
        <f>'Raw Data'!H450*0.000732435</f>
        <v>0</v>
      </c>
      <c r="J449" s="4">
        <f t="shared" si="20"/>
        <v>0</v>
      </c>
      <c r="K449" s="36">
        <f>IF(('Raw Data'!I450-16384)/32768&lt;0,0,('Raw Data'!I450-16384)/32768)</f>
        <v>0</v>
      </c>
      <c r="L449" s="4">
        <f>IF(('Raw Data'!J450-12010)/45.6=-263.377192982456,0,('Raw Data'!J450-12010)/45.6)</f>
        <v>0</v>
      </c>
      <c r="M449" s="16">
        <f>'Raw Data'!N450*2^-8</f>
        <v>0</v>
      </c>
      <c r="N449" s="16">
        <f>'Raw Data'!O450*2^-8</f>
        <v>0</v>
      </c>
      <c r="O449" s="17" t="str">
        <f>IF(BITWISE_AND('Raw Data'!$K450, 8192),"X","")</f>
        <v/>
      </c>
      <c r="P449" s="17" t="str">
        <f>IF(BITWISE_AND('Raw Data'!$K450, 2048),"X","")</f>
        <v/>
      </c>
      <c r="Q449" s="17" t="str">
        <f>IF(BITWISE_AND('Raw Data'!$K450, 64),"X","")</f>
        <v/>
      </c>
      <c r="R449" s="18" t="str">
        <f>IF(BITWISE_AND('Raw Data'!$L450, 1024),"X","")</f>
        <v/>
      </c>
      <c r="S449" s="18" t="str">
        <f>IF(BITWISE_AND('Raw Data'!$L450, 512),"X","")</f>
        <v/>
      </c>
      <c r="T449" s="18" t="str">
        <f>IF(BITWISE_AND('Raw Data'!$L450, 256),"X","")</f>
        <v/>
      </c>
      <c r="U449" s="18" t="str">
        <f>IF(BITWISE_AND('Raw Data'!$L450, 64),"X","")</f>
        <v/>
      </c>
      <c r="V449" s="18" t="str">
        <f>IF(BITWISE_AND('Raw Data'!$L450, 2),"X","")</f>
        <v/>
      </c>
      <c r="W449" s="18" t="str">
        <f>IF(BITWISE_AND('Raw Data'!$L450, 1),"X","")</f>
        <v/>
      </c>
      <c r="X449" s="19" t="str">
        <f>IF(BITWISE_AND('Raw Data'!M450, 1),"Bat Voltage", IF(BITWISE_AND('Raw Data'!M450, 2), "Charge Current", IF(BITWISE_AND('Raw Data'!M450, 4),"Input Ilim", IF(BITWISE_AND('Raw Data'!M450, 8), "Input UV", "none"))))</f>
        <v>none</v>
      </c>
    </row>
    <row r="450" spans="1:24" x14ac:dyDescent="0.2">
      <c r="A450" s="15">
        <f>A449+TIME(0,0,'Raw Data'!B450)</f>
        <v>0</v>
      </c>
      <c r="B450" s="4">
        <f>'Raw Data'!C451*0.025</f>
        <v>0</v>
      </c>
      <c r="C450" s="4">
        <f t="shared" si="21"/>
        <v>0</v>
      </c>
      <c r="D450" s="4">
        <f>'Raw Data'!D451*0.025</f>
        <v>0</v>
      </c>
      <c r="E450" s="4">
        <f t="shared" si="22"/>
        <v>0</v>
      </c>
      <c r="F450" s="4">
        <f>'Raw Data'!E451*0.001648</f>
        <v>0</v>
      </c>
      <c r="G450" s="4">
        <f>'Raw Data'!F451*0.001648</f>
        <v>0</v>
      </c>
      <c r="H450" s="4">
        <f>'Raw Data'!G451*6*0.000128176</f>
        <v>0</v>
      </c>
      <c r="I450" s="4">
        <f>'Raw Data'!H451*0.000732435</f>
        <v>0</v>
      </c>
      <c r="J450" s="4">
        <f t="shared" si="20"/>
        <v>0</v>
      </c>
      <c r="K450" s="36">
        <f>IF(('Raw Data'!I451-16384)/32768&lt;0,0,('Raw Data'!I451-16384)/32768)</f>
        <v>0</v>
      </c>
      <c r="L450" s="4">
        <f>IF(('Raw Data'!J451-12010)/45.6=-263.377192982456,0,('Raw Data'!J451-12010)/45.6)</f>
        <v>0</v>
      </c>
      <c r="M450" s="16">
        <f>'Raw Data'!N451*2^-8</f>
        <v>0</v>
      </c>
      <c r="N450" s="16">
        <f>'Raw Data'!O451*2^-8</f>
        <v>0</v>
      </c>
      <c r="O450" s="17" t="str">
        <f>IF(BITWISE_AND('Raw Data'!$K451, 8192),"X","")</f>
        <v/>
      </c>
      <c r="P450" s="17" t="str">
        <f>IF(BITWISE_AND('Raw Data'!$K451, 2048),"X","")</f>
        <v/>
      </c>
      <c r="Q450" s="17" t="str">
        <f>IF(BITWISE_AND('Raw Data'!$K451, 64),"X","")</f>
        <v/>
      </c>
      <c r="R450" s="18" t="str">
        <f>IF(BITWISE_AND('Raw Data'!$L451, 1024),"X","")</f>
        <v/>
      </c>
      <c r="S450" s="18" t="str">
        <f>IF(BITWISE_AND('Raw Data'!$L451, 512),"X","")</f>
        <v/>
      </c>
      <c r="T450" s="18" t="str">
        <f>IF(BITWISE_AND('Raw Data'!$L451, 256),"X","")</f>
        <v/>
      </c>
      <c r="U450" s="18" t="str">
        <f>IF(BITWISE_AND('Raw Data'!$L451, 64),"X","")</f>
        <v/>
      </c>
      <c r="V450" s="18" t="str">
        <f>IF(BITWISE_AND('Raw Data'!$L451, 2),"X","")</f>
        <v/>
      </c>
      <c r="W450" s="18" t="str">
        <f>IF(BITWISE_AND('Raw Data'!$L451, 1),"X","")</f>
        <v/>
      </c>
      <c r="X450" s="19" t="str">
        <f>IF(BITWISE_AND('Raw Data'!M451, 1),"Bat Voltage", IF(BITWISE_AND('Raw Data'!M451, 2), "Charge Current", IF(BITWISE_AND('Raw Data'!M451, 4),"Input Ilim", IF(BITWISE_AND('Raw Data'!M451, 8), "Input UV", "none"))))</f>
        <v>none</v>
      </c>
    </row>
    <row r="451" spans="1:24" x14ac:dyDescent="0.2">
      <c r="A451" s="15">
        <f>A450+TIME(0,0,'Raw Data'!B451)</f>
        <v>0</v>
      </c>
      <c r="B451" s="4">
        <f>'Raw Data'!C452*0.025</f>
        <v>0</v>
      </c>
      <c r="C451" s="4">
        <f t="shared" si="21"/>
        <v>0</v>
      </c>
      <c r="D451" s="4">
        <f>'Raw Data'!D452*0.025</f>
        <v>0</v>
      </c>
      <c r="E451" s="4">
        <f t="shared" si="22"/>
        <v>0</v>
      </c>
      <c r="F451" s="4">
        <f>'Raw Data'!E452*0.001648</f>
        <v>0</v>
      </c>
      <c r="G451" s="4">
        <f>'Raw Data'!F452*0.001648</f>
        <v>0</v>
      </c>
      <c r="H451" s="4">
        <f>'Raw Data'!G452*6*0.000128176</f>
        <v>0</v>
      </c>
      <c r="I451" s="4">
        <f>'Raw Data'!H452*0.000732435</f>
        <v>0</v>
      </c>
      <c r="J451" s="4">
        <f t="shared" ref="J451:J514" si="23">H451*I451</f>
        <v>0</v>
      </c>
      <c r="K451" s="36">
        <f>IF(('Raw Data'!I452-16384)/32768&lt;0,0,('Raw Data'!I452-16384)/32768)</f>
        <v>0</v>
      </c>
      <c r="L451" s="4">
        <f>IF(('Raw Data'!J452-12010)/45.6=-263.377192982456,0,('Raw Data'!J452-12010)/45.6)</f>
        <v>0</v>
      </c>
      <c r="M451" s="16">
        <f>'Raw Data'!N452*2^-8</f>
        <v>0</v>
      </c>
      <c r="N451" s="16">
        <f>'Raw Data'!O452*2^-8</f>
        <v>0</v>
      </c>
      <c r="O451" s="17" t="str">
        <f>IF(BITWISE_AND('Raw Data'!$K452, 8192),"X","")</f>
        <v/>
      </c>
      <c r="P451" s="17" t="str">
        <f>IF(BITWISE_AND('Raw Data'!$K452, 2048),"X","")</f>
        <v/>
      </c>
      <c r="Q451" s="17" t="str">
        <f>IF(BITWISE_AND('Raw Data'!$K452, 64),"X","")</f>
        <v/>
      </c>
      <c r="R451" s="18" t="str">
        <f>IF(BITWISE_AND('Raw Data'!$L452, 1024),"X","")</f>
        <v/>
      </c>
      <c r="S451" s="18" t="str">
        <f>IF(BITWISE_AND('Raw Data'!$L452, 512),"X","")</f>
        <v/>
      </c>
      <c r="T451" s="18" t="str">
        <f>IF(BITWISE_AND('Raw Data'!$L452, 256),"X","")</f>
        <v/>
      </c>
      <c r="U451" s="18" t="str">
        <f>IF(BITWISE_AND('Raw Data'!$L452, 64),"X","")</f>
        <v/>
      </c>
      <c r="V451" s="18" t="str">
        <f>IF(BITWISE_AND('Raw Data'!$L452, 2),"X","")</f>
        <v/>
      </c>
      <c r="W451" s="18" t="str">
        <f>IF(BITWISE_AND('Raw Data'!$L452, 1),"X","")</f>
        <v/>
      </c>
      <c r="X451" s="19" t="str">
        <f>IF(BITWISE_AND('Raw Data'!M452, 1),"Bat Voltage", IF(BITWISE_AND('Raw Data'!M452, 2), "Charge Current", IF(BITWISE_AND('Raw Data'!M452, 4),"Input Ilim", IF(BITWISE_AND('Raw Data'!M452, 8), "Input UV", "none"))))</f>
        <v>none</v>
      </c>
    </row>
    <row r="452" spans="1:24" x14ac:dyDescent="0.2">
      <c r="A452" s="15">
        <f>A451+TIME(0,0,'Raw Data'!B452)</f>
        <v>0</v>
      </c>
      <c r="B452" s="4">
        <f>'Raw Data'!C453*0.025</f>
        <v>0</v>
      </c>
      <c r="C452" s="4">
        <f t="shared" si="21"/>
        <v>0</v>
      </c>
      <c r="D452" s="4">
        <f>'Raw Data'!D453*0.025</f>
        <v>0</v>
      </c>
      <c r="E452" s="4">
        <f t="shared" si="22"/>
        <v>0</v>
      </c>
      <c r="F452" s="4">
        <f>'Raw Data'!E453*0.001648</f>
        <v>0</v>
      </c>
      <c r="G452" s="4">
        <f>'Raw Data'!F453*0.001648</f>
        <v>0</v>
      </c>
      <c r="H452" s="4">
        <f>'Raw Data'!G453*6*0.000128176</f>
        <v>0</v>
      </c>
      <c r="I452" s="4">
        <f>'Raw Data'!H453*0.000732435</f>
        <v>0</v>
      </c>
      <c r="J452" s="4">
        <f t="shared" si="23"/>
        <v>0</v>
      </c>
      <c r="K452" s="36">
        <f>IF(('Raw Data'!I453-16384)/32768&lt;0,0,('Raw Data'!I453-16384)/32768)</f>
        <v>0</v>
      </c>
      <c r="L452" s="4">
        <f>IF(('Raw Data'!J453-12010)/45.6=-263.377192982456,0,('Raw Data'!J453-12010)/45.6)</f>
        <v>0</v>
      </c>
      <c r="M452" s="16">
        <f>'Raw Data'!N453*2^-8</f>
        <v>0</v>
      </c>
      <c r="N452" s="16">
        <f>'Raw Data'!O453*2^-8</f>
        <v>0</v>
      </c>
      <c r="O452" s="17" t="str">
        <f>IF(BITWISE_AND('Raw Data'!$K453, 8192),"X","")</f>
        <v/>
      </c>
      <c r="P452" s="17" t="str">
        <f>IF(BITWISE_AND('Raw Data'!$K453, 2048),"X","")</f>
        <v/>
      </c>
      <c r="Q452" s="17" t="str">
        <f>IF(BITWISE_AND('Raw Data'!$K453, 64),"X","")</f>
        <v/>
      </c>
      <c r="R452" s="18" t="str">
        <f>IF(BITWISE_AND('Raw Data'!$L453, 1024),"X","")</f>
        <v/>
      </c>
      <c r="S452" s="18" t="str">
        <f>IF(BITWISE_AND('Raw Data'!$L453, 512),"X","")</f>
        <v/>
      </c>
      <c r="T452" s="18" t="str">
        <f>IF(BITWISE_AND('Raw Data'!$L453, 256),"X","")</f>
        <v/>
      </c>
      <c r="U452" s="18" t="str">
        <f>IF(BITWISE_AND('Raw Data'!$L453, 64),"X","")</f>
        <v/>
      </c>
      <c r="V452" s="18" t="str">
        <f>IF(BITWISE_AND('Raw Data'!$L453, 2),"X","")</f>
        <v/>
      </c>
      <c r="W452" s="18" t="str">
        <f>IF(BITWISE_AND('Raw Data'!$L453, 1),"X","")</f>
        <v/>
      </c>
      <c r="X452" s="19" t="str">
        <f>IF(BITWISE_AND('Raw Data'!M453, 1),"Bat Voltage", IF(BITWISE_AND('Raw Data'!M453, 2), "Charge Current", IF(BITWISE_AND('Raw Data'!M453, 4),"Input Ilim", IF(BITWISE_AND('Raw Data'!M453, 8), "Input UV", "none"))))</f>
        <v>none</v>
      </c>
    </row>
    <row r="453" spans="1:24" x14ac:dyDescent="0.2">
      <c r="A453" s="15">
        <f>A452+TIME(0,0,'Raw Data'!B453)</f>
        <v>0</v>
      </c>
      <c r="B453" s="4">
        <f>'Raw Data'!C454*0.025</f>
        <v>0</v>
      </c>
      <c r="C453" s="4">
        <f t="shared" si="21"/>
        <v>0</v>
      </c>
      <c r="D453" s="4">
        <f>'Raw Data'!D454*0.025</f>
        <v>0</v>
      </c>
      <c r="E453" s="4">
        <f t="shared" si="22"/>
        <v>0</v>
      </c>
      <c r="F453" s="4">
        <f>'Raw Data'!E454*0.001648</f>
        <v>0</v>
      </c>
      <c r="G453" s="4">
        <f>'Raw Data'!F454*0.001648</f>
        <v>0</v>
      </c>
      <c r="H453" s="4">
        <f>'Raw Data'!G454*6*0.000128176</f>
        <v>0</v>
      </c>
      <c r="I453" s="4">
        <f>'Raw Data'!H454*0.000732435</f>
        <v>0</v>
      </c>
      <c r="J453" s="4">
        <f t="shared" si="23"/>
        <v>0</v>
      </c>
      <c r="K453" s="36">
        <f>IF(('Raw Data'!I454-16384)/32768&lt;0,0,('Raw Data'!I454-16384)/32768)</f>
        <v>0</v>
      </c>
      <c r="L453" s="4">
        <f>IF(('Raw Data'!J454-12010)/45.6=-263.377192982456,0,('Raw Data'!J454-12010)/45.6)</f>
        <v>0</v>
      </c>
      <c r="M453" s="16">
        <f>'Raw Data'!N454*2^-8</f>
        <v>0</v>
      </c>
      <c r="N453" s="16">
        <f>'Raw Data'!O454*2^-8</f>
        <v>0</v>
      </c>
      <c r="O453" s="17" t="str">
        <f>IF(BITWISE_AND('Raw Data'!$K454, 8192),"X","")</f>
        <v/>
      </c>
      <c r="P453" s="17" t="str">
        <f>IF(BITWISE_AND('Raw Data'!$K454, 2048),"X","")</f>
        <v/>
      </c>
      <c r="Q453" s="17" t="str">
        <f>IF(BITWISE_AND('Raw Data'!$K454, 64),"X","")</f>
        <v/>
      </c>
      <c r="R453" s="18" t="str">
        <f>IF(BITWISE_AND('Raw Data'!$L454, 1024),"X","")</f>
        <v/>
      </c>
      <c r="S453" s="18" t="str">
        <f>IF(BITWISE_AND('Raw Data'!$L454, 512),"X","")</f>
        <v/>
      </c>
      <c r="T453" s="18" t="str">
        <f>IF(BITWISE_AND('Raw Data'!$L454, 256),"X","")</f>
        <v/>
      </c>
      <c r="U453" s="18" t="str">
        <f>IF(BITWISE_AND('Raw Data'!$L454, 64),"X","")</f>
        <v/>
      </c>
      <c r="V453" s="18" t="str">
        <f>IF(BITWISE_AND('Raw Data'!$L454, 2),"X","")</f>
        <v/>
      </c>
      <c r="W453" s="18" t="str">
        <f>IF(BITWISE_AND('Raw Data'!$L454, 1),"X","")</f>
        <v/>
      </c>
      <c r="X453" s="19" t="str">
        <f>IF(BITWISE_AND('Raw Data'!M454, 1),"Bat Voltage", IF(BITWISE_AND('Raw Data'!M454, 2), "Charge Current", IF(BITWISE_AND('Raw Data'!M454, 4),"Input Ilim", IF(BITWISE_AND('Raw Data'!M454, 8), "Input UV", "none"))))</f>
        <v>none</v>
      </c>
    </row>
    <row r="454" spans="1:24" x14ac:dyDescent="0.2">
      <c r="A454" s="15">
        <f>A453+TIME(0,0,'Raw Data'!B454)</f>
        <v>0</v>
      </c>
      <c r="B454" s="4">
        <f>'Raw Data'!C455*0.025</f>
        <v>0</v>
      </c>
      <c r="C454" s="4">
        <f t="shared" si="21"/>
        <v>0</v>
      </c>
      <c r="D454" s="4">
        <f>'Raw Data'!D455*0.025</f>
        <v>0</v>
      </c>
      <c r="E454" s="4">
        <f t="shared" si="22"/>
        <v>0</v>
      </c>
      <c r="F454" s="4">
        <f>'Raw Data'!E455*0.001648</f>
        <v>0</v>
      </c>
      <c r="G454" s="4">
        <f>'Raw Data'!F455*0.001648</f>
        <v>0</v>
      </c>
      <c r="H454" s="4">
        <f>'Raw Data'!G455*6*0.000128176</f>
        <v>0</v>
      </c>
      <c r="I454" s="4">
        <f>'Raw Data'!H455*0.000732435</f>
        <v>0</v>
      </c>
      <c r="J454" s="4">
        <f t="shared" si="23"/>
        <v>0</v>
      </c>
      <c r="K454" s="36">
        <f>IF(('Raw Data'!I455-16384)/32768&lt;0,0,('Raw Data'!I455-16384)/32768)</f>
        <v>0</v>
      </c>
      <c r="L454" s="4">
        <f>IF(('Raw Data'!J455-12010)/45.6=-263.377192982456,0,('Raw Data'!J455-12010)/45.6)</f>
        <v>0</v>
      </c>
      <c r="M454" s="16">
        <f>'Raw Data'!N455*2^-8</f>
        <v>0</v>
      </c>
      <c r="N454" s="16">
        <f>'Raw Data'!O455*2^-8</f>
        <v>0</v>
      </c>
      <c r="O454" s="17" t="str">
        <f>IF(BITWISE_AND('Raw Data'!$K455, 8192),"X","")</f>
        <v/>
      </c>
      <c r="P454" s="17" t="str">
        <f>IF(BITWISE_AND('Raw Data'!$K455, 2048),"X","")</f>
        <v/>
      </c>
      <c r="Q454" s="17" t="str">
        <f>IF(BITWISE_AND('Raw Data'!$K455, 64),"X","")</f>
        <v/>
      </c>
      <c r="R454" s="18" t="str">
        <f>IF(BITWISE_AND('Raw Data'!$L455, 1024),"X","")</f>
        <v/>
      </c>
      <c r="S454" s="18" t="str">
        <f>IF(BITWISE_AND('Raw Data'!$L455, 512),"X","")</f>
        <v/>
      </c>
      <c r="T454" s="18" t="str">
        <f>IF(BITWISE_AND('Raw Data'!$L455, 256),"X","")</f>
        <v/>
      </c>
      <c r="U454" s="18" t="str">
        <f>IF(BITWISE_AND('Raw Data'!$L455, 64),"X","")</f>
        <v/>
      </c>
      <c r="V454" s="18" t="str">
        <f>IF(BITWISE_AND('Raw Data'!$L455, 2),"X","")</f>
        <v/>
      </c>
      <c r="W454" s="18" t="str">
        <f>IF(BITWISE_AND('Raw Data'!$L455, 1),"X","")</f>
        <v/>
      </c>
      <c r="X454" s="19" t="str">
        <f>IF(BITWISE_AND('Raw Data'!M455, 1),"Bat Voltage", IF(BITWISE_AND('Raw Data'!M455, 2), "Charge Current", IF(BITWISE_AND('Raw Data'!M455, 4),"Input Ilim", IF(BITWISE_AND('Raw Data'!M455, 8), "Input UV", "none"))))</f>
        <v>none</v>
      </c>
    </row>
    <row r="455" spans="1:24" x14ac:dyDescent="0.2">
      <c r="A455" s="15">
        <f>A454+TIME(0,0,'Raw Data'!B455)</f>
        <v>0</v>
      </c>
      <c r="B455" s="4">
        <f>'Raw Data'!C456*0.025</f>
        <v>0</v>
      </c>
      <c r="C455" s="4">
        <f t="shared" si="21"/>
        <v>0</v>
      </c>
      <c r="D455" s="4">
        <f>'Raw Data'!D456*0.025</f>
        <v>0</v>
      </c>
      <c r="E455" s="4">
        <f t="shared" si="22"/>
        <v>0</v>
      </c>
      <c r="F455" s="4">
        <f>'Raw Data'!E456*0.001648</f>
        <v>0</v>
      </c>
      <c r="G455" s="4">
        <f>'Raw Data'!F456*0.001648</f>
        <v>0</v>
      </c>
      <c r="H455" s="4">
        <f>'Raw Data'!G456*6*0.000128176</f>
        <v>0</v>
      </c>
      <c r="I455" s="4">
        <f>'Raw Data'!H456*0.000732435</f>
        <v>0</v>
      </c>
      <c r="J455" s="4">
        <f t="shared" si="23"/>
        <v>0</v>
      </c>
      <c r="K455" s="36">
        <f>IF(('Raw Data'!I456-16384)/32768&lt;0,0,('Raw Data'!I456-16384)/32768)</f>
        <v>0</v>
      </c>
      <c r="L455" s="4">
        <f>IF(('Raw Data'!J456-12010)/45.6=-263.377192982456,0,('Raw Data'!J456-12010)/45.6)</f>
        <v>0</v>
      </c>
      <c r="M455" s="16">
        <f>'Raw Data'!N456*2^-8</f>
        <v>0</v>
      </c>
      <c r="N455" s="16">
        <f>'Raw Data'!O456*2^-8</f>
        <v>0</v>
      </c>
      <c r="O455" s="17" t="str">
        <f>IF(BITWISE_AND('Raw Data'!$K456, 8192),"X","")</f>
        <v/>
      </c>
      <c r="P455" s="17" t="str">
        <f>IF(BITWISE_AND('Raw Data'!$K456, 2048),"X","")</f>
        <v/>
      </c>
      <c r="Q455" s="17" t="str">
        <f>IF(BITWISE_AND('Raw Data'!$K456, 64),"X","")</f>
        <v/>
      </c>
      <c r="R455" s="18" t="str">
        <f>IF(BITWISE_AND('Raw Data'!$L456, 1024),"X","")</f>
        <v/>
      </c>
      <c r="S455" s="18" t="str">
        <f>IF(BITWISE_AND('Raw Data'!$L456, 512),"X","")</f>
        <v/>
      </c>
      <c r="T455" s="18" t="str">
        <f>IF(BITWISE_AND('Raw Data'!$L456, 256),"X","")</f>
        <v/>
      </c>
      <c r="U455" s="18" t="str">
        <f>IF(BITWISE_AND('Raw Data'!$L456, 64),"X","")</f>
        <v/>
      </c>
      <c r="V455" s="18" t="str">
        <f>IF(BITWISE_AND('Raw Data'!$L456, 2),"X","")</f>
        <v/>
      </c>
      <c r="W455" s="18" t="str">
        <f>IF(BITWISE_AND('Raw Data'!$L456, 1),"X","")</f>
        <v/>
      </c>
      <c r="X455" s="19" t="str">
        <f>IF(BITWISE_AND('Raw Data'!M456, 1),"Bat Voltage", IF(BITWISE_AND('Raw Data'!M456, 2), "Charge Current", IF(BITWISE_AND('Raw Data'!M456, 4),"Input Ilim", IF(BITWISE_AND('Raw Data'!M456, 8), "Input UV", "none"))))</f>
        <v>none</v>
      </c>
    </row>
    <row r="456" spans="1:24" x14ac:dyDescent="0.2">
      <c r="A456" s="15">
        <f>A455+TIME(0,0,'Raw Data'!B456)</f>
        <v>0</v>
      </c>
      <c r="B456" s="4">
        <f>'Raw Data'!C457*0.025</f>
        <v>0</v>
      </c>
      <c r="C456" s="4">
        <f t="shared" si="21"/>
        <v>0</v>
      </c>
      <c r="D456" s="4">
        <f>'Raw Data'!D457*0.025</f>
        <v>0</v>
      </c>
      <c r="E456" s="4">
        <f t="shared" si="22"/>
        <v>0</v>
      </c>
      <c r="F456" s="4">
        <f>'Raw Data'!E457*0.001648</f>
        <v>0</v>
      </c>
      <c r="G456" s="4">
        <f>'Raw Data'!F457*0.001648</f>
        <v>0</v>
      </c>
      <c r="H456" s="4">
        <f>'Raw Data'!G457*6*0.000128176</f>
        <v>0</v>
      </c>
      <c r="I456" s="4">
        <f>'Raw Data'!H457*0.000732435</f>
        <v>0</v>
      </c>
      <c r="J456" s="4">
        <f t="shared" si="23"/>
        <v>0</v>
      </c>
      <c r="K456" s="36">
        <f>IF(('Raw Data'!I457-16384)/32768&lt;0,0,('Raw Data'!I457-16384)/32768)</f>
        <v>0</v>
      </c>
      <c r="L456" s="4">
        <f>IF(('Raw Data'!J457-12010)/45.6=-263.377192982456,0,('Raw Data'!J457-12010)/45.6)</f>
        <v>0</v>
      </c>
      <c r="M456" s="16">
        <f>'Raw Data'!N457*2^-8</f>
        <v>0</v>
      </c>
      <c r="N456" s="16">
        <f>'Raw Data'!O457*2^-8</f>
        <v>0</v>
      </c>
      <c r="O456" s="17" t="str">
        <f>IF(BITWISE_AND('Raw Data'!$K457, 8192),"X","")</f>
        <v/>
      </c>
      <c r="P456" s="17" t="str">
        <f>IF(BITWISE_AND('Raw Data'!$K457, 2048),"X","")</f>
        <v/>
      </c>
      <c r="Q456" s="17" t="str">
        <f>IF(BITWISE_AND('Raw Data'!$K457, 64),"X","")</f>
        <v/>
      </c>
      <c r="R456" s="18" t="str">
        <f>IF(BITWISE_AND('Raw Data'!$L457, 1024),"X","")</f>
        <v/>
      </c>
      <c r="S456" s="18" t="str">
        <f>IF(BITWISE_AND('Raw Data'!$L457, 512),"X","")</f>
        <v/>
      </c>
      <c r="T456" s="18" t="str">
        <f>IF(BITWISE_AND('Raw Data'!$L457, 256),"X","")</f>
        <v/>
      </c>
      <c r="U456" s="18" t="str">
        <f>IF(BITWISE_AND('Raw Data'!$L457, 64),"X","")</f>
        <v/>
      </c>
      <c r="V456" s="18" t="str">
        <f>IF(BITWISE_AND('Raw Data'!$L457, 2),"X","")</f>
        <v/>
      </c>
      <c r="W456" s="18" t="str">
        <f>IF(BITWISE_AND('Raw Data'!$L457, 1),"X","")</f>
        <v/>
      </c>
      <c r="X456" s="19" t="str">
        <f>IF(BITWISE_AND('Raw Data'!M457, 1),"Bat Voltage", IF(BITWISE_AND('Raw Data'!M457, 2), "Charge Current", IF(BITWISE_AND('Raw Data'!M457, 4),"Input Ilim", IF(BITWISE_AND('Raw Data'!M457, 8), "Input UV", "none"))))</f>
        <v>none</v>
      </c>
    </row>
    <row r="457" spans="1:24" x14ac:dyDescent="0.2">
      <c r="A457" s="15">
        <f>A456+TIME(0,0,'Raw Data'!B457)</f>
        <v>0</v>
      </c>
      <c r="B457" s="4">
        <f>'Raw Data'!C458*0.025</f>
        <v>0</v>
      </c>
      <c r="C457" s="4">
        <f t="shared" si="21"/>
        <v>0</v>
      </c>
      <c r="D457" s="4">
        <f>'Raw Data'!D458*0.025</f>
        <v>0</v>
      </c>
      <c r="E457" s="4">
        <f t="shared" si="22"/>
        <v>0</v>
      </c>
      <c r="F457" s="4">
        <f>'Raw Data'!E458*0.001648</f>
        <v>0</v>
      </c>
      <c r="G457" s="4">
        <f>'Raw Data'!F458*0.001648</f>
        <v>0</v>
      </c>
      <c r="H457" s="4">
        <f>'Raw Data'!G458*6*0.000128176</f>
        <v>0</v>
      </c>
      <c r="I457" s="4">
        <f>'Raw Data'!H458*0.000732435</f>
        <v>0</v>
      </c>
      <c r="J457" s="4">
        <f t="shared" si="23"/>
        <v>0</v>
      </c>
      <c r="K457" s="36">
        <f>IF(('Raw Data'!I458-16384)/32768&lt;0,0,('Raw Data'!I458-16384)/32768)</f>
        <v>0</v>
      </c>
      <c r="L457" s="4">
        <f>IF(('Raw Data'!J458-12010)/45.6=-263.377192982456,0,('Raw Data'!J458-12010)/45.6)</f>
        <v>0</v>
      </c>
      <c r="M457" s="16">
        <f>'Raw Data'!N458*2^-8</f>
        <v>0</v>
      </c>
      <c r="N457" s="16">
        <f>'Raw Data'!O458*2^-8</f>
        <v>0</v>
      </c>
      <c r="O457" s="17" t="str">
        <f>IF(BITWISE_AND('Raw Data'!$K458, 8192),"X","")</f>
        <v/>
      </c>
      <c r="P457" s="17" t="str">
        <f>IF(BITWISE_AND('Raw Data'!$K458, 2048),"X","")</f>
        <v/>
      </c>
      <c r="Q457" s="17" t="str">
        <f>IF(BITWISE_AND('Raw Data'!$K458, 64),"X","")</f>
        <v/>
      </c>
      <c r="R457" s="18" t="str">
        <f>IF(BITWISE_AND('Raw Data'!$L458, 1024),"X","")</f>
        <v/>
      </c>
      <c r="S457" s="18" t="str">
        <f>IF(BITWISE_AND('Raw Data'!$L458, 512),"X","")</f>
        <v/>
      </c>
      <c r="T457" s="18" t="str">
        <f>IF(BITWISE_AND('Raw Data'!$L458, 256),"X","")</f>
        <v/>
      </c>
      <c r="U457" s="18" t="str">
        <f>IF(BITWISE_AND('Raw Data'!$L458, 64),"X","")</f>
        <v/>
      </c>
      <c r="V457" s="18" t="str">
        <f>IF(BITWISE_AND('Raw Data'!$L458, 2),"X","")</f>
        <v/>
      </c>
      <c r="W457" s="18" t="str">
        <f>IF(BITWISE_AND('Raw Data'!$L458, 1),"X","")</f>
        <v/>
      </c>
      <c r="X457" s="19" t="str">
        <f>IF(BITWISE_AND('Raw Data'!M458, 1),"Bat Voltage", IF(BITWISE_AND('Raw Data'!M458, 2), "Charge Current", IF(BITWISE_AND('Raw Data'!M458, 4),"Input Ilim", IF(BITWISE_AND('Raw Data'!M458, 8), "Input UV", "none"))))</f>
        <v>none</v>
      </c>
    </row>
    <row r="458" spans="1:24" x14ac:dyDescent="0.2">
      <c r="A458" s="15">
        <f>A457+TIME(0,0,'Raw Data'!B458)</f>
        <v>0</v>
      </c>
      <c r="B458" s="4">
        <f>'Raw Data'!C459*0.025</f>
        <v>0</v>
      </c>
      <c r="C458" s="4">
        <f t="shared" si="21"/>
        <v>0</v>
      </c>
      <c r="D458" s="4">
        <f>'Raw Data'!D459*0.025</f>
        <v>0</v>
      </c>
      <c r="E458" s="4">
        <f t="shared" si="22"/>
        <v>0</v>
      </c>
      <c r="F458" s="4">
        <f>'Raw Data'!E459*0.001648</f>
        <v>0</v>
      </c>
      <c r="G458" s="4">
        <f>'Raw Data'!F459*0.001648</f>
        <v>0</v>
      </c>
      <c r="H458" s="4">
        <f>'Raw Data'!G459*6*0.000128176</f>
        <v>0</v>
      </c>
      <c r="I458" s="4">
        <f>'Raw Data'!H459*0.000732435</f>
        <v>0</v>
      </c>
      <c r="J458" s="4">
        <f t="shared" si="23"/>
        <v>0</v>
      </c>
      <c r="K458" s="36">
        <f>IF(('Raw Data'!I459-16384)/32768&lt;0,0,('Raw Data'!I459-16384)/32768)</f>
        <v>0</v>
      </c>
      <c r="L458" s="4">
        <f>IF(('Raw Data'!J459-12010)/45.6=-263.377192982456,0,('Raw Data'!J459-12010)/45.6)</f>
        <v>0</v>
      </c>
      <c r="M458" s="16">
        <f>'Raw Data'!N459*2^-8</f>
        <v>0</v>
      </c>
      <c r="N458" s="16">
        <f>'Raw Data'!O459*2^-8</f>
        <v>0</v>
      </c>
      <c r="O458" s="17" t="str">
        <f>IF(BITWISE_AND('Raw Data'!$K459, 8192),"X","")</f>
        <v/>
      </c>
      <c r="P458" s="17" t="str">
        <f>IF(BITWISE_AND('Raw Data'!$K459, 2048),"X","")</f>
        <v/>
      </c>
      <c r="Q458" s="17" t="str">
        <f>IF(BITWISE_AND('Raw Data'!$K459, 64),"X","")</f>
        <v/>
      </c>
      <c r="R458" s="18" t="str">
        <f>IF(BITWISE_AND('Raw Data'!$L459, 1024),"X","")</f>
        <v/>
      </c>
      <c r="S458" s="18" t="str">
        <f>IF(BITWISE_AND('Raw Data'!$L459, 512),"X","")</f>
        <v/>
      </c>
      <c r="T458" s="18" t="str">
        <f>IF(BITWISE_AND('Raw Data'!$L459, 256),"X","")</f>
        <v/>
      </c>
      <c r="U458" s="18" t="str">
        <f>IF(BITWISE_AND('Raw Data'!$L459, 64),"X","")</f>
        <v/>
      </c>
      <c r="V458" s="18" t="str">
        <f>IF(BITWISE_AND('Raw Data'!$L459, 2),"X","")</f>
        <v/>
      </c>
      <c r="W458" s="18" t="str">
        <f>IF(BITWISE_AND('Raw Data'!$L459, 1),"X","")</f>
        <v/>
      </c>
      <c r="X458" s="19" t="str">
        <f>IF(BITWISE_AND('Raw Data'!M459, 1),"Bat Voltage", IF(BITWISE_AND('Raw Data'!M459, 2), "Charge Current", IF(BITWISE_AND('Raw Data'!M459, 4),"Input Ilim", IF(BITWISE_AND('Raw Data'!M459, 8), "Input UV", "none"))))</f>
        <v>none</v>
      </c>
    </row>
    <row r="459" spans="1:24" x14ac:dyDescent="0.2">
      <c r="A459" s="15">
        <f>A458+TIME(0,0,'Raw Data'!B459)</f>
        <v>0</v>
      </c>
      <c r="B459" s="4">
        <f>'Raw Data'!C460*0.025</f>
        <v>0</v>
      </c>
      <c r="C459" s="4">
        <f t="shared" si="21"/>
        <v>0</v>
      </c>
      <c r="D459" s="4">
        <f>'Raw Data'!D460*0.025</f>
        <v>0</v>
      </c>
      <c r="E459" s="4">
        <f t="shared" si="22"/>
        <v>0</v>
      </c>
      <c r="F459" s="4">
        <f>'Raw Data'!E460*0.001648</f>
        <v>0</v>
      </c>
      <c r="G459" s="4">
        <f>'Raw Data'!F460*0.001648</f>
        <v>0</v>
      </c>
      <c r="H459" s="4">
        <f>'Raw Data'!G460*6*0.000128176</f>
        <v>0</v>
      </c>
      <c r="I459" s="4">
        <f>'Raw Data'!H460*0.000732435</f>
        <v>0</v>
      </c>
      <c r="J459" s="4">
        <f t="shared" si="23"/>
        <v>0</v>
      </c>
      <c r="K459" s="36">
        <f>IF(('Raw Data'!I460-16384)/32768&lt;0,0,('Raw Data'!I460-16384)/32768)</f>
        <v>0</v>
      </c>
      <c r="L459" s="4">
        <f>IF(('Raw Data'!J460-12010)/45.6=-263.377192982456,0,('Raw Data'!J460-12010)/45.6)</f>
        <v>0</v>
      </c>
      <c r="M459" s="16">
        <f>'Raw Data'!N460*2^-8</f>
        <v>0</v>
      </c>
      <c r="N459" s="16">
        <f>'Raw Data'!O460*2^-8</f>
        <v>0</v>
      </c>
      <c r="O459" s="17" t="str">
        <f>IF(BITWISE_AND('Raw Data'!$K460, 8192),"X","")</f>
        <v/>
      </c>
      <c r="P459" s="17" t="str">
        <f>IF(BITWISE_AND('Raw Data'!$K460, 2048),"X","")</f>
        <v/>
      </c>
      <c r="Q459" s="17" t="str">
        <f>IF(BITWISE_AND('Raw Data'!$K460, 64),"X","")</f>
        <v/>
      </c>
      <c r="R459" s="18" t="str">
        <f>IF(BITWISE_AND('Raw Data'!$L460, 1024),"X","")</f>
        <v/>
      </c>
      <c r="S459" s="18" t="str">
        <f>IF(BITWISE_AND('Raw Data'!$L460, 512),"X","")</f>
        <v/>
      </c>
      <c r="T459" s="18" t="str">
        <f>IF(BITWISE_AND('Raw Data'!$L460, 256),"X","")</f>
        <v/>
      </c>
      <c r="U459" s="18" t="str">
        <f>IF(BITWISE_AND('Raw Data'!$L460, 64),"X","")</f>
        <v/>
      </c>
      <c r="V459" s="18" t="str">
        <f>IF(BITWISE_AND('Raw Data'!$L460, 2),"X","")</f>
        <v/>
      </c>
      <c r="W459" s="18" t="str">
        <f>IF(BITWISE_AND('Raw Data'!$L460, 1),"X","")</f>
        <v/>
      </c>
      <c r="X459" s="19" t="str">
        <f>IF(BITWISE_AND('Raw Data'!M460, 1),"Bat Voltage", IF(BITWISE_AND('Raw Data'!M460, 2), "Charge Current", IF(BITWISE_AND('Raw Data'!M460, 4),"Input Ilim", IF(BITWISE_AND('Raw Data'!M460, 8), "Input UV", "none"))))</f>
        <v>none</v>
      </c>
    </row>
    <row r="460" spans="1:24" x14ac:dyDescent="0.2">
      <c r="A460" s="15">
        <f>A459+TIME(0,0,'Raw Data'!B460)</f>
        <v>0</v>
      </c>
      <c r="B460" s="4">
        <f>'Raw Data'!C461*0.025</f>
        <v>0</v>
      </c>
      <c r="C460" s="4">
        <f t="shared" si="21"/>
        <v>0</v>
      </c>
      <c r="D460" s="4">
        <f>'Raw Data'!D461*0.025</f>
        <v>0</v>
      </c>
      <c r="E460" s="4">
        <f t="shared" si="22"/>
        <v>0</v>
      </c>
      <c r="F460" s="4">
        <f>'Raw Data'!E461*0.001648</f>
        <v>0</v>
      </c>
      <c r="G460" s="4">
        <f>'Raw Data'!F461*0.001648</f>
        <v>0</v>
      </c>
      <c r="H460" s="4">
        <f>'Raw Data'!G461*6*0.000128176</f>
        <v>0</v>
      </c>
      <c r="I460" s="4">
        <f>'Raw Data'!H461*0.000732435</f>
        <v>0</v>
      </c>
      <c r="J460" s="4">
        <f t="shared" si="23"/>
        <v>0</v>
      </c>
      <c r="K460" s="36">
        <f>IF(('Raw Data'!I461-16384)/32768&lt;0,0,('Raw Data'!I461-16384)/32768)</f>
        <v>0</v>
      </c>
      <c r="L460" s="4">
        <f>IF(('Raw Data'!J461-12010)/45.6=-263.377192982456,0,('Raw Data'!J461-12010)/45.6)</f>
        <v>0</v>
      </c>
      <c r="M460" s="16">
        <f>'Raw Data'!N461*2^-8</f>
        <v>0</v>
      </c>
      <c r="N460" s="16">
        <f>'Raw Data'!O461*2^-8</f>
        <v>0</v>
      </c>
      <c r="O460" s="17" t="str">
        <f>IF(BITWISE_AND('Raw Data'!$K461, 8192),"X","")</f>
        <v/>
      </c>
      <c r="P460" s="17" t="str">
        <f>IF(BITWISE_AND('Raw Data'!$K461, 2048),"X","")</f>
        <v/>
      </c>
      <c r="Q460" s="17" t="str">
        <f>IF(BITWISE_AND('Raw Data'!$K461, 64),"X","")</f>
        <v/>
      </c>
      <c r="R460" s="18" t="str">
        <f>IF(BITWISE_AND('Raw Data'!$L461, 1024),"X","")</f>
        <v/>
      </c>
      <c r="S460" s="18" t="str">
        <f>IF(BITWISE_AND('Raw Data'!$L461, 512),"X","")</f>
        <v/>
      </c>
      <c r="T460" s="18" t="str">
        <f>IF(BITWISE_AND('Raw Data'!$L461, 256),"X","")</f>
        <v/>
      </c>
      <c r="U460" s="18" t="str">
        <f>IF(BITWISE_AND('Raw Data'!$L461, 64),"X","")</f>
        <v/>
      </c>
      <c r="V460" s="18" t="str">
        <f>IF(BITWISE_AND('Raw Data'!$L461, 2),"X","")</f>
        <v/>
      </c>
      <c r="W460" s="18" t="str">
        <f>IF(BITWISE_AND('Raw Data'!$L461, 1),"X","")</f>
        <v/>
      </c>
      <c r="X460" s="19" t="str">
        <f>IF(BITWISE_AND('Raw Data'!M461, 1),"Bat Voltage", IF(BITWISE_AND('Raw Data'!M461, 2), "Charge Current", IF(BITWISE_AND('Raw Data'!M461, 4),"Input Ilim", IF(BITWISE_AND('Raw Data'!M461, 8), "Input UV", "none"))))</f>
        <v>none</v>
      </c>
    </row>
    <row r="461" spans="1:24" x14ac:dyDescent="0.2">
      <c r="A461" s="15">
        <f>A460+TIME(0,0,'Raw Data'!B461)</f>
        <v>0</v>
      </c>
      <c r="B461" s="4">
        <f>'Raw Data'!C462*0.025</f>
        <v>0</v>
      </c>
      <c r="C461" s="4">
        <f t="shared" si="21"/>
        <v>0</v>
      </c>
      <c r="D461" s="4">
        <f>'Raw Data'!D462*0.025</f>
        <v>0</v>
      </c>
      <c r="E461" s="4">
        <f t="shared" si="22"/>
        <v>0</v>
      </c>
      <c r="F461" s="4">
        <f>'Raw Data'!E462*0.001648</f>
        <v>0</v>
      </c>
      <c r="G461" s="4">
        <f>'Raw Data'!F462*0.001648</f>
        <v>0</v>
      </c>
      <c r="H461" s="4">
        <f>'Raw Data'!G462*6*0.000128176</f>
        <v>0</v>
      </c>
      <c r="I461" s="4">
        <f>'Raw Data'!H462*0.000732435</f>
        <v>0</v>
      </c>
      <c r="J461" s="4">
        <f t="shared" si="23"/>
        <v>0</v>
      </c>
      <c r="K461" s="36">
        <f>IF(('Raw Data'!I462-16384)/32768&lt;0,0,('Raw Data'!I462-16384)/32768)</f>
        <v>0</v>
      </c>
      <c r="L461" s="4">
        <f>IF(('Raw Data'!J462-12010)/45.6=-263.377192982456,0,('Raw Data'!J462-12010)/45.6)</f>
        <v>0</v>
      </c>
      <c r="M461" s="16">
        <f>'Raw Data'!N462*2^-8</f>
        <v>0</v>
      </c>
      <c r="N461" s="16">
        <f>'Raw Data'!O462*2^-8</f>
        <v>0</v>
      </c>
      <c r="O461" s="17" t="str">
        <f>IF(BITWISE_AND('Raw Data'!$K462, 8192),"X","")</f>
        <v/>
      </c>
      <c r="P461" s="17" t="str">
        <f>IF(BITWISE_AND('Raw Data'!$K462, 2048),"X","")</f>
        <v/>
      </c>
      <c r="Q461" s="17" t="str">
        <f>IF(BITWISE_AND('Raw Data'!$K462, 64),"X","")</f>
        <v/>
      </c>
      <c r="R461" s="18" t="str">
        <f>IF(BITWISE_AND('Raw Data'!$L462, 1024),"X","")</f>
        <v/>
      </c>
      <c r="S461" s="18" t="str">
        <f>IF(BITWISE_AND('Raw Data'!$L462, 512),"X","")</f>
        <v/>
      </c>
      <c r="T461" s="18" t="str">
        <f>IF(BITWISE_AND('Raw Data'!$L462, 256),"X","")</f>
        <v/>
      </c>
      <c r="U461" s="18" t="str">
        <f>IF(BITWISE_AND('Raw Data'!$L462, 64),"X","")</f>
        <v/>
      </c>
      <c r="V461" s="18" t="str">
        <f>IF(BITWISE_AND('Raw Data'!$L462, 2),"X","")</f>
        <v/>
      </c>
      <c r="W461" s="18" t="str">
        <f>IF(BITWISE_AND('Raw Data'!$L462, 1),"X","")</f>
        <v/>
      </c>
      <c r="X461" s="19" t="str">
        <f>IF(BITWISE_AND('Raw Data'!M462, 1),"Bat Voltage", IF(BITWISE_AND('Raw Data'!M462, 2), "Charge Current", IF(BITWISE_AND('Raw Data'!M462, 4),"Input Ilim", IF(BITWISE_AND('Raw Data'!M462, 8), "Input UV", "none"))))</f>
        <v>none</v>
      </c>
    </row>
    <row r="462" spans="1:24" x14ac:dyDescent="0.2">
      <c r="A462" s="15">
        <f>A461+TIME(0,0,'Raw Data'!B462)</f>
        <v>0</v>
      </c>
      <c r="B462" s="4">
        <f>'Raw Data'!C463*0.025</f>
        <v>0</v>
      </c>
      <c r="C462" s="4">
        <f t="shared" si="21"/>
        <v>0</v>
      </c>
      <c r="D462" s="4">
        <f>'Raw Data'!D463*0.025</f>
        <v>0</v>
      </c>
      <c r="E462" s="4">
        <f t="shared" si="22"/>
        <v>0</v>
      </c>
      <c r="F462" s="4">
        <f>'Raw Data'!E463*0.001648</f>
        <v>0</v>
      </c>
      <c r="G462" s="4">
        <f>'Raw Data'!F463*0.001648</f>
        <v>0</v>
      </c>
      <c r="H462" s="4">
        <f>'Raw Data'!G463*6*0.000128176</f>
        <v>0</v>
      </c>
      <c r="I462" s="4">
        <f>'Raw Data'!H463*0.000732435</f>
        <v>0</v>
      </c>
      <c r="J462" s="4">
        <f t="shared" si="23"/>
        <v>0</v>
      </c>
      <c r="K462" s="36">
        <f>IF(('Raw Data'!I463-16384)/32768&lt;0,0,('Raw Data'!I463-16384)/32768)</f>
        <v>0</v>
      </c>
      <c r="L462" s="4">
        <f>IF(('Raw Data'!J463-12010)/45.6=-263.377192982456,0,('Raw Data'!J463-12010)/45.6)</f>
        <v>0</v>
      </c>
      <c r="M462" s="16">
        <f>'Raw Data'!N463*2^-8</f>
        <v>0</v>
      </c>
      <c r="N462" s="16">
        <f>'Raw Data'!O463*2^-8</f>
        <v>0</v>
      </c>
      <c r="O462" s="17" t="str">
        <f>IF(BITWISE_AND('Raw Data'!$K463, 8192),"X","")</f>
        <v/>
      </c>
      <c r="P462" s="17" t="str">
        <f>IF(BITWISE_AND('Raw Data'!$K463, 2048),"X","")</f>
        <v/>
      </c>
      <c r="Q462" s="17" t="str">
        <f>IF(BITWISE_AND('Raw Data'!$K463, 64),"X","")</f>
        <v/>
      </c>
      <c r="R462" s="18" t="str">
        <f>IF(BITWISE_AND('Raw Data'!$L463, 1024),"X","")</f>
        <v/>
      </c>
      <c r="S462" s="18" t="str">
        <f>IF(BITWISE_AND('Raw Data'!$L463, 512),"X","")</f>
        <v/>
      </c>
      <c r="T462" s="18" t="str">
        <f>IF(BITWISE_AND('Raw Data'!$L463, 256),"X","")</f>
        <v/>
      </c>
      <c r="U462" s="18" t="str">
        <f>IF(BITWISE_AND('Raw Data'!$L463, 64),"X","")</f>
        <v/>
      </c>
      <c r="V462" s="18" t="str">
        <f>IF(BITWISE_AND('Raw Data'!$L463, 2),"X","")</f>
        <v/>
      </c>
      <c r="W462" s="18" t="str">
        <f>IF(BITWISE_AND('Raw Data'!$L463, 1),"X","")</f>
        <v/>
      </c>
      <c r="X462" s="19" t="str">
        <f>IF(BITWISE_AND('Raw Data'!M463, 1),"Bat Voltage", IF(BITWISE_AND('Raw Data'!M463, 2), "Charge Current", IF(BITWISE_AND('Raw Data'!M463, 4),"Input Ilim", IF(BITWISE_AND('Raw Data'!M463, 8), "Input UV", "none"))))</f>
        <v>none</v>
      </c>
    </row>
    <row r="463" spans="1:24" x14ac:dyDescent="0.2">
      <c r="A463" s="15">
        <f>A462+TIME(0,0,'Raw Data'!B463)</f>
        <v>0</v>
      </c>
      <c r="B463" s="4">
        <f>'Raw Data'!C464*0.025</f>
        <v>0</v>
      </c>
      <c r="C463" s="4">
        <f t="shared" si="21"/>
        <v>0</v>
      </c>
      <c r="D463" s="4">
        <f>'Raw Data'!D464*0.025</f>
        <v>0</v>
      </c>
      <c r="E463" s="4">
        <f t="shared" si="22"/>
        <v>0</v>
      </c>
      <c r="F463" s="4">
        <f>'Raw Data'!E464*0.001648</f>
        <v>0</v>
      </c>
      <c r="G463" s="4">
        <f>'Raw Data'!F464*0.001648</f>
        <v>0</v>
      </c>
      <c r="H463" s="4">
        <f>'Raw Data'!G464*6*0.000128176</f>
        <v>0</v>
      </c>
      <c r="I463" s="4">
        <f>'Raw Data'!H464*0.000732435</f>
        <v>0</v>
      </c>
      <c r="J463" s="4">
        <f t="shared" si="23"/>
        <v>0</v>
      </c>
      <c r="K463" s="36">
        <f>IF(('Raw Data'!I464-16384)/32768&lt;0,0,('Raw Data'!I464-16384)/32768)</f>
        <v>0</v>
      </c>
      <c r="L463" s="4">
        <f>IF(('Raw Data'!J464-12010)/45.6=-263.377192982456,0,('Raw Data'!J464-12010)/45.6)</f>
        <v>0</v>
      </c>
      <c r="M463" s="16">
        <f>'Raw Data'!N464*2^-8</f>
        <v>0</v>
      </c>
      <c r="N463" s="16">
        <f>'Raw Data'!O464*2^-8</f>
        <v>0</v>
      </c>
      <c r="O463" s="17" t="str">
        <f>IF(BITWISE_AND('Raw Data'!$K464, 8192),"X","")</f>
        <v/>
      </c>
      <c r="P463" s="17" t="str">
        <f>IF(BITWISE_AND('Raw Data'!$K464, 2048),"X","")</f>
        <v/>
      </c>
      <c r="Q463" s="17" t="str">
        <f>IF(BITWISE_AND('Raw Data'!$K464, 64),"X","")</f>
        <v/>
      </c>
      <c r="R463" s="18" t="str">
        <f>IF(BITWISE_AND('Raw Data'!$L464, 1024),"X","")</f>
        <v/>
      </c>
      <c r="S463" s="18" t="str">
        <f>IF(BITWISE_AND('Raw Data'!$L464, 512),"X","")</f>
        <v/>
      </c>
      <c r="T463" s="18" t="str">
        <f>IF(BITWISE_AND('Raw Data'!$L464, 256),"X","")</f>
        <v/>
      </c>
      <c r="U463" s="18" t="str">
        <f>IF(BITWISE_AND('Raw Data'!$L464, 64),"X","")</f>
        <v/>
      </c>
      <c r="V463" s="18" t="str">
        <f>IF(BITWISE_AND('Raw Data'!$L464, 2),"X","")</f>
        <v/>
      </c>
      <c r="W463" s="18" t="str">
        <f>IF(BITWISE_AND('Raw Data'!$L464, 1),"X","")</f>
        <v/>
      </c>
      <c r="X463" s="19" t="str">
        <f>IF(BITWISE_AND('Raw Data'!M464, 1),"Bat Voltage", IF(BITWISE_AND('Raw Data'!M464, 2), "Charge Current", IF(BITWISE_AND('Raw Data'!M464, 4),"Input Ilim", IF(BITWISE_AND('Raw Data'!M464, 8), "Input UV", "none"))))</f>
        <v>none</v>
      </c>
    </row>
    <row r="464" spans="1:24" x14ac:dyDescent="0.2">
      <c r="A464" s="15">
        <f>A463+TIME(0,0,'Raw Data'!B464)</f>
        <v>0</v>
      </c>
      <c r="B464" s="4">
        <f>'Raw Data'!C465*0.025</f>
        <v>0</v>
      </c>
      <c r="C464" s="4">
        <f t="shared" si="21"/>
        <v>0</v>
      </c>
      <c r="D464" s="4">
        <f>'Raw Data'!D465*0.025</f>
        <v>0</v>
      </c>
      <c r="E464" s="4">
        <f t="shared" si="22"/>
        <v>0</v>
      </c>
      <c r="F464" s="4">
        <f>'Raw Data'!E465*0.001648</f>
        <v>0</v>
      </c>
      <c r="G464" s="4">
        <f>'Raw Data'!F465*0.001648</f>
        <v>0</v>
      </c>
      <c r="H464" s="4">
        <f>'Raw Data'!G465*6*0.000128176</f>
        <v>0</v>
      </c>
      <c r="I464" s="4">
        <f>'Raw Data'!H465*0.000732435</f>
        <v>0</v>
      </c>
      <c r="J464" s="4">
        <f t="shared" si="23"/>
        <v>0</v>
      </c>
      <c r="K464" s="36">
        <f>IF(('Raw Data'!I465-16384)/32768&lt;0,0,('Raw Data'!I465-16384)/32768)</f>
        <v>0</v>
      </c>
      <c r="L464" s="4">
        <f>IF(('Raw Data'!J465-12010)/45.6=-263.377192982456,0,('Raw Data'!J465-12010)/45.6)</f>
        <v>0</v>
      </c>
      <c r="M464" s="16">
        <f>'Raw Data'!N465*2^-8</f>
        <v>0</v>
      </c>
      <c r="N464" s="16">
        <f>'Raw Data'!O465*2^-8</f>
        <v>0</v>
      </c>
      <c r="O464" s="17" t="str">
        <f>IF(BITWISE_AND('Raw Data'!$K465, 8192),"X","")</f>
        <v/>
      </c>
      <c r="P464" s="17" t="str">
        <f>IF(BITWISE_AND('Raw Data'!$K465, 2048),"X","")</f>
        <v/>
      </c>
      <c r="Q464" s="17" t="str">
        <f>IF(BITWISE_AND('Raw Data'!$K465, 64),"X","")</f>
        <v/>
      </c>
      <c r="R464" s="18" t="str">
        <f>IF(BITWISE_AND('Raw Data'!$L465, 1024),"X","")</f>
        <v/>
      </c>
      <c r="S464" s="18" t="str">
        <f>IF(BITWISE_AND('Raw Data'!$L465, 512),"X","")</f>
        <v/>
      </c>
      <c r="T464" s="18" t="str">
        <f>IF(BITWISE_AND('Raw Data'!$L465, 256),"X","")</f>
        <v/>
      </c>
      <c r="U464" s="18" t="str">
        <f>IF(BITWISE_AND('Raw Data'!$L465, 64),"X","")</f>
        <v/>
      </c>
      <c r="V464" s="18" t="str">
        <f>IF(BITWISE_AND('Raw Data'!$L465, 2),"X","")</f>
        <v/>
      </c>
      <c r="W464" s="18" t="str">
        <f>IF(BITWISE_AND('Raw Data'!$L465, 1),"X","")</f>
        <v/>
      </c>
      <c r="X464" s="19" t="str">
        <f>IF(BITWISE_AND('Raw Data'!M465, 1),"Bat Voltage", IF(BITWISE_AND('Raw Data'!M465, 2), "Charge Current", IF(BITWISE_AND('Raw Data'!M465, 4),"Input Ilim", IF(BITWISE_AND('Raw Data'!M465, 8), "Input UV", "none"))))</f>
        <v>none</v>
      </c>
    </row>
    <row r="465" spans="1:24" x14ac:dyDescent="0.2">
      <c r="A465" s="15">
        <f>A464+TIME(0,0,'Raw Data'!B465)</f>
        <v>0</v>
      </c>
      <c r="B465" s="4">
        <f>'Raw Data'!C466*0.025</f>
        <v>0</v>
      </c>
      <c r="C465" s="4">
        <f t="shared" si="21"/>
        <v>0</v>
      </c>
      <c r="D465" s="4">
        <f>'Raw Data'!D466*0.025</f>
        <v>0</v>
      </c>
      <c r="E465" s="4">
        <f t="shared" si="22"/>
        <v>0</v>
      </c>
      <c r="F465" s="4">
        <f>'Raw Data'!E466*0.001648</f>
        <v>0</v>
      </c>
      <c r="G465" s="4">
        <f>'Raw Data'!F466*0.001648</f>
        <v>0</v>
      </c>
      <c r="H465" s="4">
        <f>'Raw Data'!G466*6*0.000128176</f>
        <v>0</v>
      </c>
      <c r="I465" s="4">
        <f>'Raw Data'!H466*0.000732435</f>
        <v>0</v>
      </c>
      <c r="J465" s="4">
        <f t="shared" si="23"/>
        <v>0</v>
      </c>
      <c r="K465" s="36">
        <f>IF(('Raw Data'!I466-16384)/32768&lt;0,0,('Raw Data'!I466-16384)/32768)</f>
        <v>0</v>
      </c>
      <c r="L465" s="4">
        <f>IF(('Raw Data'!J466-12010)/45.6=-263.377192982456,0,('Raw Data'!J466-12010)/45.6)</f>
        <v>0</v>
      </c>
      <c r="M465" s="16">
        <f>'Raw Data'!N466*2^-8</f>
        <v>0</v>
      </c>
      <c r="N465" s="16">
        <f>'Raw Data'!O466*2^-8</f>
        <v>0</v>
      </c>
      <c r="O465" s="17" t="str">
        <f>IF(BITWISE_AND('Raw Data'!$K466, 8192),"X","")</f>
        <v/>
      </c>
      <c r="P465" s="17" t="str">
        <f>IF(BITWISE_AND('Raw Data'!$K466, 2048),"X","")</f>
        <v/>
      </c>
      <c r="Q465" s="17" t="str">
        <f>IF(BITWISE_AND('Raw Data'!$K466, 64),"X","")</f>
        <v/>
      </c>
      <c r="R465" s="18" t="str">
        <f>IF(BITWISE_AND('Raw Data'!$L466, 1024),"X","")</f>
        <v/>
      </c>
      <c r="S465" s="18" t="str">
        <f>IF(BITWISE_AND('Raw Data'!$L466, 512),"X","")</f>
        <v/>
      </c>
      <c r="T465" s="18" t="str">
        <f>IF(BITWISE_AND('Raw Data'!$L466, 256),"X","")</f>
        <v/>
      </c>
      <c r="U465" s="18" t="str">
        <f>IF(BITWISE_AND('Raw Data'!$L466, 64),"X","")</f>
        <v/>
      </c>
      <c r="V465" s="18" t="str">
        <f>IF(BITWISE_AND('Raw Data'!$L466, 2),"X","")</f>
        <v/>
      </c>
      <c r="W465" s="18" t="str">
        <f>IF(BITWISE_AND('Raw Data'!$L466, 1),"X","")</f>
        <v/>
      </c>
      <c r="X465" s="19" t="str">
        <f>IF(BITWISE_AND('Raw Data'!M466, 1),"Bat Voltage", IF(BITWISE_AND('Raw Data'!M466, 2), "Charge Current", IF(BITWISE_AND('Raw Data'!M466, 4),"Input Ilim", IF(BITWISE_AND('Raw Data'!M466, 8), "Input UV", "none"))))</f>
        <v>none</v>
      </c>
    </row>
    <row r="466" spans="1:24" x14ac:dyDescent="0.2">
      <c r="A466" s="15">
        <f>A465+TIME(0,0,'Raw Data'!B466)</f>
        <v>0</v>
      </c>
      <c r="B466" s="4">
        <f>'Raw Data'!C467*0.025</f>
        <v>0</v>
      </c>
      <c r="C466" s="4">
        <f t="shared" si="21"/>
        <v>0</v>
      </c>
      <c r="D466" s="4">
        <f>'Raw Data'!D467*0.025</f>
        <v>0</v>
      </c>
      <c r="E466" s="4">
        <f t="shared" si="22"/>
        <v>0</v>
      </c>
      <c r="F466" s="4">
        <f>'Raw Data'!E467*0.001648</f>
        <v>0</v>
      </c>
      <c r="G466" s="4">
        <f>'Raw Data'!F467*0.001648</f>
        <v>0</v>
      </c>
      <c r="H466" s="4">
        <f>'Raw Data'!G467*6*0.000128176</f>
        <v>0</v>
      </c>
      <c r="I466" s="4">
        <f>'Raw Data'!H467*0.000732435</f>
        <v>0</v>
      </c>
      <c r="J466" s="4">
        <f t="shared" si="23"/>
        <v>0</v>
      </c>
      <c r="K466" s="36">
        <f>IF(('Raw Data'!I467-16384)/32768&lt;0,0,('Raw Data'!I467-16384)/32768)</f>
        <v>0</v>
      </c>
      <c r="L466" s="4">
        <f>IF(('Raw Data'!J467-12010)/45.6=-263.377192982456,0,('Raw Data'!J467-12010)/45.6)</f>
        <v>0</v>
      </c>
      <c r="M466" s="16">
        <f>'Raw Data'!N467*2^-8</f>
        <v>0</v>
      </c>
      <c r="N466" s="16">
        <f>'Raw Data'!O467*2^-8</f>
        <v>0</v>
      </c>
      <c r="O466" s="17" t="str">
        <f>IF(BITWISE_AND('Raw Data'!$K467, 8192),"X","")</f>
        <v/>
      </c>
      <c r="P466" s="17" t="str">
        <f>IF(BITWISE_AND('Raw Data'!$K467, 2048),"X","")</f>
        <v/>
      </c>
      <c r="Q466" s="17" t="str">
        <f>IF(BITWISE_AND('Raw Data'!$K467, 64),"X","")</f>
        <v/>
      </c>
      <c r="R466" s="18" t="str">
        <f>IF(BITWISE_AND('Raw Data'!$L467, 1024),"X","")</f>
        <v/>
      </c>
      <c r="S466" s="18" t="str">
        <f>IF(BITWISE_AND('Raw Data'!$L467, 512),"X","")</f>
        <v/>
      </c>
      <c r="T466" s="18" t="str">
        <f>IF(BITWISE_AND('Raw Data'!$L467, 256),"X","")</f>
        <v/>
      </c>
      <c r="U466" s="18" t="str">
        <f>IF(BITWISE_AND('Raw Data'!$L467, 64),"X","")</f>
        <v/>
      </c>
      <c r="V466" s="18" t="str">
        <f>IF(BITWISE_AND('Raw Data'!$L467, 2),"X","")</f>
        <v/>
      </c>
      <c r="W466" s="18" t="str">
        <f>IF(BITWISE_AND('Raw Data'!$L467, 1),"X","")</f>
        <v/>
      </c>
      <c r="X466" s="19" t="str">
        <f>IF(BITWISE_AND('Raw Data'!M467, 1),"Bat Voltage", IF(BITWISE_AND('Raw Data'!M467, 2), "Charge Current", IF(BITWISE_AND('Raw Data'!M467, 4),"Input Ilim", IF(BITWISE_AND('Raw Data'!M467, 8), "Input UV", "none"))))</f>
        <v>none</v>
      </c>
    </row>
    <row r="467" spans="1:24" x14ac:dyDescent="0.2">
      <c r="A467" s="15">
        <f>A466+TIME(0,0,'Raw Data'!B467)</f>
        <v>0</v>
      </c>
      <c r="B467" s="4">
        <f>'Raw Data'!C468*0.025</f>
        <v>0</v>
      </c>
      <c r="C467" s="4">
        <f t="shared" si="21"/>
        <v>0</v>
      </c>
      <c r="D467" s="4">
        <f>'Raw Data'!D468*0.025</f>
        <v>0</v>
      </c>
      <c r="E467" s="4">
        <f t="shared" si="22"/>
        <v>0</v>
      </c>
      <c r="F467" s="4">
        <f>'Raw Data'!E468*0.001648</f>
        <v>0</v>
      </c>
      <c r="G467" s="4">
        <f>'Raw Data'!F468*0.001648</f>
        <v>0</v>
      </c>
      <c r="H467" s="4">
        <f>'Raw Data'!G468*6*0.000128176</f>
        <v>0</v>
      </c>
      <c r="I467" s="4">
        <f>'Raw Data'!H468*0.000732435</f>
        <v>0</v>
      </c>
      <c r="J467" s="4">
        <f t="shared" si="23"/>
        <v>0</v>
      </c>
      <c r="K467" s="36">
        <f>IF(('Raw Data'!I468-16384)/32768&lt;0,0,('Raw Data'!I468-16384)/32768)</f>
        <v>0</v>
      </c>
      <c r="L467" s="4">
        <f>IF(('Raw Data'!J468-12010)/45.6=-263.377192982456,0,('Raw Data'!J468-12010)/45.6)</f>
        <v>0</v>
      </c>
      <c r="M467" s="16">
        <f>'Raw Data'!N468*2^-8</f>
        <v>0</v>
      </c>
      <c r="N467" s="16">
        <f>'Raw Data'!O468*2^-8</f>
        <v>0</v>
      </c>
      <c r="O467" s="17" t="str">
        <f>IF(BITWISE_AND('Raw Data'!$K468, 8192),"X","")</f>
        <v/>
      </c>
      <c r="P467" s="17" t="str">
        <f>IF(BITWISE_AND('Raw Data'!$K468, 2048),"X","")</f>
        <v/>
      </c>
      <c r="Q467" s="17" t="str">
        <f>IF(BITWISE_AND('Raw Data'!$K468, 64),"X","")</f>
        <v/>
      </c>
      <c r="R467" s="18" t="str">
        <f>IF(BITWISE_AND('Raw Data'!$L468, 1024),"X","")</f>
        <v/>
      </c>
      <c r="S467" s="18" t="str">
        <f>IF(BITWISE_AND('Raw Data'!$L468, 512),"X","")</f>
        <v/>
      </c>
      <c r="T467" s="18" t="str">
        <f>IF(BITWISE_AND('Raw Data'!$L468, 256),"X","")</f>
        <v/>
      </c>
      <c r="U467" s="18" t="str">
        <f>IF(BITWISE_AND('Raw Data'!$L468, 64),"X","")</f>
        <v/>
      </c>
      <c r="V467" s="18" t="str">
        <f>IF(BITWISE_AND('Raw Data'!$L468, 2),"X","")</f>
        <v/>
      </c>
      <c r="W467" s="18" t="str">
        <f>IF(BITWISE_AND('Raw Data'!$L468, 1),"X","")</f>
        <v/>
      </c>
      <c r="X467" s="19" t="str">
        <f>IF(BITWISE_AND('Raw Data'!M468, 1),"Bat Voltage", IF(BITWISE_AND('Raw Data'!M468, 2), "Charge Current", IF(BITWISE_AND('Raw Data'!M468, 4),"Input Ilim", IF(BITWISE_AND('Raw Data'!M468, 8), "Input UV", "none"))))</f>
        <v>none</v>
      </c>
    </row>
    <row r="468" spans="1:24" x14ac:dyDescent="0.2">
      <c r="A468" s="15">
        <f>A467+TIME(0,0,'Raw Data'!B468)</f>
        <v>0</v>
      </c>
      <c r="B468" s="4">
        <f>'Raw Data'!C469*0.025</f>
        <v>0</v>
      </c>
      <c r="C468" s="4">
        <f t="shared" si="21"/>
        <v>0</v>
      </c>
      <c r="D468" s="4">
        <f>'Raw Data'!D469*0.025</f>
        <v>0</v>
      </c>
      <c r="E468" s="4">
        <f t="shared" si="22"/>
        <v>0</v>
      </c>
      <c r="F468" s="4">
        <f>'Raw Data'!E469*0.001648</f>
        <v>0</v>
      </c>
      <c r="G468" s="4">
        <f>'Raw Data'!F469*0.001648</f>
        <v>0</v>
      </c>
      <c r="H468" s="4">
        <f>'Raw Data'!G469*6*0.000128176</f>
        <v>0</v>
      </c>
      <c r="I468" s="4">
        <f>'Raw Data'!H469*0.000732435</f>
        <v>0</v>
      </c>
      <c r="J468" s="4">
        <f t="shared" si="23"/>
        <v>0</v>
      </c>
      <c r="K468" s="36">
        <f>IF(('Raw Data'!I469-16384)/32768&lt;0,0,('Raw Data'!I469-16384)/32768)</f>
        <v>0</v>
      </c>
      <c r="L468" s="4">
        <f>IF(('Raw Data'!J469-12010)/45.6=-263.377192982456,0,('Raw Data'!J469-12010)/45.6)</f>
        <v>0</v>
      </c>
      <c r="M468" s="16">
        <f>'Raw Data'!N469*2^-8</f>
        <v>0</v>
      </c>
      <c r="N468" s="16">
        <f>'Raw Data'!O469*2^-8</f>
        <v>0</v>
      </c>
      <c r="O468" s="17" t="str">
        <f>IF(BITWISE_AND('Raw Data'!$K469, 8192),"X","")</f>
        <v/>
      </c>
      <c r="P468" s="17" t="str">
        <f>IF(BITWISE_AND('Raw Data'!$K469, 2048),"X","")</f>
        <v/>
      </c>
      <c r="Q468" s="17" t="str">
        <f>IF(BITWISE_AND('Raw Data'!$K469, 64),"X","")</f>
        <v/>
      </c>
      <c r="R468" s="18" t="str">
        <f>IF(BITWISE_AND('Raw Data'!$L469, 1024),"X","")</f>
        <v/>
      </c>
      <c r="S468" s="18" t="str">
        <f>IF(BITWISE_AND('Raw Data'!$L469, 512),"X","")</f>
        <v/>
      </c>
      <c r="T468" s="18" t="str">
        <f>IF(BITWISE_AND('Raw Data'!$L469, 256),"X","")</f>
        <v/>
      </c>
      <c r="U468" s="18" t="str">
        <f>IF(BITWISE_AND('Raw Data'!$L469, 64),"X","")</f>
        <v/>
      </c>
      <c r="V468" s="18" t="str">
        <f>IF(BITWISE_AND('Raw Data'!$L469, 2),"X","")</f>
        <v/>
      </c>
      <c r="W468" s="18" t="str">
        <f>IF(BITWISE_AND('Raw Data'!$L469, 1),"X","")</f>
        <v/>
      </c>
      <c r="X468" s="19" t="str">
        <f>IF(BITWISE_AND('Raw Data'!M469, 1),"Bat Voltage", IF(BITWISE_AND('Raw Data'!M469, 2), "Charge Current", IF(BITWISE_AND('Raw Data'!M469, 4),"Input Ilim", IF(BITWISE_AND('Raw Data'!M469, 8), "Input UV", "none"))))</f>
        <v>none</v>
      </c>
    </row>
    <row r="469" spans="1:24" x14ac:dyDescent="0.2">
      <c r="A469" s="15">
        <f>A468+TIME(0,0,'Raw Data'!B469)</f>
        <v>0</v>
      </c>
      <c r="B469" s="4">
        <f>'Raw Data'!C470*0.025</f>
        <v>0</v>
      </c>
      <c r="C469" s="4">
        <f t="shared" ref="C469:C532" si="24">C468+B469/60</f>
        <v>0</v>
      </c>
      <c r="D469" s="4">
        <f>'Raw Data'!D470*0.025</f>
        <v>0</v>
      </c>
      <c r="E469" s="4">
        <f t="shared" ref="E469:E532" si="25">E468+D469/60</f>
        <v>0</v>
      </c>
      <c r="F469" s="4">
        <f>'Raw Data'!E470*0.001648</f>
        <v>0</v>
      </c>
      <c r="G469" s="4">
        <f>'Raw Data'!F470*0.001648</f>
        <v>0</v>
      </c>
      <c r="H469" s="4">
        <f>'Raw Data'!G470*6*0.000128176</f>
        <v>0</v>
      </c>
      <c r="I469" s="4">
        <f>'Raw Data'!H470*0.000732435</f>
        <v>0</v>
      </c>
      <c r="J469" s="4">
        <f t="shared" si="23"/>
        <v>0</v>
      </c>
      <c r="K469" s="36">
        <f>IF(('Raw Data'!I470-16384)/32768&lt;0,0,('Raw Data'!I470-16384)/32768)</f>
        <v>0</v>
      </c>
      <c r="L469" s="4">
        <f>IF(('Raw Data'!J470-12010)/45.6=-263.377192982456,0,('Raw Data'!J470-12010)/45.6)</f>
        <v>0</v>
      </c>
      <c r="M469" s="16">
        <f>'Raw Data'!N470*2^-8</f>
        <v>0</v>
      </c>
      <c r="N469" s="16">
        <f>'Raw Data'!O470*2^-8</f>
        <v>0</v>
      </c>
      <c r="O469" s="17" t="str">
        <f>IF(BITWISE_AND('Raw Data'!$K470, 8192),"X","")</f>
        <v/>
      </c>
      <c r="P469" s="17" t="str">
        <f>IF(BITWISE_AND('Raw Data'!$K470, 2048),"X","")</f>
        <v/>
      </c>
      <c r="Q469" s="17" t="str">
        <f>IF(BITWISE_AND('Raw Data'!$K470, 64),"X","")</f>
        <v/>
      </c>
      <c r="R469" s="18" t="str">
        <f>IF(BITWISE_AND('Raw Data'!$L470, 1024),"X","")</f>
        <v/>
      </c>
      <c r="S469" s="18" t="str">
        <f>IF(BITWISE_AND('Raw Data'!$L470, 512),"X","")</f>
        <v/>
      </c>
      <c r="T469" s="18" t="str">
        <f>IF(BITWISE_AND('Raw Data'!$L470, 256),"X","")</f>
        <v/>
      </c>
      <c r="U469" s="18" t="str">
        <f>IF(BITWISE_AND('Raw Data'!$L470, 64),"X","")</f>
        <v/>
      </c>
      <c r="V469" s="18" t="str">
        <f>IF(BITWISE_AND('Raw Data'!$L470, 2),"X","")</f>
        <v/>
      </c>
      <c r="W469" s="18" t="str">
        <f>IF(BITWISE_AND('Raw Data'!$L470, 1),"X","")</f>
        <v/>
      </c>
      <c r="X469" s="19" t="str">
        <f>IF(BITWISE_AND('Raw Data'!M470, 1),"Bat Voltage", IF(BITWISE_AND('Raw Data'!M470, 2), "Charge Current", IF(BITWISE_AND('Raw Data'!M470, 4),"Input Ilim", IF(BITWISE_AND('Raw Data'!M470, 8), "Input UV", "none"))))</f>
        <v>none</v>
      </c>
    </row>
    <row r="470" spans="1:24" x14ac:dyDescent="0.2">
      <c r="A470" s="15">
        <f>A469+TIME(0,0,'Raw Data'!B470)</f>
        <v>0</v>
      </c>
      <c r="B470" s="4">
        <f>'Raw Data'!C471*0.025</f>
        <v>0</v>
      </c>
      <c r="C470" s="4">
        <f t="shared" si="24"/>
        <v>0</v>
      </c>
      <c r="D470" s="4">
        <f>'Raw Data'!D471*0.025</f>
        <v>0</v>
      </c>
      <c r="E470" s="4">
        <f t="shared" si="25"/>
        <v>0</v>
      </c>
      <c r="F470" s="4">
        <f>'Raw Data'!E471*0.001648</f>
        <v>0</v>
      </c>
      <c r="G470" s="4">
        <f>'Raw Data'!F471*0.001648</f>
        <v>0</v>
      </c>
      <c r="H470" s="4">
        <f>'Raw Data'!G471*6*0.000128176</f>
        <v>0</v>
      </c>
      <c r="I470" s="4">
        <f>'Raw Data'!H471*0.000732435</f>
        <v>0</v>
      </c>
      <c r="J470" s="4">
        <f t="shared" si="23"/>
        <v>0</v>
      </c>
      <c r="K470" s="36">
        <f>IF(('Raw Data'!I471-16384)/32768&lt;0,0,('Raw Data'!I471-16384)/32768)</f>
        <v>0</v>
      </c>
      <c r="L470" s="4">
        <f>IF(('Raw Data'!J471-12010)/45.6=-263.377192982456,0,('Raw Data'!J471-12010)/45.6)</f>
        <v>0</v>
      </c>
      <c r="M470" s="16">
        <f>'Raw Data'!N471*2^-8</f>
        <v>0</v>
      </c>
      <c r="N470" s="16">
        <f>'Raw Data'!O471*2^-8</f>
        <v>0</v>
      </c>
      <c r="O470" s="17" t="str">
        <f>IF(BITWISE_AND('Raw Data'!$K471, 8192),"X","")</f>
        <v/>
      </c>
      <c r="P470" s="17" t="str">
        <f>IF(BITWISE_AND('Raw Data'!$K471, 2048),"X","")</f>
        <v/>
      </c>
      <c r="Q470" s="17" t="str">
        <f>IF(BITWISE_AND('Raw Data'!$K471, 64),"X","")</f>
        <v/>
      </c>
      <c r="R470" s="18" t="str">
        <f>IF(BITWISE_AND('Raw Data'!$L471, 1024),"X","")</f>
        <v/>
      </c>
      <c r="S470" s="18" t="str">
        <f>IF(BITWISE_AND('Raw Data'!$L471, 512),"X","")</f>
        <v/>
      </c>
      <c r="T470" s="18" t="str">
        <f>IF(BITWISE_AND('Raw Data'!$L471, 256),"X","")</f>
        <v/>
      </c>
      <c r="U470" s="18" t="str">
        <f>IF(BITWISE_AND('Raw Data'!$L471, 64),"X","")</f>
        <v/>
      </c>
      <c r="V470" s="18" t="str">
        <f>IF(BITWISE_AND('Raw Data'!$L471, 2),"X","")</f>
        <v/>
      </c>
      <c r="W470" s="18" t="str">
        <f>IF(BITWISE_AND('Raw Data'!$L471, 1),"X","")</f>
        <v/>
      </c>
      <c r="X470" s="19" t="str">
        <f>IF(BITWISE_AND('Raw Data'!M471, 1),"Bat Voltage", IF(BITWISE_AND('Raw Data'!M471, 2), "Charge Current", IF(BITWISE_AND('Raw Data'!M471, 4),"Input Ilim", IF(BITWISE_AND('Raw Data'!M471, 8), "Input UV", "none"))))</f>
        <v>none</v>
      </c>
    </row>
    <row r="471" spans="1:24" x14ac:dyDescent="0.2">
      <c r="A471" s="15">
        <f>A470+TIME(0,0,'Raw Data'!B471)</f>
        <v>0</v>
      </c>
      <c r="B471" s="4">
        <f>'Raw Data'!C472*0.025</f>
        <v>0</v>
      </c>
      <c r="C471" s="4">
        <f t="shared" si="24"/>
        <v>0</v>
      </c>
      <c r="D471" s="4">
        <f>'Raw Data'!D472*0.025</f>
        <v>0</v>
      </c>
      <c r="E471" s="4">
        <f t="shared" si="25"/>
        <v>0</v>
      </c>
      <c r="F471" s="4">
        <f>'Raw Data'!E472*0.001648</f>
        <v>0</v>
      </c>
      <c r="G471" s="4">
        <f>'Raw Data'!F472*0.001648</f>
        <v>0</v>
      </c>
      <c r="H471" s="4">
        <f>'Raw Data'!G472*6*0.000128176</f>
        <v>0</v>
      </c>
      <c r="I471" s="4">
        <f>'Raw Data'!H472*0.000732435</f>
        <v>0</v>
      </c>
      <c r="J471" s="4">
        <f t="shared" si="23"/>
        <v>0</v>
      </c>
      <c r="K471" s="36">
        <f>IF(('Raw Data'!I472-16384)/32768&lt;0,0,('Raw Data'!I472-16384)/32768)</f>
        <v>0</v>
      </c>
      <c r="L471" s="4">
        <f>IF(('Raw Data'!J472-12010)/45.6=-263.377192982456,0,('Raw Data'!J472-12010)/45.6)</f>
        <v>0</v>
      </c>
      <c r="M471" s="16">
        <f>'Raw Data'!N472*2^-8</f>
        <v>0</v>
      </c>
      <c r="N471" s="16">
        <f>'Raw Data'!O472*2^-8</f>
        <v>0</v>
      </c>
      <c r="O471" s="17" t="str">
        <f>IF(BITWISE_AND('Raw Data'!$K472, 8192),"X","")</f>
        <v/>
      </c>
      <c r="P471" s="17" t="str">
        <f>IF(BITWISE_AND('Raw Data'!$K472, 2048),"X","")</f>
        <v/>
      </c>
      <c r="Q471" s="17" t="str">
        <f>IF(BITWISE_AND('Raw Data'!$K472, 64),"X","")</f>
        <v/>
      </c>
      <c r="R471" s="18" t="str">
        <f>IF(BITWISE_AND('Raw Data'!$L472, 1024),"X","")</f>
        <v/>
      </c>
      <c r="S471" s="18" t="str">
        <f>IF(BITWISE_AND('Raw Data'!$L472, 512),"X","")</f>
        <v/>
      </c>
      <c r="T471" s="18" t="str">
        <f>IF(BITWISE_AND('Raw Data'!$L472, 256),"X","")</f>
        <v/>
      </c>
      <c r="U471" s="18" t="str">
        <f>IF(BITWISE_AND('Raw Data'!$L472, 64),"X","")</f>
        <v/>
      </c>
      <c r="V471" s="18" t="str">
        <f>IF(BITWISE_AND('Raw Data'!$L472, 2),"X","")</f>
        <v/>
      </c>
      <c r="W471" s="18" t="str">
        <f>IF(BITWISE_AND('Raw Data'!$L472, 1),"X","")</f>
        <v/>
      </c>
      <c r="X471" s="19" t="str">
        <f>IF(BITWISE_AND('Raw Data'!M472, 1),"Bat Voltage", IF(BITWISE_AND('Raw Data'!M472, 2), "Charge Current", IF(BITWISE_AND('Raw Data'!M472, 4),"Input Ilim", IF(BITWISE_AND('Raw Data'!M472, 8), "Input UV", "none"))))</f>
        <v>none</v>
      </c>
    </row>
    <row r="472" spans="1:24" x14ac:dyDescent="0.2">
      <c r="A472" s="15">
        <f>A471+TIME(0,0,'Raw Data'!B472)</f>
        <v>0</v>
      </c>
      <c r="B472" s="4">
        <f>'Raw Data'!C473*0.025</f>
        <v>0</v>
      </c>
      <c r="C472" s="4">
        <f t="shared" si="24"/>
        <v>0</v>
      </c>
      <c r="D472" s="4">
        <f>'Raw Data'!D473*0.025</f>
        <v>0</v>
      </c>
      <c r="E472" s="4">
        <f t="shared" si="25"/>
        <v>0</v>
      </c>
      <c r="F472" s="4">
        <f>'Raw Data'!E473*0.001648</f>
        <v>0</v>
      </c>
      <c r="G472" s="4">
        <f>'Raw Data'!F473*0.001648</f>
        <v>0</v>
      </c>
      <c r="H472" s="4">
        <f>'Raw Data'!G473*6*0.000128176</f>
        <v>0</v>
      </c>
      <c r="I472" s="4">
        <f>'Raw Data'!H473*0.000732435</f>
        <v>0</v>
      </c>
      <c r="J472" s="4">
        <f t="shared" si="23"/>
        <v>0</v>
      </c>
      <c r="K472" s="36">
        <f>IF(('Raw Data'!I473-16384)/32768&lt;0,0,('Raw Data'!I473-16384)/32768)</f>
        <v>0</v>
      </c>
      <c r="L472" s="4">
        <f>IF(('Raw Data'!J473-12010)/45.6=-263.377192982456,0,('Raw Data'!J473-12010)/45.6)</f>
        <v>0</v>
      </c>
      <c r="M472" s="16">
        <f>'Raw Data'!N473*2^-8</f>
        <v>0</v>
      </c>
      <c r="N472" s="16">
        <f>'Raw Data'!O473*2^-8</f>
        <v>0</v>
      </c>
      <c r="O472" s="17" t="str">
        <f>IF(BITWISE_AND('Raw Data'!$K473, 8192),"X","")</f>
        <v/>
      </c>
      <c r="P472" s="17" t="str">
        <f>IF(BITWISE_AND('Raw Data'!$K473, 2048),"X","")</f>
        <v/>
      </c>
      <c r="Q472" s="17" t="str">
        <f>IF(BITWISE_AND('Raw Data'!$K473, 64),"X","")</f>
        <v/>
      </c>
      <c r="R472" s="18" t="str">
        <f>IF(BITWISE_AND('Raw Data'!$L473, 1024),"X","")</f>
        <v/>
      </c>
      <c r="S472" s="18" t="str">
        <f>IF(BITWISE_AND('Raw Data'!$L473, 512),"X","")</f>
        <v/>
      </c>
      <c r="T472" s="18" t="str">
        <f>IF(BITWISE_AND('Raw Data'!$L473, 256),"X","")</f>
        <v/>
      </c>
      <c r="U472" s="18" t="str">
        <f>IF(BITWISE_AND('Raw Data'!$L473, 64),"X","")</f>
        <v/>
      </c>
      <c r="V472" s="18" t="str">
        <f>IF(BITWISE_AND('Raw Data'!$L473, 2),"X","")</f>
        <v/>
      </c>
      <c r="W472" s="18" t="str">
        <f>IF(BITWISE_AND('Raw Data'!$L473, 1),"X","")</f>
        <v/>
      </c>
      <c r="X472" s="19" t="str">
        <f>IF(BITWISE_AND('Raw Data'!M473, 1),"Bat Voltage", IF(BITWISE_AND('Raw Data'!M473, 2), "Charge Current", IF(BITWISE_AND('Raw Data'!M473, 4),"Input Ilim", IF(BITWISE_AND('Raw Data'!M473, 8), "Input UV", "none"))))</f>
        <v>none</v>
      </c>
    </row>
    <row r="473" spans="1:24" x14ac:dyDescent="0.2">
      <c r="A473" s="15">
        <f>A472+TIME(0,0,'Raw Data'!B473)</f>
        <v>0</v>
      </c>
      <c r="B473" s="4">
        <f>'Raw Data'!C474*0.025</f>
        <v>0</v>
      </c>
      <c r="C473" s="4">
        <f t="shared" si="24"/>
        <v>0</v>
      </c>
      <c r="D473" s="4">
        <f>'Raw Data'!D474*0.025</f>
        <v>0</v>
      </c>
      <c r="E473" s="4">
        <f t="shared" si="25"/>
        <v>0</v>
      </c>
      <c r="F473" s="4">
        <f>'Raw Data'!E474*0.001648</f>
        <v>0</v>
      </c>
      <c r="G473" s="4">
        <f>'Raw Data'!F474*0.001648</f>
        <v>0</v>
      </c>
      <c r="H473" s="4">
        <f>'Raw Data'!G474*6*0.000128176</f>
        <v>0</v>
      </c>
      <c r="I473" s="4">
        <f>'Raw Data'!H474*0.000732435</f>
        <v>0</v>
      </c>
      <c r="J473" s="4">
        <f t="shared" si="23"/>
        <v>0</v>
      </c>
      <c r="K473" s="36">
        <f>IF(('Raw Data'!I474-16384)/32768&lt;0,0,('Raw Data'!I474-16384)/32768)</f>
        <v>0</v>
      </c>
      <c r="L473" s="4">
        <f>IF(('Raw Data'!J474-12010)/45.6=-263.377192982456,0,('Raw Data'!J474-12010)/45.6)</f>
        <v>0</v>
      </c>
      <c r="M473" s="16">
        <f>'Raw Data'!N474*2^-8</f>
        <v>0</v>
      </c>
      <c r="N473" s="16">
        <f>'Raw Data'!O474*2^-8</f>
        <v>0</v>
      </c>
      <c r="O473" s="17" t="str">
        <f>IF(BITWISE_AND('Raw Data'!$K474, 8192),"X","")</f>
        <v/>
      </c>
      <c r="P473" s="17" t="str">
        <f>IF(BITWISE_AND('Raw Data'!$K474, 2048),"X","")</f>
        <v/>
      </c>
      <c r="Q473" s="17" t="str">
        <f>IF(BITWISE_AND('Raw Data'!$K474, 64),"X","")</f>
        <v/>
      </c>
      <c r="R473" s="18" t="str">
        <f>IF(BITWISE_AND('Raw Data'!$L474, 1024),"X","")</f>
        <v/>
      </c>
      <c r="S473" s="18" t="str">
        <f>IF(BITWISE_AND('Raw Data'!$L474, 512),"X","")</f>
        <v/>
      </c>
      <c r="T473" s="18" t="str">
        <f>IF(BITWISE_AND('Raw Data'!$L474, 256),"X","")</f>
        <v/>
      </c>
      <c r="U473" s="18" t="str">
        <f>IF(BITWISE_AND('Raw Data'!$L474, 64),"X","")</f>
        <v/>
      </c>
      <c r="V473" s="18" t="str">
        <f>IF(BITWISE_AND('Raw Data'!$L474, 2),"X","")</f>
        <v/>
      </c>
      <c r="W473" s="18" t="str">
        <f>IF(BITWISE_AND('Raw Data'!$L474, 1),"X","")</f>
        <v/>
      </c>
      <c r="X473" s="19" t="str">
        <f>IF(BITWISE_AND('Raw Data'!M474, 1),"Bat Voltage", IF(BITWISE_AND('Raw Data'!M474, 2), "Charge Current", IF(BITWISE_AND('Raw Data'!M474, 4),"Input Ilim", IF(BITWISE_AND('Raw Data'!M474, 8), "Input UV", "none"))))</f>
        <v>none</v>
      </c>
    </row>
    <row r="474" spans="1:24" x14ac:dyDescent="0.2">
      <c r="A474" s="15">
        <f>A473+TIME(0,0,'Raw Data'!B474)</f>
        <v>0</v>
      </c>
      <c r="B474" s="4">
        <f>'Raw Data'!C475*0.025</f>
        <v>0</v>
      </c>
      <c r="C474" s="4">
        <f t="shared" si="24"/>
        <v>0</v>
      </c>
      <c r="D474" s="4">
        <f>'Raw Data'!D475*0.025</f>
        <v>0</v>
      </c>
      <c r="E474" s="4">
        <f t="shared" si="25"/>
        <v>0</v>
      </c>
      <c r="F474" s="4">
        <f>'Raw Data'!E475*0.001648</f>
        <v>0</v>
      </c>
      <c r="G474" s="4">
        <f>'Raw Data'!F475*0.001648</f>
        <v>0</v>
      </c>
      <c r="H474" s="4">
        <f>'Raw Data'!G475*6*0.000128176</f>
        <v>0</v>
      </c>
      <c r="I474" s="4">
        <f>'Raw Data'!H475*0.000732435</f>
        <v>0</v>
      </c>
      <c r="J474" s="4">
        <f t="shared" si="23"/>
        <v>0</v>
      </c>
      <c r="K474" s="36">
        <f>IF(('Raw Data'!I475-16384)/32768&lt;0,0,('Raw Data'!I475-16384)/32768)</f>
        <v>0</v>
      </c>
      <c r="L474" s="4">
        <f>IF(('Raw Data'!J475-12010)/45.6=-263.377192982456,0,('Raw Data'!J475-12010)/45.6)</f>
        <v>0</v>
      </c>
      <c r="M474" s="16">
        <f>'Raw Data'!N475*2^-8</f>
        <v>0</v>
      </c>
      <c r="N474" s="16">
        <f>'Raw Data'!O475*2^-8</f>
        <v>0</v>
      </c>
      <c r="O474" s="17" t="str">
        <f>IF(BITWISE_AND('Raw Data'!$K475, 8192),"X","")</f>
        <v/>
      </c>
      <c r="P474" s="17" t="str">
        <f>IF(BITWISE_AND('Raw Data'!$K475, 2048),"X","")</f>
        <v/>
      </c>
      <c r="Q474" s="17" t="str">
        <f>IF(BITWISE_AND('Raw Data'!$K475, 64),"X","")</f>
        <v/>
      </c>
      <c r="R474" s="18" t="str">
        <f>IF(BITWISE_AND('Raw Data'!$L475, 1024),"X","")</f>
        <v/>
      </c>
      <c r="S474" s="18" t="str">
        <f>IF(BITWISE_AND('Raw Data'!$L475, 512),"X","")</f>
        <v/>
      </c>
      <c r="T474" s="18" t="str">
        <f>IF(BITWISE_AND('Raw Data'!$L475, 256),"X","")</f>
        <v/>
      </c>
      <c r="U474" s="18" t="str">
        <f>IF(BITWISE_AND('Raw Data'!$L475, 64),"X","")</f>
        <v/>
      </c>
      <c r="V474" s="18" t="str">
        <f>IF(BITWISE_AND('Raw Data'!$L475, 2),"X","")</f>
        <v/>
      </c>
      <c r="W474" s="18" t="str">
        <f>IF(BITWISE_AND('Raw Data'!$L475, 1),"X","")</f>
        <v/>
      </c>
      <c r="X474" s="19" t="str">
        <f>IF(BITWISE_AND('Raw Data'!M475, 1),"Bat Voltage", IF(BITWISE_AND('Raw Data'!M475, 2), "Charge Current", IF(BITWISE_AND('Raw Data'!M475, 4),"Input Ilim", IF(BITWISE_AND('Raw Data'!M475, 8), "Input UV", "none"))))</f>
        <v>none</v>
      </c>
    </row>
    <row r="475" spans="1:24" x14ac:dyDescent="0.2">
      <c r="A475" s="15">
        <f>A474+TIME(0,0,'Raw Data'!B475)</f>
        <v>0</v>
      </c>
      <c r="B475" s="4">
        <f>'Raw Data'!C476*0.025</f>
        <v>0</v>
      </c>
      <c r="C475" s="4">
        <f t="shared" si="24"/>
        <v>0</v>
      </c>
      <c r="D475" s="4">
        <f>'Raw Data'!D476*0.025</f>
        <v>0</v>
      </c>
      <c r="E475" s="4">
        <f t="shared" si="25"/>
        <v>0</v>
      </c>
      <c r="F475" s="4">
        <f>'Raw Data'!E476*0.001648</f>
        <v>0</v>
      </c>
      <c r="G475" s="4">
        <f>'Raw Data'!F476*0.001648</f>
        <v>0</v>
      </c>
      <c r="H475" s="4">
        <f>'Raw Data'!G476*6*0.000128176</f>
        <v>0</v>
      </c>
      <c r="I475" s="4">
        <f>'Raw Data'!H476*0.000732435</f>
        <v>0</v>
      </c>
      <c r="J475" s="4">
        <f t="shared" si="23"/>
        <v>0</v>
      </c>
      <c r="K475" s="36">
        <f>IF(('Raw Data'!I476-16384)/32768&lt;0,0,('Raw Data'!I476-16384)/32768)</f>
        <v>0</v>
      </c>
      <c r="L475" s="4">
        <f>IF(('Raw Data'!J476-12010)/45.6=-263.377192982456,0,('Raw Data'!J476-12010)/45.6)</f>
        <v>0</v>
      </c>
      <c r="M475" s="16">
        <f>'Raw Data'!N476*2^-8</f>
        <v>0</v>
      </c>
      <c r="N475" s="16">
        <f>'Raw Data'!O476*2^-8</f>
        <v>0</v>
      </c>
      <c r="O475" s="17" t="str">
        <f>IF(BITWISE_AND('Raw Data'!$K476, 8192),"X","")</f>
        <v/>
      </c>
      <c r="P475" s="17" t="str">
        <f>IF(BITWISE_AND('Raw Data'!$K476, 2048),"X","")</f>
        <v/>
      </c>
      <c r="Q475" s="17" t="str">
        <f>IF(BITWISE_AND('Raw Data'!$K476, 64),"X","")</f>
        <v/>
      </c>
      <c r="R475" s="18" t="str">
        <f>IF(BITWISE_AND('Raw Data'!$L476, 1024),"X","")</f>
        <v/>
      </c>
      <c r="S475" s="18" t="str">
        <f>IF(BITWISE_AND('Raw Data'!$L476, 512),"X","")</f>
        <v/>
      </c>
      <c r="T475" s="18" t="str">
        <f>IF(BITWISE_AND('Raw Data'!$L476, 256),"X","")</f>
        <v/>
      </c>
      <c r="U475" s="18" t="str">
        <f>IF(BITWISE_AND('Raw Data'!$L476, 64),"X","")</f>
        <v/>
      </c>
      <c r="V475" s="18" t="str">
        <f>IF(BITWISE_AND('Raw Data'!$L476, 2),"X","")</f>
        <v/>
      </c>
      <c r="W475" s="18" t="str">
        <f>IF(BITWISE_AND('Raw Data'!$L476, 1),"X","")</f>
        <v/>
      </c>
      <c r="X475" s="19" t="str">
        <f>IF(BITWISE_AND('Raw Data'!M476, 1),"Bat Voltage", IF(BITWISE_AND('Raw Data'!M476, 2), "Charge Current", IF(BITWISE_AND('Raw Data'!M476, 4),"Input Ilim", IF(BITWISE_AND('Raw Data'!M476, 8), "Input UV", "none"))))</f>
        <v>none</v>
      </c>
    </row>
    <row r="476" spans="1:24" x14ac:dyDescent="0.2">
      <c r="A476" s="15">
        <f>A475+TIME(0,0,'Raw Data'!B476)</f>
        <v>0</v>
      </c>
      <c r="B476" s="4">
        <f>'Raw Data'!C477*0.025</f>
        <v>0</v>
      </c>
      <c r="C476" s="4">
        <f t="shared" si="24"/>
        <v>0</v>
      </c>
      <c r="D476" s="4">
        <f>'Raw Data'!D477*0.025</f>
        <v>0</v>
      </c>
      <c r="E476" s="4">
        <f t="shared" si="25"/>
        <v>0</v>
      </c>
      <c r="F476" s="4">
        <f>'Raw Data'!E477*0.001648</f>
        <v>0</v>
      </c>
      <c r="G476" s="4">
        <f>'Raw Data'!F477*0.001648</f>
        <v>0</v>
      </c>
      <c r="H476" s="4">
        <f>'Raw Data'!G477*6*0.000128176</f>
        <v>0</v>
      </c>
      <c r="I476" s="4">
        <f>'Raw Data'!H477*0.000732435</f>
        <v>0</v>
      </c>
      <c r="J476" s="4">
        <f t="shared" si="23"/>
        <v>0</v>
      </c>
      <c r="K476" s="36">
        <f>IF(('Raw Data'!I477-16384)/32768&lt;0,0,('Raw Data'!I477-16384)/32768)</f>
        <v>0</v>
      </c>
      <c r="L476" s="4">
        <f>IF(('Raw Data'!J477-12010)/45.6=-263.377192982456,0,('Raw Data'!J477-12010)/45.6)</f>
        <v>0</v>
      </c>
      <c r="M476" s="16">
        <f>'Raw Data'!N477*2^-8</f>
        <v>0</v>
      </c>
      <c r="N476" s="16">
        <f>'Raw Data'!O477*2^-8</f>
        <v>0</v>
      </c>
      <c r="O476" s="17" t="str">
        <f>IF(BITWISE_AND('Raw Data'!$K477, 8192),"X","")</f>
        <v/>
      </c>
      <c r="P476" s="17" t="str">
        <f>IF(BITWISE_AND('Raw Data'!$K477, 2048),"X","")</f>
        <v/>
      </c>
      <c r="Q476" s="17" t="str">
        <f>IF(BITWISE_AND('Raw Data'!$K477, 64),"X","")</f>
        <v/>
      </c>
      <c r="R476" s="18" t="str">
        <f>IF(BITWISE_AND('Raw Data'!$L477, 1024),"X","")</f>
        <v/>
      </c>
      <c r="S476" s="18" t="str">
        <f>IF(BITWISE_AND('Raw Data'!$L477, 512),"X","")</f>
        <v/>
      </c>
      <c r="T476" s="18" t="str">
        <f>IF(BITWISE_AND('Raw Data'!$L477, 256),"X","")</f>
        <v/>
      </c>
      <c r="U476" s="18" t="str">
        <f>IF(BITWISE_AND('Raw Data'!$L477, 64),"X","")</f>
        <v/>
      </c>
      <c r="V476" s="18" t="str">
        <f>IF(BITWISE_AND('Raw Data'!$L477, 2),"X","")</f>
        <v/>
      </c>
      <c r="W476" s="18" t="str">
        <f>IF(BITWISE_AND('Raw Data'!$L477, 1),"X","")</f>
        <v/>
      </c>
      <c r="X476" s="19" t="str">
        <f>IF(BITWISE_AND('Raw Data'!M477, 1),"Bat Voltage", IF(BITWISE_AND('Raw Data'!M477, 2), "Charge Current", IF(BITWISE_AND('Raw Data'!M477, 4),"Input Ilim", IF(BITWISE_AND('Raw Data'!M477, 8), "Input UV", "none"))))</f>
        <v>none</v>
      </c>
    </row>
    <row r="477" spans="1:24" x14ac:dyDescent="0.2">
      <c r="A477" s="15">
        <f>A476+TIME(0,0,'Raw Data'!B477)</f>
        <v>0</v>
      </c>
      <c r="B477" s="4">
        <f>'Raw Data'!C478*0.025</f>
        <v>0</v>
      </c>
      <c r="C477" s="4">
        <f t="shared" si="24"/>
        <v>0</v>
      </c>
      <c r="D477" s="4">
        <f>'Raw Data'!D478*0.025</f>
        <v>0</v>
      </c>
      <c r="E477" s="4">
        <f t="shared" si="25"/>
        <v>0</v>
      </c>
      <c r="F477" s="4">
        <f>'Raw Data'!E478*0.001648</f>
        <v>0</v>
      </c>
      <c r="G477" s="4">
        <f>'Raw Data'!F478*0.001648</f>
        <v>0</v>
      </c>
      <c r="H477" s="4">
        <f>'Raw Data'!G478*6*0.000128176</f>
        <v>0</v>
      </c>
      <c r="I477" s="4">
        <f>'Raw Data'!H478*0.000732435</f>
        <v>0</v>
      </c>
      <c r="J477" s="4">
        <f t="shared" si="23"/>
        <v>0</v>
      </c>
      <c r="K477" s="36">
        <f>IF(('Raw Data'!I478-16384)/32768&lt;0,0,('Raw Data'!I478-16384)/32768)</f>
        <v>0</v>
      </c>
      <c r="L477" s="4">
        <f>IF(('Raw Data'!J478-12010)/45.6=-263.377192982456,0,('Raw Data'!J478-12010)/45.6)</f>
        <v>0</v>
      </c>
      <c r="M477" s="16">
        <f>'Raw Data'!N478*2^-8</f>
        <v>0</v>
      </c>
      <c r="N477" s="16">
        <f>'Raw Data'!O478*2^-8</f>
        <v>0</v>
      </c>
      <c r="O477" s="17" t="str">
        <f>IF(BITWISE_AND('Raw Data'!$K478, 8192),"X","")</f>
        <v/>
      </c>
      <c r="P477" s="17" t="str">
        <f>IF(BITWISE_AND('Raw Data'!$K478, 2048),"X","")</f>
        <v/>
      </c>
      <c r="Q477" s="17" t="str">
        <f>IF(BITWISE_AND('Raw Data'!$K478, 64),"X","")</f>
        <v/>
      </c>
      <c r="R477" s="18" t="str">
        <f>IF(BITWISE_AND('Raw Data'!$L478, 1024),"X","")</f>
        <v/>
      </c>
      <c r="S477" s="18" t="str">
        <f>IF(BITWISE_AND('Raw Data'!$L478, 512),"X","")</f>
        <v/>
      </c>
      <c r="T477" s="18" t="str">
        <f>IF(BITWISE_AND('Raw Data'!$L478, 256),"X","")</f>
        <v/>
      </c>
      <c r="U477" s="18" t="str">
        <f>IF(BITWISE_AND('Raw Data'!$L478, 64),"X","")</f>
        <v/>
      </c>
      <c r="V477" s="18" t="str">
        <f>IF(BITWISE_AND('Raw Data'!$L478, 2),"X","")</f>
        <v/>
      </c>
      <c r="W477" s="18" t="str">
        <f>IF(BITWISE_AND('Raw Data'!$L478, 1),"X","")</f>
        <v/>
      </c>
      <c r="X477" s="19" t="str">
        <f>IF(BITWISE_AND('Raw Data'!M478, 1),"Bat Voltage", IF(BITWISE_AND('Raw Data'!M478, 2), "Charge Current", IF(BITWISE_AND('Raw Data'!M478, 4),"Input Ilim", IF(BITWISE_AND('Raw Data'!M478, 8), "Input UV", "none"))))</f>
        <v>none</v>
      </c>
    </row>
    <row r="478" spans="1:24" x14ac:dyDescent="0.2">
      <c r="A478" s="15">
        <f>A477+TIME(0,0,'Raw Data'!B478)</f>
        <v>0</v>
      </c>
      <c r="B478" s="4">
        <f>'Raw Data'!C479*0.025</f>
        <v>0</v>
      </c>
      <c r="C478" s="4">
        <f t="shared" si="24"/>
        <v>0</v>
      </c>
      <c r="D478" s="4">
        <f>'Raw Data'!D479*0.025</f>
        <v>0</v>
      </c>
      <c r="E478" s="4">
        <f t="shared" si="25"/>
        <v>0</v>
      </c>
      <c r="F478" s="4">
        <f>'Raw Data'!E479*0.001648</f>
        <v>0</v>
      </c>
      <c r="G478" s="4">
        <f>'Raw Data'!F479*0.001648</f>
        <v>0</v>
      </c>
      <c r="H478" s="4">
        <f>'Raw Data'!G479*6*0.000128176</f>
        <v>0</v>
      </c>
      <c r="I478" s="4">
        <f>'Raw Data'!H479*0.000732435</f>
        <v>0</v>
      </c>
      <c r="J478" s="4">
        <f t="shared" si="23"/>
        <v>0</v>
      </c>
      <c r="K478" s="36">
        <f>IF(('Raw Data'!I479-16384)/32768&lt;0,0,('Raw Data'!I479-16384)/32768)</f>
        <v>0</v>
      </c>
      <c r="L478" s="4">
        <f>IF(('Raw Data'!J479-12010)/45.6=-263.377192982456,0,('Raw Data'!J479-12010)/45.6)</f>
        <v>0</v>
      </c>
      <c r="M478" s="16">
        <f>'Raw Data'!N479*2^-8</f>
        <v>0</v>
      </c>
      <c r="N478" s="16">
        <f>'Raw Data'!O479*2^-8</f>
        <v>0</v>
      </c>
      <c r="O478" s="17" t="str">
        <f>IF(BITWISE_AND('Raw Data'!$K479, 8192),"X","")</f>
        <v/>
      </c>
      <c r="P478" s="17" t="str">
        <f>IF(BITWISE_AND('Raw Data'!$K479, 2048),"X","")</f>
        <v/>
      </c>
      <c r="Q478" s="17" t="str">
        <f>IF(BITWISE_AND('Raw Data'!$K479, 64),"X","")</f>
        <v/>
      </c>
      <c r="R478" s="18" t="str">
        <f>IF(BITWISE_AND('Raw Data'!$L479, 1024),"X","")</f>
        <v/>
      </c>
      <c r="S478" s="18" t="str">
        <f>IF(BITWISE_AND('Raw Data'!$L479, 512),"X","")</f>
        <v/>
      </c>
      <c r="T478" s="18" t="str">
        <f>IF(BITWISE_AND('Raw Data'!$L479, 256),"X","")</f>
        <v/>
      </c>
      <c r="U478" s="18" t="str">
        <f>IF(BITWISE_AND('Raw Data'!$L479, 64),"X","")</f>
        <v/>
      </c>
      <c r="V478" s="18" t="str">
        <f>IF(BITWISE_AND('Raw Data'!$L479, 2),"X","")</f>
        <v/>
      </c>
      <c r="W478" s="18" t="str">
        <f>IF(BITWISE_AND('Raw Data'!$L479, 1),"X","")</f>
        <v/>
      </c>
      <c r="X478" s="19" t="str">
        <f>IF(BITWISE_AND('Raw Data'!M479, 1),"Bat Voltage", IF(BITWISE_AND('Raw Data'!M479, 2), "Charge Current", IF(BITWISE_AND('Raw Data'!M479, 4),"Input Ilim", IF(BITWISE_AND('Raw Data'!M479, 8), "Input UV", "none"))))</f>
        <v>none</v>
      </c>
    </row>
    <row r="479" spans="1:24" x14ac:dyDescent="0.2">
      <c r="A479" s="15">
        <f>A478+TIME(0,0,'Raw Data'!B479)</f>
        <v>0</v>
      </c>
      <c r="B479" s="4">
        <f>'Raw Data'!C480*0.025</f>
        <v>0</v>
      </c>
      <c r="C479" s="4">
        <f t="shared" si="24"/>
        <v>0</v>
      </c>
      <c r="D479" s="4">
        <f>'Raw Data'!D480*0.025</f>
        <v>0</v>
      </c>
      <c r="E479" s="4">
        <f t="shared" si="25"/>
        <v>0</v>
      </c>
      <c r="F479" s="4">
        <f>'Raw Data'!E480*0.001648</f>
        <v>0</v>
      </c>
      <c r="G479" s="4">
        <f>'Raw Data'!F480*0.001648</f>
        <v>0</v>
      </c>
      <c r="H479" s="4">
        <f>'Raw Data'!G480*6*0.000128176</f>
        <v>0</v>
      </c>
      <c r="I479" s="4">
        <f>'Raw Data'!H480*0.000732435</f>
        <v>0</v>
      </c>
      <c r="J479" s="4">
        <f t="shared" si="23"/>
        <v>0</v>
      </c>
      <c r="K479" s="36">
        <f>IF(('Raw Data'!I480-16384)/32768&lt;0,0,('Raw Data'!I480-16384)/32768)</f>
        <v>0</v>
      </c>
      <c r="L479" s="4">
        <f>IF(('Raw Data'!J480-12010)/45.6=-263.377192982456,0,('Raw Data'!J480-12010)/45.6)</f>
        <v>0</v>
      </c>
      <c r="M479" s="16">
        <f>'Raw Data'!N480*2^-8</f>
        <v>0</v>
      </c>
      <c r="N479" s="16">
        <f>'Raw Data'!O480*2^-8</f>
        <v>0</v>
      </c>
      <c r="O479" s="17" t="str">
        <f>IF(BITWISE_AND('Raw Data'!$K480, 8192),"X","")</f>
        <v/>
      </c>
      <c r="P479" s="17" t="str">
        <f>IF(BITWISE_AND('Raw Data'!$K480, 2048),"X","")</f>
        <v/>
      </c>
      <c r="Q479" s="17" t="str">
        <f>IF(BITWISE_AND('Raw Data'!$K480, 64),"X","")</f>
        <v/>
      </c>
      <c r="R479" s="18" t="str">
        <f>IF(BITWISE_AND('Raw Data'!$L480, 1024),"X","")</f>
        <v/>
      </c>
      <c r="S479" s="18" t="str">
        <f>IF(BITWISE_AND('Raw Data'!$L480, 512),"X","")</f>
        <v/>
      </c>
      <c r="T479" s="18" t="str">
        <f>IF(BITWISE_AND('Raw Data'!$L480, 256),"X","")</f>
        <v/>
      </c>
      <c r="U479" s="18" t="str">
        <f>IF(BITWISE_AND('Raw Data'!$L480, 64),"X","")</f>
        <v/>
      </c>
      <c r="V479" s="18" t="str">
        <f>IF(BITWISE_AND('Raw Data'!$L480, 2),"X","")</f>
        <v/>
      </c>
      <c r="W479" s="18" t="str">
        <f>IF(BITWISE_AND('Raw Data'!$L480, 1),"X","")</f>
        <v/>
      </c>
      <c r="X479" s="19" t="str">
        <f>IF(BITWISE_AND('Raw Data'!M480, 1),"Bat Voltage", IF(BITWISE_AND('Raw Data'!M480, 2), "Charge Current", IF(BITWISE_AND('Raw Data'!M480, 4),"Input Ilim", IF(BITWISE_AND('Raw Data'!M480, 8), "Input UV", "none"))))</f>
        <v>none</v>
      </c>
    </row>
    <row r="480" spans="1:24" x14ac:dyDescent="0.2">
      <c r="A480" s="15">
        <f>A479+TIME(0,0,'Raw Data'!B480)</f>
        <v>0</v>
      </c>
      <c r="B480" s="4">
        <f>'Raw Data'!C481*0.025</f>
        <v>0</v>
      </c>
      <c r="C480" s="4">
        <f t="shared" si="24"/>
        <v>0</v>
      </c>
      <c r="D480" s="4">
        <f>'Raw Data'!D481*0.025</f>
        <v>0</v>
      </c>
      <c r="E480" s="4">
        <f t="shared" si="25"/>
        <v>0</v>
      </c>
      <c r="F480" s="4">
        <f>'Raw Data'!E481*0.001648</f>
        <v>0</v>
      </c>
      <c r="G480" s="4">
        <f>'Raw Data'!F481*0.001648</f>
        <v>0</v>
      </c>
      <c r="H480" s="4">
        <f>'Raw Data'!G481*6*0.000128176</f>
        <v>0</v>
      </c>
      <c r="I480" s="4">
        <f>'Raw Data'!H481*0.000732435</f>
        <v>0</v>
      </c>
      <c r="J480" s="4">
        <f t="shared" si="23"/>
        <v>0</v>
      </c>
      <c r="K480" s="36">
        <f>IF(('Raw Data'!I481-16384)/32768&lt;0,0,('Raw Data'!I481-16384)/32768)</f>
        <v>0</v>
      </c>
      <c r="L480" s="4">
        <f>IF(('Raw Data'!J481-12010)/45.6=-263.377192982456,0,('Raw Data'!J481-12010)/45.6)</f>
        <v>0</v>
      </c>
      <c r="M480" s="16">
        <f>'Raw Data'!N481*2^-8</f>
        <v>0</v>
      </c>
      <c r="N480" s="16">
        <f>'Raw Data'!O481*2^-8</f>
        <v>0</v>
      </c>
      <c r="O480" s="17" t="str">
        <f>IF(BITWISE_AND('Raw Data'!$K481, 8192),"X","")</f>
        <v/>
      </c>
      <c r="P480" s="17" t="str">
        <f>IF(BITWISE_AND('Raw Data'!$K481, 2048),"X","")</f>
        <v/>
      </c>
      <c r="Q480" s="17" t="str">
        <f>IF(BITWISE_AND('Raw Data'!$K481, 64),"X","")</f>
        <v/>
      </c>
      <c r="R480" s="18" t="str">
        <f>IF(BITWISE_AND('Raw Data'!$L481, 1024),"X","")</f>
        <v/>
      </c>
      <c r="S480" s="18" t="str">
        <f>IF(BITWISE_AND('Raw Data'!$L481, 512),"X","")</f>
        <v/>
      </c>
      <c r="T480" s="18" t="str">
        <f>IF(BITWISE_AND('Raw Data'!$L481, 256),"X","")</f>
        <v/>
      </c>
      <c r="U480" s="18" t="str">
        <f>IF(BITWISE_AND('Raw Data'!$L481, 64),"X","")</f>
        <v/>
      </c>
      <c r="V480" s="18" t="str">
        <f>IF(BITWISE_AND('Raw Data'!$L481, 2),"X","")</f>
        <v/>
      </c>
      <c r="W480" s="18" t="str">
        <f>IF(BITWISE_AND('Raw Data'!$L481, 1),"X","")</f>
        <v/>
      </c>
      <c r="X480" s="19" t="str">
        <f>IF(BITWISE_AND('Raw Data'!M481, 1),"Bat Voltage", IF(BITWISE_AND('Raw Data'!M481, 2), "Charge Current", IF(BITWISE_AND('Raw Data'!M481, 4),"Input Ilim", IF(BITWISE_AND('Raw Data'!M481, 8), "Input UV", "none"))))</f>
        <v>none</v>
      </c>
    </row>
    <row r="481" spans="1:24" x14ac:dyDescent="0.2">
      <c r="A481" s="15">
        <f>A480+TIME(0,0,'Raw Data'!B481)</f>
        <v>0</v>
      </c>
      <c r="B481" s="4">
        <f>'Raw Data'!C482*0.025</f>
        <v>0</v>
      </c>
      <c r="C481" s="4">
        <f t="shared" si="24"/>
        <v>0</v>
      </c>
      <c r="D481" s="4">
        <f>'Raw Data'!D482*0.025</f>
        <v>0</v>
      </c>
      <c r="E481" s="4">
        <f t="shared" si="25"/>
        <v>0</v>
      </c>
      <c r="F481" s="4">
        <f>'Raw Data'!E482*0.001648</f>
        <v>0</v>
      </c>
      <c r="G481" s="4">
        <f>'Raw Data'!F482*0.001648</f>
        <v>0</v>
      </c>
      <c r="H481" s="4">
        <f>'Raw Data'!G482*6*0.000128176</f>
        <v>0</v>
      </c>
      <c r="I481" s="4">
        <f>'Raw Data'!H482*0.000732435</f>
        <v>0</v>
      </c>
      <c r="J481" s="4">
        <f t="shared" si="23"/>
        <v>0</v>
      </c>
      <c r="K481" s="36">
        <f>IF(('Raw Data'!I482-16384)/32768&lt;0,0,('Raw Data'!I482-16384)/32768)</f>
        <v>0</v>
      </c>
      <c r="L481" s="4">
        <f>IF(('Raw Data'!J482-12010)/45.6=-263.377192982456,0,('Raw Data'!J482-12010)/45.6)</f>
        <v>0</v>
      </c>
      <c r="M481" s="16">
        <f>'Raw Data'!N482*2^-8</f>
        <v>0</v>
      </c>
      <c r="N481" s="16">
        <f>'Raw Data'!O482*2^-8</f>
        <v>0</v>
      </c>
      <c r="O481" s="17" t="str">
        <f>IF(BITWISE_AND('Raw Data'!$K482, 8192),"X","")</f>
        <v/>
      </c>
      <c r="P481" s="17" t="str">
        <f>IF(BITWISE_AND('Raw Data'!$K482, 2048),"X","")</f>
        <v/>
      </c>
      <c r="Q481" s="17" t="str">
        <f>IF(BITWISE_AND('Raw Data'!$K482, 64),"X","")</f>
        <v/>
      </c>
      <c r="R481" s="18" t="str">
        <f>IF(BITWISE_AND('Raw Data'!$L482, 1024),"X","")</f>
        <v/>
      </c>
      <c r="S481" s="18" t="str">
        <f>IF(BITWISE_AND('Raw Data'!$L482, 512),"X","")</f>
        <v/>
      </c>
      <c r="T481" s="18" t="str">
        <f>IF(BITWISE_AND('Raw Data'!$L482, 256),"X","")</f>
        <v/>
      </c>
      <c r="U481" s="18" t="str">
        <f>IF(BITWISE_AND('Raw Data'!$L482, 64),"X","")</f>
        <v/>
      </c>
      <c r="V481" s="18" t="str">
        <f>IF(BITWISE_AND('Raw Data'!$L482, 2),"X","")</f>
        <v/>
      </c>
      <c r="W481" s="18" t="str">
        <f>IF(BITWISE_AND('Raw Data'!$L482, 1),"X","")</f>
        <v/>
      </c>
      <c r="X481" s="19" t="str">
        <f>IF(BITWISE_AND('Raw Data'!M482, 1),"Bat Voltage", IF(BITWISE_AND('Raw Data'!M482, 2), "Charge Current", IF(BITWISE_AND('Raw Data'!M482, 4),"Input Ilim", IF(BITWISE_AND('Raw Data'!M482, 8), "Input UV", "none"))))</f>
        <v>none</v>
      </c>
    </row>
    <row r="482" spans="1:24" x14ac:dyDescent="0.2">
      <c r="A482" s="15">
        <f>A481+TIME(0,0,'Raw Data'!B482)</f>
        <v>0</v>
      </c>
      <c r="B482" s="4">
        <f>'Raw Data'!C483*0.025</f>
        <v>0</v>
      </c>
      <c r="C482" s="4">
        <f t="shared" si="24"/>
        <v>0</v>
      </c>
      <c r="D482" s="4">
        <f>'Raw Data'!D483*0.025</f>
        <v>0</v>
      </c>
      <c r="E482" s="4">
        <f t="shared" si="25"/>
        <v>0</v>
      </c>
      <c r="F482" s="4">
        <f>'Raw Data'!E483*0.001648</f>
        <v>0</v>
      </c>
      <c r="G482" s="4">
        <f>'Raw Data'!F483*0.001648</f>
        <v>0</v>
      </c>
      <c r="H482" s="4">
        <f>'Raw Data'!G483*6*0.000128176</f>
        <v>0</v>
      </c>
      <c r="I482" s="4">
        <f>'Raw Data'!H483*0.000732435</f>
        <v>0</v>
      </c>
      <c r="J482" s="4">
        <f t="shared" si="23"/>
        <v>0</v>
      </c>
      <c r="K482" s="36">
        <f>IF(('Raw Data'!I483-16384)/32768&lt;0,0,('Raw Data'!I483-16384)/32768)</f>
        <v>0</v>
      </c>
      <c r="L482" s="4">
        <f>IF(('Raw Data'!J483-12010)/45.6=-263.377192982456,0,('Raw Data'!J483-12010)/45.6)</f>
        <v>0</v>
      </c>
      <c r="M482" s="16">
        <f>'Raw Data'!N483*2^-8</f>
        <v>0</v>
      </c>
      <c r="N482" s="16">
        <f>'Raw Data'!O483*2^-8</f>
        <v>0</v>
      </c>
      <c r="O482" s="17" t="str">
        <f>IF(BITWISE_AND('Raw Data'!$K483, 8192),"X","")</f>
        <v/>
      </c>
      <c r="P482" s="17" t="str">
        <f>IF(BITWISE_AND('Raw Data'!$K483, 2048),"X","")</f>
        <v/>
      </c>
      <c r="Q482" s="17" t="str">
        <f>IF(BITWISE_AND('Raw Data'!$K483, 64),"X","")</f>
        <v/>
      </c>
      <c r="R482" s="18" t="str">
        <f>IF(BITWISE_AND('Raw Data'!$L483, 1024),"X","")</f>
        <v/>
      </c>
      <c r="S482" s="18" t="str">
        <f>IF(BITWISE_AND('Raw Data'!$L483, 512),"X","")</f>
        <v/>
      </c>
      <c r="T482" s="18" t="str">
        <f>IF(BITWISE_AND('Raw Data'!$L483, 256),"X","")</f>
        <v/>
      </c>
      <c r="U482" s="18" t="str">
        <f>IF(BITWISE_AND('Raw Data'!$L483, 64),"X","")</f>
        <v/>
      </c>
      <c r="V482" s="18" t="str">
        <f>IF(BITWISE_AND('Raw Data'!$L483, 2),"X","")</f>
        <v/>
      </c>
      <c r="W482" s="18" t="str">
        <f>IF(BITWISE_AND('Raw Data'!$L483, 1),"X","")</f>
        <v/>
      </c>
      <c r="X482" s="19" t="str">
        <f>IF(BITWISE_AND('Raw Data'!M483, 1),"Bat Voltage", IF(BITWISE_AND('Raw Data'!M483, 2), "Charge Current", IF(BITWISE_AND('Raw Data'!M483, 4),"Input Ilim", IF(BITWISE_AND('Raw Data'!M483, 8), "Input UV", "none"))))</f>
        <v>none</v>
      </c>
    </row>
    <row r="483" spans="1:24" x14ac:dyDescent="0.2">
      <c r="A483" s="15">
        <f>A482+TIME(0,0,'Raw Data'!B483)</f>
        <v>0</v>
      </c>
      <c r="B483" s="4">
        <f>'Raw Data'!C484*0.025</f>
        <v>0</v>
      </c>
      <c r="C483" s="4">
        <f t="shared" si="24"/>
        <v>0</v>
      </c>
      <c r="D483" s="4">
        <f>'Raw Data'!D484*0.025</f>
        <v>0</v>
      </c>
      <c r="E483" s="4">
        <f t="shared" si="25"/>
        <v>0</v>
      </c>
      <c r="F483" s="4">
        <f>'Raw Data'!E484*0.001648</f>
        <v>0</v>
      </c>
      <c r="G483" s="4">
        <f>'Raw Data'!F484*0.001648</f>
        <v>0</v>
      </c>
      <c r="H483" s="4">
        <f>'Raw Data'!G484*6*0.000128176</f>
        <v>0</v>
      </c>
      <c r="I483" s="4">
        <f>'Raw Data'!H484*0.000732435</f>
        <v>0</v>
      </c>
      <c r="J483" s="4">
        <f t="shared" si="23"/>
        <v>0</v>
      </c>
      <c r="K483" s="36">
        <f>IF(('Raw Data'!I484-16384)/32768&lt;0,0,('Raw Data'!I484-16384)/32768)</f>
        <v>0</v>
      </c>
      <c r="L483" s="4">
        <f>IF(('Raw Data'!J484-12010)/45.6=-263.377192982456,0,('Raw Data'!J484-12010)/45.6)</f>
        <v>0</v>
      </c>
      <c r="M483" s="16">
        <f>'Raw Data'!N484*2^-8</f>
        <v>0</v>
      </c>
      <c r="N483" s="16">
        <f>'Raw Data'!O484*2^-8</f>
        <v>0</v>
      </c>
      <c r="O483" s="17" t="str">
        <f>IF(BITWISE_AND('Raw Data'!$K484, 8192),"X","")</f>
        <v/>
      </c>
      <c r="P483" s="17" t="str">
        <f>IF(BITWISE_AND('Raw Data'!$K484, 2048),"X","")</f>
        <v/>
      </c>
      <c r="Q483" s="17" t="str">
        <f>IF(BITWISE_AND('Raw Data'!$K484, 64),"X","")</f>
        <v/>
      </c>
      <c r="R483" s="18" t="str">
        <f>IF(BITWISE_AND('Raw Data'!$L484, 1024),"X","")</f>
        <v/>
      </c>
      <c r="S483" s="18" t="str">
        <f>IF(BITWISE_AND('Raw Data'!$L484, 512),"X","")</f>
        <v/>
      </c>
      <c r="T483" s="18" t="str">
        <f>IF(BITWISE_AND('Raw Data'!$L484, 256),"X","")</f>
        <v/>
      </c>
      <c r="U483" s="18" t="str">
        <f>IF(BITWISE_AND('Raw Data'!$L484, 64),"X","")</f>
        <v/>
      </c>
      <c r="V483" s="18" t="str">
        <f>IF(BITWISE_AND('Raw Data'!$L484, 2),"X","")</f>
        <v/>
      </c>
      <c r="W483" s="18" t="str">
        <f>IF(BITWISE_AND('Raw Data'!$L484, 1),"X","")</f>
        <v/>
      </c>
      <c r="X483" s="19" t="str">
        <f>IF(BITWISE_AND('Raw Data'!M484, 1),"Bat Voltage", IF(BITWISE_AND('Raw Data'!M484, 2), "Charge Current", IF(BITWISE_AND('Raw Data'!M484, 4),"Input Ilim", IF(BITWISE_AND('Raw Data'!M484, 8), "Input UV", "none"))))</f>
        <v>none</v>
      </c>
    </row>
    <row r="484" spans="1:24" x14ac:dyDescent="0.2">
      <c r="A484" s="15">
        <f>A483+TIME(0,0,'Raw Data'!B484)</f>
        <v>0</v>
      </c>
      <c r="B484" s="4">
        <f>'Raw Data'!C485*0.025</f>
        <v>0</v>
      </c>
      <c r="C484" s="4">
        <f t="shared" si="24"/>
        <v>0</v>
      </c>
      <c r="D484" s="4">
        <f>'Raw Data'!D485*0.025</f>
        <v>0</v>
      </c>
      <c r="E484" s="4">
        <f t="shared" si="25"/>
        <v>0</v>
      </c>
      <c r="F484" s="4">
        <f>'Raw Data'!E485*0.001648</f>
        <v>0</v>
      </c>
      <c r="G484" s="4">
        <f>'Raw Data'!F485*0.001648</f>
        <v>0</v>
      </c>
      <c r="H484" s="4">
        <f>'Raw Data'!G485*6*0.000128176</f>
        <v>0</v>
      </c>
      <c r="I484" s="4">
        <f>'Raw Data'!H485*0.000732435</f>
        <v>0</v>
      </c>
      <c r="J484" s="4">
        <f t="shared" si="23"/>
        <v>0</v>
      </c>
      <c r="K484" s="36">
        <f>IF(('Raw Data'!I485-16384)/32768&lt;0,0,('Raw Data'!I485-16384)/32768)</f>
        <v>0</v>
      </c>
      <c r="L484" s="4">
        <f>IF(('Raw Data'!J485-12010)/45.6=-263.377192982456,0,('Raw Data'!J485-12010)/45.6)</f>
        <v>0</v>
      </c>
      <c r="M484" s="16">
        <f>'Raw Data'!N485*2^-8</f>
        <v>0</v>
      </c>
      <c r="N484" s="16">
        <f>'Raw Data'!O485*2^-8</f>
        <v>0</v>
      </c>
      <c r="O484" s="17" t="str">
        <f>IF(BITWISE_AND('Raw Data'!$K485, 8192),"X","")</f>
        <v/>
      </c>
      <c r="P484" s="17" t="str">
        <f>IF(BITWISE_AND('Raw Data'!$K485, 2048),"X","")</f>
        <v/>
      </c>
      <c r="Q484" s="17" t="str">
        <f>IF(BITWISE_AND('Raw Data'!$K485, 64),"X","")</f>
        <v/>
      </c>
      <c r="R484" s="18" t="str">
        <f>IF(BITWISE_AND('Raw Data'!$L485, 1024),"X","")</f>
        <v/>
      </c>
      <c r="S484" s="18" t="str">
        <f>IF(BITWISE_AND('Raw Data'!$L485, 512),"X","")</f>
        <v/>
      </c>
      <c r="T484" s="18" t="str">
        <f>IF(BITWISE_AND('Raw Data'!$L485, 256),"X","")</f>
        <v/>
      </c>
      <c r="U484" s="18" t="str">
        <f>IF(BITWISE_AND('Raw Data'!$L485, 64),"X","")</f>
        <v/>
      </c>
      <c r="V484" s="18" t="str">
        <f>IF(BITWISE_AND('Raw Data'!$L485, 2),"X","")</f>
        <v/>
      </c>
      <c r="W484" s="18" t="str">
        <f>IF(BITWISE_AND('Raw Data'!$L485, 1),"X","")</f>
        <v/>
      </c>
      <c r="X484" s="19" t="str">
        <f>IF(BITWISE_AND('Raw Data'!M485, 1),"Bat Voltage", IF(BITWISE_AND('Raw Data'!M485, 2), "Charge Current", IF(BITWISE_AND('Raw Data'!M485, 4),"Input Ilim", IF(BITWISE_AND('Raw Data'!M485, 8), "Input UV", "none"))))</f>
        <v>none</v>
      </c>
    </row>
    <row r="485" spans="1:24" x14ac:dyDescent="0.2">
      <c r="A485" s="15">
        <f>A484+TIME(0,0,'Raw Data'!B485)</f>
        <v>0</v>
      </c>
      <c r="B485" s="4">
        <f>'Raw Data'!C486*0.025</f>
        <v>0</v>
      </c>
      <c r="C485" s="4">
        <f t="shared" si="24"/>
        <v>0</v>
      </c>
      <c r="D485" s="4">
        <f>'Raw Data'!D486*0.025</f>
        <v>0</v>
      </c>
      <c r="E485" s="4">
        <f t="shared" si="25"/>
        <v>0</v>
      </c>
      <c r="F485" s="4">
        <f>'Raw Data'!E486*0.001648</f>
        <v>0</v>
      </c>
      <c r="G485" s="4">
        <f>'Raw Data'!F486*0.001648</f>
        <v>0</v>
      </c>
      <c r="H485" s="4">
        <f>'Raw Data'!G486*6*0.000128176</f>
        <v>0</v>
      </c>
      <c r="I485" s="4">
        <f>'Raw Data'!H486*0.000732435</f>
        <v>0</v>
      </c>
      <c r="J485" s="4">
        <f t="shared" si="23"/>
        <v>0</v>
      </c>
      <c r="K485" s="36">
        <f>IF(('Raw Data'!I486-16384)/32768&lt;0,0,('Raw Data'!I486-16384)/32768)</f>
        <v>0</v>
      </c>
      <c r="L485" s="4">
        <f>IF(('Raw Data'!J486-12010)/45.6=-263.377192982456,0,('Raw Data'!J486-12010)/45.6)</f>
        <v>0</v>
      </c>
      <c r="M485" s="16">
        <f>'Raw Data'!N486*2^-8</f>
        <v>0</v>
      </c>
      <c r="N485" s="16">
        <f>'Raw Data'!O486*2^-8</f>
        <v>0</v>
      </c>
      <c r="O485" s="17" t="str">
        <f>IF(BITWISE_AND('Raw Data'!$K486, 8192),"X","")</f>
        <v/>
      </c>
      <c r="P485" s="17" t="str">
        <f>IF(BITWISE_AND('Raw Data'!$K486, 2048),"X","")</f>
        <v/>
      </c>
      <c r="Q485" s="17" t="str">
        <f>IF(BITWISE_AND('Raw Data'!$K486, 64),"X","")</f>
        <v/>
      </c>
      <c r="R485" s="18" t="str">
        <f>IF(BITWISE_AND('Raw Data'!$L486, 1024),"X","")</f>
        <v/>
      </c>
      <c r="S485" s="18" t="str">
        <f>IF(BITWISE_AND('Raw Data'!$L486, 512),"X","")</f>
        <v/>
      </c>
      <c r="T485" s="18" t="str">
        <f>IF(BITWISE_AND('Raw Data'!$L486, 256),"X","")</f>
        <v/>
      </c>
      <c r="U485" s="18" t="str">
        <f>IF(BITWISE_AND('Raw Data'!$L486, 64),"X","")</f>
        <v/>
      </c>
      <c r="V485" s="18" t="str">
        <f>IF(BITWISE_AND('Raw Data'!$L486, 2),"X","")</f>
        <v/>
      </c>
      <c r="W485" s="18" t="str">
        <f>IF(BITWISE_AND('Raw Data'!$L486, 1),"X","")</f>
        <v/>
      </c>
      <c r="X485" s="19" t="str">
        <f>IF(BITWISE_AND('Raw Data'!M486, 1),"Bat Voltage", IF(BITWISE_AND('Raw Data'!M486, 2), "Charge Current", IF(BITWISE_AND('Raw Data'!M486, 4),"Input Ilim", IF(BITWISE_AND('Raw Data'!M486, 8), "Input UV", "none"))))</f>
        <v>none</v>
      </c>
    </row>
    <row r="486" spans="1:24" x14ac:dyDescent="0.2">
      <c r="A486" s="15">
        <f>A485+TIME(0,0,'Raw Data'!B486)</f>
        <v>0</v>
      </c>
      <c r="B486" s="4">
        <f>'Raw Data'!C487*0.025</f>
        <v>0</v>
      </c>
      <c r="C486" s="4">
        <f t="shared" si="24"/>
        <v>0</v>
      </c>
      <c r="D486" s="4">
        <f>'Raw Data'!D487*0.025</f>
        <v>0</v>
      </c>
      <c r="E486" s="4">
        <f t="shared" si="25"/>
        <v>0</v>
      </c>
      <c r="F486" s="4">
        <f>'Raw Data'!E487*0.001648</f>
        <v>0</v>
      </c>
      <c r="G486" s="4">
        <f>'Raw Data'!F487*0.001648</f>
        <v>0</v>
      </c>
      <c r="H486" s="4">
        <f>'Raw Data'!G487*6*0.000128176</f>
        <v>0</v>
      </c>
      <c r="I486" s="4">
        <f>'Raw Data'!H487*0.000732435</f>
        <v>0</v>
      </c>
      <c r="J486" s="4">
        <f t="shared" si="23"/>
        <v>0</v>
      </c>
      <c r="K486" s="36">
        <f>IF(('Raw Data'!I487-16384)/32768&lt;0,0,('Raw Data'!I487-16384)/32768)</f>
        <v>0</v>
      </c>
      <c r="L486" s="4">
        <f>IF(('Raw Data'!J487-12010)/45.6=-263.377192982456,0,('Raw Data'!J487-12010)/45.6)</f>
        <v>0</v>
      </c>
      <c r="M486" s="16">
        <f>'Raw Data'!N487*2^-8</f>
        <v>0</v>
      </c>
      <c r="N486" s="16">
        <f>'Raw Data'!O487*2^-8</f>
        <v>0</v>
      </c>
      <c r="O486" s="17" t="str">
        <f>IF(BITWISE_AND('Raw Data'!$K487, 8192),"X","")</f>
        <v/>
      </c>
      <c r="P486" s="17" t="str">
        <f>IF(BITWISE_AND('Raw Data'!$K487, 2048),"X","")</f>
        <v/>
      </c>
      <c r="Q486" s="17" t="str">
        <f>IF(BITWISE_AND('Raw Data'!$K487, 64),"X","")</f>
        <v/>
      </c>
      <c r="R486" s="18" t="str">
        <f>IF(BITWISE_AND('Raw Data'!$L487, 1024),"X","")</f>
        <v/>
      </c>
      <c r="S486" s="18" t="str">
        <f>IF(BITWISE_AND('Raw Data'!$L487, 512),"X","")</f>
        <v/>
      </c>
      <c r="T486" s="18" t="str">
        <f>IF(BITWISE_AND('Raw Data'!$L487, 256),"X","")</f>
        <v/>
      </c>
      <c r="U486" s="18" t="str">
        <f>IF(BITWISE_AND('Raw Data'!$L487, 64),"X","")</f>
        <v/>
      </c>
      <c r="V486" s="18" t="str">
        <f>IF(BITWISE_AND('Raw Data'!$L487, 2),"X","")</f>
        <v/>
      </c>
      <c r="W486" s="18" t="str">
        <f>IF(BITWISE_AND('Raw Data'!$L487, 1),"X","")</f>
        <v/>
      </c>
      <c r="X486" s="19" t="str">
        <f>IF(BITWISE_AND('Raw Data'!M487, 1),"Bat Voltage", IF(BITWISE_AND('Raw Data'!M487, 2), "Charge Current", IF(BITWISE_AND('Raw Data'!M487, 4),"Input Ilim", IF(BITWISE_AND('Raw Data'!M487, 8), "Input UV", "none"))))</f>
        <v>none</v>
      </c>
    </row>
    <row r="487" spans="1:24" x14ac:dyDescent="0.2">
      <c r="A487" s="15">
        <f>A486+TIME(0,0,'Raw Data'!B487)</f>
        <v>0</v>
      </c>
      <c r="B487" s="4">
        <f>'Raw Data'!C488*0.025</f>
        <v>0</v>
      </c>
      <c r="C487" s="4">
        <f t="shared" si="24"/>
        <v>0</v>
      </c>
      <c r="D487" s="4">
        <f>'Raw Data'!D488*0.025</f>
        <v>0</v>
      </c>
      <c r="E487" s="4">
        <f t="shared" si="25"/>
        <v>0</v>
      </c>
      <c r="F487" s="4">
        <f>'Raw Data'!E488*0.001648</f>
        <v>0</v>
      </c>
      <c r="G487" s="4">
        <f>'Raw Data'!F488*0.001648</f>
        <v>0</v>
      </c>
      <c r="H487" s="4">
        <f>'Raw Data'!G488*6*0.000128176</f>
        <v>0</v>
      </c>
      <c r="I487" s="4">
        <f>'Raw Data'!H488*0.000732435</f>
        <v>0</v>
      </c>
      <c r="J487" s="4">
        <f t="shared" si="23"/>
        <v>0</v>
      </c>
      <c r="K487" s="36">
        <f>IF(('Raw Data'!I488-16384)/32768&lt;0,0,('Raw Data'!I488-16384)/32768)</f>
        <v>0</v>
      </c>
      <c r="L487" s="4">
        <f>IF(('Raw Data'!J488-12010)/45.6=-263.377192982456,0,('Raw Data'!J488-12010)/45.6)</f>
        <v>0</v>
      </c>
      <c r="M487" s="16">
        <f>'Raw Data'!N488*2^-8</f>
        <v>0</v>
      </c>
      <c r="N487" s="16">
        <f>'Raw Data'!O488*2^-8</f>
        <v>0</v>
      </c>
      <c r="O487" s="17" t="str">
        <f>IF(BITWISE_AND('Raw Data'!$K488, 8192),"X","")</f>
        <v/>
      </c>
      <c r="P487" s="17" t="str">
        <f>IF(BITWISE_AND('Raw Data'!$K488, 2048),"X","")</f>
        <v/>
      </c>
      <c r="Q487" s="17" t="str">
        <f>IF(BITWISE_AND('Raw Data'!$K488, 64),"X","")</f>
        <v/>
      </c>
      <c r="R487" s="18" t="str">
        <f>IF(BITWISE_AND('Raw Data'!$L488, 1024),"X","")</f>
        <v/>
      </c>
      <c r="S487" s="18" t="str">
        <f>IF(BITWISE_AND('Raw Data'!$L488, 512),"X","")</f>
        <v/>
      </c>
      <c r="T487" s="18" t="str">
        <f>IF(BITWISE_AND('Raw Data'!$L488, 256),"X","")</f>
        <v/>
      </c>
      <c r="U487" s="18" t="str">
        <f>IF(BITWISE_AND('Raw Data'!$L488, 64),"X","")</f>
        <v/>
      </c>
      <c r="V487" s="18" t="str">
        <f>IF(BITWISE_AND('Raw Data'!$L488, 2),"X","")</f>
        <v/>
      </c>
      <c r="W487" s="18" t="str">
        <f>IF(BITWISE_AND('Raw Data'!$L488, 1),"X","")</f>
        <v/>
      </c>
      <c r="X487" s="19" t="str">
        <f>IF(BITWISE_AND('Raw Data'!M488, 1),"Bat Voltage", IF(BITWISE_AND('Raw Data'!M488, 2), "Charge Current", IF(BITWISE_AND('Raw Data'!M488, 4),"Input Ilim", IF(BITWISE_AND('Raw Data'!M488, 8), "Input UV", "none"))))</f>
        <v>none</v>
      </c>
    </row>
    <row r="488" spans="1:24" x14ac:dyDescent="0.2">
      <c r="A488" s="15">
        <f>A487+TIME(0,0,'Raw Data'!B488)</f>
        <v>0</v>
      </c>
      <c r="B488" s="4">
        <f>'Raw Data'!C489*0.025</f>
        <v>0</v>
      </c>
      <c r="C488" s="4">
        <f t="shared" si="24"/>
        <v>0</v>
      </c>
      <c r="D488" s="4">
        <f>'Raw Data'!D489*0.025</f>
        <v>0</v>
      </c>
      <c r="E488" s="4">
        <f t="shared" si="25"/>
        <v>0</v>
      </c>
      <c r="F488" s="4">
        <f>'Raw Data'!E489*0.001648</f>
        <v>0</v>
      </c>
      <c r="G488" s="4">
        <f>'Raw Data'!F489*0.001648</f>
        <v>0</v>
      </c>
      <c r="H488" s="4">
        <f>'Raw Data'!G489*6*0.000128176</f>
        <v>0</v>
      </c>
      <c r="I488" s="4">
        <f>'Raw Data'!H489*0.000732435</f>
        <v>0</v>
      </c>
      <c r="J488" s="4">
        <f t="shared" si="23"/>
        <v>0</v>
      </c>
      <c r="K488" s="36">
        <f>IF(('Raw Data'!I489-16384)/32768&lt;0,0,('Raw Data'!I489-16384)/32768)</f>
        <v>0</v>
      </c>
      <c r="L488" s="4">
        <f>IF(('Raw Data'!J489-12010)/45.6=-263.377192982456,0,('Raw Data'!J489-12010)/45.6)</f>
        <v>0</v>
      </c>
      <c r="M488" s="16">
        <f>'Raw Data'!N489*2^-8</f>
        <v>0</v>
      </c>
      <c r="N488" s="16">
        <f>'Raw Data'!O489*2^-8</f>
        <v>0</v>
      </c>
      <c r="O488" s="17" t="str">
        <f>IF(BITWISE_AND('Raw Data'!$K489, 8192),"X","")</f>
        <v/>
      </c>
      <c r="P488" s="17" t="str">
        <f>IF(BITWISE_AND('Raw Data'!$K489, 2048),"X","")</f>
        <v/>
      </c>
      <c r="Q488" s="17" t="str">
        <f>IF(BITWISE_AND('Raw Data'!$K489, 64),"X","")</f>
        <v/>
      </c>
      <c r="R488" s="18" t="str">
        <f>IF(BITWISE_AND('Raw Data'!$L489, 1024),"X","")</f>
        <v/>
      </c>
      <c r="S488" s="18" t="str">
        <f>IF(BITWISE_AND('Raw Data'!$L489, 512),"X","")</f>
        <v/>
      </c>
      <c r="T488" s="18" t="str">
        <f>IF(BITWISE_AND('Raw Data'!$L489, 256),"X","")</f>
        <v/>
      </c>
      <c r="U488" s="18" t="str">
        <f>IF(BITWISE_AND('Raw Data'!$L489, 64),"X","")</f>
        <v/>
      </c>
      <c r="V488" s="18" t="str">
        <f>IF(BITWISE_AND('Raw Data'!$L489, 2),"X","")</f>
        <v/>
      </c>
      <c r="W488" s="18" t="str">
        <f>IF(BITWISE_AND('Raw Data'!$L489, 1),"X","")</f>
        <v/>
      </c>
      <c r="X488" s="19" t="str">
        <f>IF(BITWISE_AND('Raw Data'!M489, 1),"Bat Voltage", IF(BITWISE_AND('Raw Data'!M489, 2), "Charge Current", IF(BITWISE_AND('Raw Data'!M489, 4),"Input Ilim", IF(BITWISE_AND('Raw Data'!M489, 8), "Input UV", "none"))))</f>
        <v>none</v>
      </c>
    </row>
    <row r="489" spans="1:24" x14ac:dyDescent="0.2">
      <c r="A489" s="15">
        <f>A488+TIME(0,0,'Raw Data'!B489)</f>
        <v>0</v>
      </c>
      <c r="B489" s="4">
        <f>'Raw Data'!C490*0.025</f>
        <v>0</v>
      </c>
      <c r="C489" s="4">
        <f t="shared" si="24"/>
        <v>0</v>
      </c>
      <c r="D489" s="4">
        <f>'Raw Data'!D490*0.025</f>
        <v>0</v>
      </c>
      <c r="E489" s="4">
        <f t="shared" si="25"/>
        <v>0</v>
      </c>
      <c r="F489" s="4">
        <f>'Raw Data'!E490*0.001648</f>
        <v>0</v>
      </c>
      <c r="G489" s="4">
        <f>'Raw Data'!F490*0.001648</f>
        <v>0</v>
      </c>
      <c r="H489" s="4">
        <f>'Raw Data'!G490*6*0.000128176</f>
        <v>0</v>
      </c>
      <c r="I489" s="4">
        <f>'Raw Data'!H490*0.000732435</f>
        <v>0</v>
      </c>
      <c r="J489" s="4">
        <f t="shared" si="23"/>
        <v>0</v>
      </c>
      <c r="K489" s="36">
        <f>IF(('Raw Data'!I490-16384)/32768&lt;0,0,('Raw Data'!I490-16384)/32768)</f>
        <v>0</v>
      </c>
      <c r="L489" s="4">
        <f>IF(('Raw Data'!J490-12010)/45.6=-263.377192982456,0,('Raw Data'!J490-12010)/45.6)</f>
        <v>0</v>
      </c>
      <c r="M489" s="16">
        <f>'Raw Data'!N490*2^-8</f>
        <v>0</v>
      </c>
      <c r="N489" s="16">
        <f>'Raw Data'!O490*2^-8</f>
        <v>0</v>
      </c>
      <c r="O489" s="17" t="str">
        <f>IF(BITWISE_AND('Raw Data'!$K490, 8192),"X","")</f>
        <v/>
      </c>
      <c r="P489" s="17" t="str">
        <f>IF(BITWISE_AND('Raw Data'!$K490, 2048),"X","")</f>
        <v/>
      </c>
      <c r="Q489" s="17" t="str">
        <f>IF(BITWISE_AND('Raw Data'!$K490, 64),"X","")</f>
        <v/>
      </c>
      <c r="R489" s="18" t="str">
        <f>IF(BITWISE_AND('Raw Data'!$L490, 1024),"X","")</f>
        <v/>
      </c>
      <c r="S489" s="18" t="str">
        <f>IF(BITWISE_AND('Raw Data'!$L490, 512),"X","")</f>
        <v/>
      </c>
      <c r="T489" s="18" t="str">
        <f>IF(BITWISE_AND('Raw Data'!$L490, 256),"X","")</f>
        <v/>
      </c>
      <c r="U489" s="18" t="str">
        <f>IF(BITWISE_AND('Raw Data'!$L490, 64),"X","")</f>
        <v/>
      </c>
      <c r="V489" s="18" t="str">
        <f>IF(BITWISE_AND('Raw Data'!$L490, 2),"X","")</f>
        <v/>
      </c>
      <c r="W489" s="18" t="str">
        <f>IF(BITWISE_AND('Raw Data'!$L490, 1),"X","")</f>
        <v/>
      </c>
      <c r="X489" s="19" t="str">
        <f>IF(BITWISE_AND('Raw Data'!M490, 1),"Bat Voltage", IF(BITWISE_AND('Raw Data'!M490, 2), "Charge Current", IF(BITWISE_AND('Raw Data'!M490, 4),"Input Ilim", IF(BITWISE_AND('Raw Data'!M490, 8), "Input UV", "none"))))</f>
        <v>none</v>
      </c>
    </row>
    <row r="490" spans="1:24" x14ac:dyDescent="0.2">
      <c r="A490" s="15">
        <f>A489+TIME(0,0,'Raw Data'!B490)</f>
        <v>0</v>
      </c>
      <c r="B490" s="4">
        <f>'Raw Data'!C491*0.025</f>
        <v>0</v>
      </c>
      <c r="C490" s="4">
        <f t="shared" si="24"/>
        <v>0</v>
      </c>
      <c r="D490" s="4">
        <f>'Raw Data'!D491*0.025</f>
        <v>0</v>
      </c>
      <c r="E490" s="4">
        <f t="shared" si="25"/>
        <v>0</v>
      </c>
      <c r="F490" s="4">
        <f>'Raw Data'!E491*0.001648</f>
        <v>0</v>
      </c>
      <c r="G490" s="4">
        <f>'Raw Data'!F491*0.001648</f>
        <v>0</v>
      </c>
      <c r="H490" s="4">
        <f>'Raw Data'!G491*6*0.000128176</f>
        <v>0</v>
      </c>
      <c r="I490" s="4">
        <f>'Raw Data'!H491*0.000732435</f>
        <v>0</v>
      </c>
      <c r="J490" s="4">
        <f t="shared" si="23"/>
        <v>0</v>
      </c>
      <c r="K490" s="36">
        <f>IF(('Raw Data'!I491-16384)/32768&lt;0,0,('Raw Data'!I491-16384)/32768)</f>
        <v>0</v>
      </c>
      <c r="L490" s="4">
        <f>IF(('Raw Data'!J491-12010)/45.6=-263.377192982456,0,('Raw Data'!J491-12010)/45.6)</f>
        <v>0</v>
      </c>
      <c r="M490" s="16">
        <f>'Raw Data'!N491*2^-8</f>
        <v>0</v>
      </c>
      <c r="N490" s="16">
        <f>'Raw Data'!O491*2^-8</f>
        <v>0</v>
      </c>
      <c r="O490" s="17" t="str">
        <f>IF(BITWISE_AND('Raw Data'!$K491, 8192),"X","")</f>
        <v/>
      </c>
      <c r="P490" s="17" t="str">
        <f>IF(BITWISE_AND('Raw Data'!$K491, 2048),"X","")</f>
        <v/>
      </c>
      <c r="Q490" s="17" t="str">
        <f>IF(BITWISE_AND('Raw Data'!$K491, 64),"X","")</f>
        <v/>
      </c>
      <c r="R490" s="18" t="str">
        <f>IF(BITWISE_AND('Raw Data'!$L491, 1024),"X","")</f>
        <v/>
      </c>
      <c r="S490" s="18" t="str">
        <f>IF(BITWISE_AND('Raw Data'!$L491, 512),"X","")</f>
        <v/>
      </c>
      <c r="T490" s="18" t="str">
        <f>IF(BITWISE_AND('Raw Data'!$L491, 256),"X","")</f>
        <v/>
      </c>
      <c r="U490" s="18" t="str">
        <f>IF(BITWISE_AND('Raw Data'!$L491, 64),"X","")</f>
        <v/>
      </c>
      <c r="V490" s="18" t="str">
        <f>IF(BITWISE_AND('Raw Data'!$L491, 2),"X","")</f>
        <v/>
      </c>
      <c r="W490" s="18" t="str">
        <f>IF(BITWISE_AND('Raw Data'!$L491, 1),"X","")</f>
        <v/>
      </c>
      <c r="X490" s="19" t="str">
        <f>IF(BITWISE_AND('Raw Data'!M491, 1),"Bat Voltage", IF(BITWISE_AND('Raw Data'!M491, 2), "Charge Current", IF(BITWISE_AND('Raw Data'!M491, 4),"Input Ilim", IF(BITWISE_AND('Raw Data'!M491, 8), "Input UV", "none"))))</f>
        <v>none</v>
      </c>
    </row>
    <row r="491" spans="1:24" x14ac:dyDescent="0.2">
      <c r="A491" s="15">
        <f>A490+TIME(0,0,'Raw Data'!B491)</f>
        <v>0</v>
      </c>
      <c r="B491" s="4">
        <f>'Raw Data'!C492*0.025</f>
        <v>0</v>
      </c>
      <c r="C491" s="4">
        <f t="shared" si="24"/>
        <v>0</v>
      </c>
      <c r="D491" s="4">
        <f>'Raw Data'!D492*0.025</f>
        <v>0</v>
      </c>
      <c r="E491" s="4">
        <f t="shared" si="25"/>
        <v>0</v>
      </c>
      <c r="F491" s="4">
        <f>'Raw Data'!E492*0.001648</f>
        <v>0</v>
      </c>
      <c r="G491" s="4">
        <f>'Raw Data'!F492*0.001648</f>
        <v>0</v>
      </c>
      <c r="H491" s="4">
        <f>'Raw Data'!G492*6*0.000128176</f>
        <v>0</v>
      </c>
      <c r="I491" s="4">
        <f>'Raw Data'!H492*0.000732435</f>
        <v>0</v>
      </c>
      <c r="J491" s="4">
        <f t="shared" si="23"/>
        <v>0</v>
      </c>
      <c r="K491" s="36">
        <f>IF(('Raw Data'!I492-16384)/32768&lt;0,0,('Raw Data'!I492-16384)/32768)</f>
        <v>0</v>
      </c>
      <c r="L491" s="4">
        <f>IF(('Raw Data'!J492-12010)/45.6=-263.377192982456,0,('Raw Data'!J492-12010)/45.6)</f>
        <v>0</v>
      </c>
      <c r="M491" s="16">
        <f>'Raw Data'!N492*2^-8</f>
        <v>0</v>
      </c>
      <c r="N491" s="16">
        <f>'Raw Data'!O492*2^-8</f>
        <v>0</v>
      </c>
      <c r="O491" s="17" t="str">
        <f>IF(BITWISE_AND('Raw Data'!$K492, 8192),"X","")</f>
        <v/>
      </c>
      <c r="P491" s="17" t="str">
        <f>IF(BITWISE_AND('Raw Data'!$K492, 2048),"X","")</f>
        <v/>
      </c>
      <c r="Q491" s="17" t="str">
        <f>IF(BITWISE_AND('Raw Data'!$K492, 64),"X","")</f>
        <v/>
      </c>
      <c r="R491" s="18" t="str">
        <f>IF(BITWISE_AND('Raw Data'!$L492, 1024),"X","")</f>
        <v/>
      </c>
      <c r="S491" s="18" t="str">
        <f>IF(BITWISE_AND('Raw Data'!$L492, 512),"X","")</f>
        <v/>
      </c>
      <c r="T491" s="18" t="str">
        <f>IF(BITWISE_AND('Raw Data'!$L492, 256),"X","")</f>
        <v/>
      </c>
      <c r="U491" s="18" t="str">
        <f>IF(BITWISE_AND('Raw Data'!$L492, 64),"X","")</f>
        <v/>
      </c>
      <c r="V491" s="18" t="str">
        <f>IF(BITWISE_AND('Raw Data'!$L492, 2),"X","")</f>
        <v/>
      </c>
      <c r="W491" s="18" t="str">
        <f>IF(BITWISE_AND('Raw Data'!$L492, 1),"X","")</f>
        <v/>
      </c>
      <c r="X491" s="19" t="str">
        <f>IF(BITWISE_AND('Raw Data'!M492, 1),"Bat Voltage", IF(BITWISE_AND('Raw Data'!M492, 2), "Charge Current", IF(BITWISE_AND('Raw Data'!M492, 4),"Input Ilim", IF(BITWISE_AND('Raw Data'!M492, 8), "Input UV", "none"))))</f>
        <v>none</v>
      </c>
    </row>
    <row r="492" spans="1:24" x14ac:dyDescent="0.2">
      <c r="A492" s="15">
        <f>A491+TIME(0,0,'Raw Data'!B492)</f>
        <v>0</v>
      </c>
      <c r="B492" s="4">
        <f>'Raw Data'!C493*0.025</f>
        <v>0</v>
      </c>
      <c r="C492" s="4">
        <f t="shared" si="24"/>
        <v>0</v>
      </c>
      <c r="D492" s="4">
        <f>'Raw Data'!D493*0.025</f>
        <v>0</v>
      </c>
      <c r="E492" s="4">
        <f t="shared" si="25"/>
        <v>0</v>
      </c>
      <c r="F492" s="4">
        <f>'Raw Data'!E493*0.001648</f>
        <v>0</v>
      </c>
      <c r="G492" s="4">
        <f>'Raw Data'!F493*0.001648</f>
        <v>0</v>
      </c>
      <c r="H492" s="4">
        <f>'Raw Data'!G493*6*0.000128176</f>
        <v>0</v>
      </c>
      <c r="I492" s="4">
        <f>'Raw Data'!H493*0.000732435</f>
        <v>0</v>
      </c>
      <c r="J492" s="4">
        <f t="shared" si="23"/>
        <v>0</v>
      </c>
      <c r="K492" s="36">
        <f>IF(('Raw Data'!I493-16384)/32768&lt;0,0,('Raw Data'!I493-16384)/32768)</f>
        <v>0</v>
      </c>
      <c r="L492" s="4">
        <f>IF(('Raw Data'!J493-12010)/45.6=-263.377192982456,0,('Raw Data'!J493-12010)/45.6)</f>
        <v>0</v>
      </c>
      <c r="M492" s="16">
        <f>'Raw Data'!N493*2^-8</f>
        <v>0</v>
      </c>
      <c r="N492" s="16">
        <f>'Raw Data'!O493*2^-8</f>
        <v>0</v>
      </c>
      <c r="O492" s="17" t="str">
        <f>IF(BITWISE_AND('Raw Data'!$K493, 8192),"X","")</f>
        <v/>
      </c>
      <c r="P492" s="17" t="str">
        <f>IF(BITWISE_AND('Raw Data'!$K493, 2048),"X","")</f>
        <v/>
      </c>
      <c r="Q492" s="17" t="str">
        <f>IF(BITWISE_AND('Raw Data'!$K493, 64),"X","")</f>
        <v/>
      </c>
      <c r="R492" s="18" t="str">
        <f>IF(BITWISE_AND('Raw Data'!$L493, 1024),"X","")</f>
        <v/>
      </c>
      <c r="S492" s="18" t="str">
        <f>IF(BITWISE_AND('Raw Data'!$L493, 512),"X","")</f>
        <v/>
      </c>
      <c r="T492" s="18" t="str">
        <f>IF(BITWISE_AND('Raw Data'!$L493, 256),"X","")</f>
        <v/>
      </c>
      <c r="U492" s="18" t="str">
        <f>IF(BITWISE_AND('Raw Data'!$L493, 64),"X","")</f>
        <v/>
      </c>
      <c r="V492" s="18" t="str">
        <f>IF(BITWISE_AND('Raw Data'!$L493, 2),"X","")</f>
        <v/>
      </c>
      <c r="W492" s="18" t="str">
        <f>IF(BITWISE_AND('Raw Data'!$L493, 1),"X","")</f>
        <v/>
      </c>
      <c r="X492" s="19" t="str">
        <f>IF(BITWISE_AND('Raw Data'!M493, 1),"Bat Voltage", IF(BITWISE_AND('Raw Data'!M493, 2), "Charge Current", IF(BITWISE_AND('Raw Data'!M493, 4),"Input Ilim", IF(BITWISE_AND('Raw Data'!M493, 8), "Input UV", "none"))))</f>
        <v>none</v>
      </c>
    </row>
    <row r="493" spans="1:24" x14ac:dyDescent="0.2">
      <c r="A493" s="15">
        <f>A492+TIME(0,0,'Raw Data'!B493)</f>
        <v>0</v>
      </c>
      <c r="B493" s="4">
        <f>'Raw Data'!C494*0.025</f>
        <v>0</v>
      </c>
      <c r="C493" s="4">
        <f t="shared" si="24"/>
        <v>0</v>
      </c>
      <c r="D493" s="4">
        <f>'Raw Data'!D494*0.025</f>
        <v>0</v>
      </c>
      <c r="E493" s="4">
        <f t="shared" si="25"/>
        <v>0</v>
      </c>
      <c r="F493" s="4">
        <f>'Raw Data'!E494*0.001648</f>
        <v>0</v>
      </c>
      <c r="G493" s="4">
        <f>'Raw Data'!F494*0.001648</f>
        <v>0</v>
      </c>
      <c r="H493" s="4">
        <f>'Raw Data'!G494*6*0.000128176</f>
        <v>0</v>
      </c>
      <c r="I493" s="4">
        <f>'Raw Data'!H494*0.000732435</f>
        <v>0</v>
      </c>
      <c r="J493" s="4">
        <f t="shared" si="23"/>
        <v>0</v>
      </c>
      <c r="K493" s="36">
        <f>IF(('Raw Data'!I494-16384)/32768&lt;0,0,('Raw Data'!I494-16384)/32768)</f>
        <v>0</v>
      </c>
      <c r="L493" s="4">
        <f>IF(('Raw Data'!J494-12010)/45.6=-263.377192982456,0,('Raw Data'!J494-12010)/45.6)</f>
        <v>0</v>
      </c>
      <c r="M493" s="16">
        <f>'Raw Data'!N494*2^-8</f>
        <v>0</v>
      </c>
      <c r="N493" s="16">
        <f>'Raw Data'!O494*2^-8</f>
        <v>0</v>
      </c>
      <c r="O493" s="17" t="str">
        <f>IF(BITWISE_AND('Raw Data'!$K494, 8192),"X","")</f>
        <v/>
      </c>
      <c r="P493" s="17" t="str">
        <f>IF(BITWISE_AND('Raw Data'!$K494, 2048),"X","")</f>
        <v/>
      </c>
      <c r="Q493" s="17" t="str">
        <f>IF(BITWISE_AND('Raw Data'!$K494, 64),"X","")</f>
        <v/>
      </c>
      <c r="R493" s="18" t="str">
        <f>IF(BITWISE_AND('Raw Data'!$L494, 1024),"X","")</f>
        <v/>
      </c>
      <c r="S493" s="18" t="str">
        <f>IF(BITWISE_AND('Raw Data'!$L494, 512),"X","")</f>
        <v/>
      </c>
      <c r="T493" s="18" t="str">
        <f>IF(BITWISE_AND('Raw Data'!$L494, 256),"X","")</f>
        <v/>
      </c>
      <c r="U493" s="18" t="str">
        <f>IF(BITWISE_AND('Raw Data'!$L494, 64),"X","")</f>
        <v/>
      </c>
      <c r="V493" s="18" t="str">
        <f>IF(BITWISE_AND('Raw Data'!$L494, 2),"X","")</f>
        <v/>
      </c>
      <c r="W493" s="18" t="str">
        <f>IF(BITWISE_AND('Raw Data'!$L494, 1),"X","")</f>
        <v/>
      </c>
      <c r="X493" s="19" t="str">
        <f>IF(BITWISE_AND('Raw Data'!M494, 1),"Bat Voltage", IF(BITWISE_AND('Raw Data'!M494, 2), "Charge Current", IF(BITWISE_AND('Raw Data'!M494, 4),"Input Ilim", IF(BITWISE_AND('Raw Data'!M494, 8), "Input UV", "none"))))</f>
        <v>none</v>
      </c>
    </row>
    <row r="494" spans="1:24" x14ac:dyDescent="0.2">
      <c r="A494" s="15">
        <f>A493+TIME(0,0,'Raw Data'!B494)</f>
        <v>0</v>
      </c>
      <c r="B494" s="4">
        <f>'Raw Data'!C495*0.025</f>
        <v>0</v>
      </c>
      <c r="C494" s="4">
        <f t="shared" si="24"/>
        <v>0</v>
      </c>
      <c r="D494" s="4">
        <f>'Raw Data'!D495*0.025</f>
        <v>0</v>
      </c>
      <c r="E494" s="4">
        <f t="shared" si="25"/>
        <v>0</v>
      </c>
      <c r="F494" s="4">
        <f>'Raw Data'!E495*0.001648</f>
        <v>0</v>
      </c>
      <c r="G494" s="4">
        <f>'Raw Data'!F495*0.001648</f>
        <v>0</v>
      </c>
      <c r="H494" s="4">
        <f>'Raw Data'!G495*6*0.000128176</f>
        <v>0</v>
      </c>
      <c r="I494" s="4">
        <f>'Raw Data'!H495*0.000732435</f>
        <v>0</v>
      </c>
      <c r="J494" s="4">
        <f t="shared" si="23"/>
        <v>0</v>
      </c>
      <c r="K494" s="36">
        <f>IF(('Raw Data'!I495-16384)/32768&lt;0,0,('Raw Data'!I495-16384)/32768)</f>
        <v>0</v>
      </c>
      <c r="L494" s="4">
        <f>IF(('Raw Data'!J495-12010)/45.6=-263.377192982456,0,('Raw Data'!J495-12010)/45.6)</f>
        <v>0</v>
      </c>
      <c r="M494" s="16">
        <f>'Raw Data'!N495*2^-8</f>
        <v>0</v>
      </c>
      <c r="N494" s="16">
        <f>'Raw Data'!O495*2^-8</f>
        <v>0</v>
      </c>
      <c r="O494" s="17" t="str">
        <f>IF(BITWISE_AND('Raw Data'!$K495, 8192),"X","")</f>
        <v/>
      </c>
      <c r="P494" s="17" t="str">
        <f>IF(BITWISE_AND('Raw Data'!$K495, 2048),"X","")</f>
        <v/>
      </c>
      <c r="Q494" s="17" t="str">
        <f>IF(BITWISE_AND('Raw Data'!$K495, 64),"X","")</f>
        <v/>
      </c>
      <c r="R494" s="18" t="str">
        <f>IF(BITWISE_AND('Raw Data'!$L495, 1024),"X","")</f>
        <v/>
      </c>
      <c r="S494" s="18" t="str">
        <f>IF(BITWISE_AND('Raw Data'!$L495, 512),"X","")</f>
        <v/>
      </c>
      <c r="T494" s="18" t="str">
        <f>IF(BITWISE_AND('Raw Data'!$L495, 256),"X","")</f>
        <v/>
      </c>
      <c r="U494" s="18" t="str">
        <f>IF(BITWISE_AND('Raw Data'!$L495, 64),"X","")</f>
        <v/>
      </c>
      <c r="V494" s="18" t="str">
        <f>IF(BITWISE_AND('Raw Data'!$L495, 2),"X","")</f>
        <v/>
      </c>
      <c r="W494" s="18" t="str">
        <f>IF(BITWISE_AND('Raw Data'!$L495, 1),"X","")</f>
        <v/>
      </c>
      <c r="X494" s="19" t="str">
        <f>IF(BITWISE_AND('Raw Data'!M495, 1),"Bat Voltage", IF(BITWISE_AND('Raw Data'!M495, 2), "Charge Current", IF(BITWISE_AND('Raw Data'!M495, 4),"Input Ilim", IF(BITWISE_AND('Raw Data'!M495, 8), "Input UV", "none"))))</f>
        <v>none</v>
      </c>
    </row>
    <row r="495" spans="1:24" x14ac:dyDescent="0.2">
      <c r="A495" s="15">
        <f>A494+TIME(0,0,'Raw Data'!B495)</f>
        <v>0</v>
      </c>
      <c r="B495" s="4">
        <f>'Raw Data'!C496*0.025</f>
        <v>0</v>
      </c>
      <c r="C495" s="4">
        <f t="shared" si="24"/>
        <v>0</v>
      </c>
      <c r="D495" s="4">
        <f>'Raw Data'!D496*0.025</f>
        <v>0</v>
      </c>
      <c r="E495" s="4">
        <f t="shared" si="25"/>
        <v>0</v>
      </c>
      <c r="F495" s="4">
        <f>'Raw Data'!E496*0.001648</f>
        <v>0</v>
      </c>
      <c r="G495" s="4">
        <f>'Raw Data'!F496*0.001648</f>
        <v>0</v>
      </c>
      <c r="H495" s="4">
        <f>'Raw Data'!G496*6*0.000128176</f>
        <v>0</v>
      </c>
      <c r="I495" s="4">
        <f>'Raw Data'!H496*0.000732435</f>
        <v>0</v>
      </c>
      <c r="J495" s="4">
        <f t="shared" si="23"/>
        <v>0</v>
      </c>
      <c r="K495" s="36">
        <f>IF(('Raw Data'!I496-16384)/32768&lt;0,0,('Raw Data'!I496-16384)/32768)</f>
        <v>0</v>
      </c>
      <c r="L495" s="4">
        <f>IF(('Raw Data'!J496-12010)/45.6=-263.377192982456,0,('Raw Data'!J496-12010)/45.6)</f>
        <v>0</v>
      </c>
      <c r="M495" s="16">
        <f>'Raw Data'!N496*2^-8</f>
        <v>0</v>
      </c>
      <c r="N495" s="16">
        <f>'Raw Data'!O496*2^-8</f>
        <v>0</v>
      </c>
      <c r="O495" s="17" t="str">
        <f>IF(BITWISE_AND('Raw Data'!$K496, 8192),"X","")</f>
        <v/>
      </c>
      <c r="P495" s="17" t="str">
        <f>IF(BITWISE_AND('Raw Data'!$K496, 2048),"X","")</f>
        <v/>
      </c>
      <c r="Q495" s="17" t="str">
        <f>IF(BITWISE_AND('Raw Data'!$K496, 64),"X","")</f>
        <v/>
      </c>
      <c r="R495" s="18" t="str">
        <f>IF(BITWISE_AND('Raw Data'!$L496, 1024),"X","")</f>
        <v/>
      </c>
      <c r="S495" s="18" t="str">
        <f>IF(BITWISE_AND('Raw Data'!$L496, 512),"X","")</f>
        <v/>
      </c>
      <c r="T495" s="18" t="str">
        <f>IF(BITWISE_AND('Raw Data'!$L496, 256),"X","")</f>
        <v/>
      </c>
      <c r="U495" s="18" t="str">
        <f>IF(BITWISE_AND('Raw Data'!$L496, 64),"X","")</f>
        <v/>
      </c>
      <c r="V495" s="18" t="str">
        <f>IF(BITWISE_AND('Raw Data'!$L496, 2),"X","")</f>
        <v/>
      </c>
      <c r="W495" s="18" t="str">
        <f>IF(BITWISE_AND('Raw Data'!$L496, 1),"X","")</f>
        <v/>
      </c>
      <c r="X495" s="19" t="str">
        <f>IF(BITWISE_AND('Raw Data'!M496, 1),"Bat Voltage", IF(BITWISE_AND('Raw Data'!M496, 2), "Charge Current", IF(BITWISE_AND('Raw Data'!M496, 4),"Input Ilim", IF(BITWISE_AND('Raw Data'!M496, 8), "Input UV", "none"))))</f>
        <v>none</v>
      </c>
    </row>
    <row r="496" spans="1:24" x14ac:dyDescent="0.2">
      <c r="A496" s="15">
        <f>A495+TIME(0,0,'Raw Data'!B496)</f>
        <v>0</v>
      </c>
      <c r="B496" s="4">
        <f>'Raw Data'!C497*0.025</f>
        <v>0</v>
      </c>
      <c r="C496" s="4">
        <f t="shared" si="24"/>
        <v>0</v>
      </c>
      <c r="D496" s="4">
        <f>'Raw Data'!D497*0.025</f>
        <v>0</v>
      </c>
      <c r="E496" s="4">
        <f t="shared" si="25"/>
        <v>0</v>
      </c>
      <c r="F496" s="4">
        <f>'Raw Data'!E497*0.001648</f>
        <v>0</v>
      </c>
      <c r="G496" s="4">
        <f>'Raw Data'!F497*0.001648</f>
        <v>0</v>
      </c>
      <c r="H496" s="4">
        <f>'Raw Data'!G497*6*0.000128176</f>
        <v>0</v>
      </c>
      <c r="I496" s="4">
        <f>'Raw Data'!H497*0.000732435</f>
        <v>0</v>
      </c>
      <c r="J496" s="4">
        <f t="shared" si="23"/>
        <v>0</v>
      </c>
      <c r="K496" s="36">
        <f>IF(('Raw Data'!I497-16384)/32768&lt;0,0,('Raw Data'!I497-16384)/32768)</f>
        <v>0</v>
      </c>
      <c r="L496" s="4">
        <f>IF(('Raw Data'!J497-12010)/45.6=-263.377192982456,0,('Raw Data'!J497-12010)/45.6)</f>
        <v>0</v>
      </c>
      <c r="M496" s="16">
        <f>'Raw Data'!N497*2^-8</f>
        <v>0</v>
      </c>
      <c r="N496" s="16">
        <f>'Raw Data'!O497*2^-8</f>
        <v>0</v>
      </c>
      <c r="O496" s="17" t="str">
        <f>IF(BITWISE_AND('Raw Data'!$K497, 8192),"X","")</f>
        <v/>
      </c>
      <c r="P496" s="17" t="str">
        <f>IF(BITWISE_AND('Raw Data'!$K497, 2048),"X","")</f>
        <v/>
      </c>
      <c r="Q496" s="17" t="str">
        <f>IF(BITWISE_AND('Raw Data'!$K497, 64),"X","")</f>
        <v/>
      </c>
      <c r="R496" s="18" t="str">
        <f>IF(BITWISE_AND('Raw Data'!$L497, 1024),"X","")</f>
        <v/>
      </c>
      <c r="S496" s="18" t="str">
        <f>IF(BITWISE_AND('Raw Data'!$L497, 512),"X","")</f>
        <v/>
      </c>
      <c r="T496" s="18" t="str">
        <f>IF(BITWISE_AND('Raw Data'!$L497, 256),"X","")</f>
        <v/>
      </c>
      <c r="U496" s="18" t="str">
        <f>IF(BITWISE_AND('Raw Data'!$L497, 64),"X","")</f>
        <v/>
      </c>
      <c r="V496" s="18" t="str">
        <f>IF(BITWISE_AND('Raw Data'!$L497, 2),"X","")</f>
        <v/>
      </c>
      <c r="W496" s="18" t="str">
        <f>IF(BITWISE_AND('Raw Data'!$L497, 1),"X","")</f>
        <v/>
      </c>
      <c r="X496" s="19" t="str">
        <f>IF(BITWISE_AND('Raw Data'!M497, 1),"Bat Voltage", IF(BITWISE_AND('Raw Data'!M497, 2), "Charge Current", IF(BITWISE_AND('Raw Data'!M497, 4),"Input Ilim", IF(BITWISE_AND('Raw Data'!M497, 8), "Input UV", "none"))))</f>
        <v>none</v>
      </c>
    </row>
    <row r="497" spans="1:24" x14ac:dyDescent="0.2">
      <c r="A497" s="15">
        <f>A496+TIME(0,0,'Raw Data'!B497)</f>
        <v>0</v>
      </c>
      <c r="B497" s="4">
        <f>'Raw Data'!C498*0.025</f>
        <v>0</v>
      </c>
      <c r="C497" s="4">
        <f t="shared" si="24"/>
        <v>0</v>
      </c>
      <c r="D497" s="4">
        <f>'Raw Data'!D498*0.025</f>
        <v>0</v>
      </c>
      <c r="E497" s="4">
        <f t="shared" si="25"/>
        <v>0</v>
      </c>
      <c r="F497" s="4">
        <f>'Raw Data'!E498*0.001648</f>
        <v>0</v>
      </c>
      <c r="G497" s="4">
        <f>'Raw Data'!F498*0.001648</f>
        <v>0</v>
      </c>
      <c r="H497" s="4">
        <f>'Raw Data'!G498*6*0.000128176</f>
        <v>0</v>
      </c>
      <c r="I497" s="4">
        <f>'Raw Data'!H498*0.000732435</f>
        <v>0</v>
      </c>
      <c r="J497" s="4">
        <f t="shared" si="23"/>
        <v>0</v>
      </c>
      <c r="K497" s="36">
        <f>IF(('Raw Data'!I498-16384)/32768&lt;0,0,('Raw Data'!I498-16384)/32768)</f>
        <v>0</v>
      </c>
      <c r="L497" s="4">
        <f>IF(('Raw Data'!J498-12010)/45.6=-263.377192982456,0,('Raw Data'!J498-12010)/45.6)</f>
        <v>0</v>
      </c>
      <c r="M497" s="16">
        <f>'Raw Data'!N498*2^-8</f>
        <v>0</v>
      </c>
      <c r="N497" s="16">
        <f>'Raw Data'!O498*2^-8</f>
        <v>0</v>
      </c>
      <c r="O497" s="17" t="str">
        <f>IF(BITWISE_AND('Raw Data'!$K498, 8192),"X","")</f>
        <v/>
      </c>
      <c r="P497" s="17" t="str">
        <f>IF(BITWISE_AND('Raw Data'!$K498, 2048),"X","")</f>
        <v/>
      </c>
      <c r="Q497" s="17" t="str">
        <f>IF(BITWISE_AND('Raw Data'!$K498, 64),"X","")</f>
        <v/>
      </c>
      <c r="R497" s="18" t="str">
        <f>IF(BITWISE_AND('Raw Data'!$L498, 1024),"X","")</f>
        <v/>
      </c>
      <c r="S497" s="18" t="str">
        <f>IF(BITWISE_AND('Raw Data'!$L498, 512),"X","")</f>
        <v/>
      </c>
      <c r="T497" s="18" t="str">
        <f>IF(BITWISE_AND('Raw Data'!$L498, 256),"X","")</f>
        <v/>
      </c>
      <c r="U497" s="18" t="str">
        <f>IF(BITWISE_AND('Raw Data'!$L498, 64),"X","")</f>
        <v/>
      </c>
      <c r="V497" s="18" t="str">
        <f>IF(BITWISE_AND('Raw Data'!$L498, 2),"X","")</f>
        <v/>
      </c>
      <c r="W497" s="18" t="str">
        <f>IF(BITWISE_AND('Raw Data'!$L498, 1),"X","")</f>
        <v/>
      </c>
      <c r="X497" s="19" t="str">
        <f>IF(BITWISE_AND('Raw Data'!M498, 1),"Bat Voltage", IF(BITWISE_AND('Raw Data'!M498, 2), "Charge Current", IF(BITWISE_AND('Raw Data'!M498, 4),"Input Ilim", IF(BITWISE_AND('Raw Data'!M498, 8), "Input UV", "none"))))</f>
        <v>none</v>
      </c>
    </row>
    <row r="498" spans="1:24" x14ac:dyDescent="0.2">
      <c r="A498" s="15">
        <f>A497+TIME(0,0,'Raw Data'!B498)</f>
        <v>0</v>
      </c>
      <c r="B498" s="4">
        <f>'Raw Data'!C499*0.025</f>
        <v>0</v>
      </c>
      <c r="C498" s="4">
        <f t="shared" si="24"/>
        <v>0</v>
      </c>
      <c r="D498" s="4">
        <f>'Raw Data'!D499*0.025</f>
        <v>0</v>
      </c>
      <c r="E498" s="4">
        <f t="shared" si="25"/>
        <v>0</v>
      </c>
      <c r="F498" s="4">
        <f>'Raw Data'!E499*0.001648</f>
        <v>0</v>
      </c>
      <c r="G498" s="4">
        <f>'Raw Data'!F499*0.001648</f>
        <v>0</v>
      </c>
      <c r="H498" s="4">
        <f>'Raw Data'!G499*6*0.000128176</f>
        <v>0</v>
      </c>
      <c r="I498" s="4">
        <f>'Raw Data'!H499*0.000732435</f>
        <v>0</v>
      </c>
      <c r="J498" s="4">
        <f t="shared" si="23"/>
        <v>0</v>
      </c>
      <c r="K498" s="36">
        <f>IF(('Raw Data'!I499-16384)/32768&lt;0,0,('Raw Data'!I499-16384)/32768)</f>
        <v>0</v>
      </c>
      <c r="L498" s="4">
        <f>IF(('Raw Data'!J499-12010)/45.6=-263.377192982456,0,('Raw Data'!J499-12010)/45.6)</f>
        <v>0</v>
      </c>
      <c r="M498" s="16">
        <f>'Raw Data'!N499*2^-8</f>
        <v>0</v>
      </c>
      <c r="N498" s="16">
        <f>'Raw Data'!O499*2^-8</f>
        <v>0</v>
      </c>
      <c r="O498" s="17" t="str">
        <f>IF(BITWISE_AND('Raw Data'!$K499, 8192),"X","")</f>
        <v/>
      </c>
      <c r="P498" s="17" t="str">
        <f>IF(BITWISE_AND('Raw Data'!$K499, 2048),"X","")</f>
        <v/>
      </c>
      <c r="Q498" s="17" t="str">
        <f>IF(BITWISE_AND('Raw Data'!$K499, 64),"X","")</f>
        <v/>
      </c>
      <c r="R498" s="18" t="str">
        <f>IF(BITWISE_AND('Raw Data'!$L499, 1024),"X","")</f>
        <v/>
      </c>
      <c r="S498" s="18" t="str">
        <f>IF(BITWISE_AND('Raw Data'!$L499, 512),"X","")</f>
        <v/>
      </c>
      <c r="T498" s="18" t="str">
        <f>IF(BITWISE_AND('Raw Data'!$L499, 256),"X","")</f>
        <v/>
      </c>
      <c r="U498" s="18" t="str">
        <f>IF(BITWISE_AND('Raw Data'!$L499, 64),"X","")</f>
        <v/>
      </c>
      <c r="V498" s="18" t="str">
        <f>IF(BITWISE_AND('Raw Data'!$L499, 2),"X","")</f>
        <v/>
      </c>
      <c r="W498" s="18" t="str">
        <f>IF(BITWISE_AND('Raw Data'!$L499, 1),"X","")</f>
        <v/>
      </c>
      <c r="X498" s="19" t="str">
        <f>IF(BITWISE_AND('Raw Data'!M499, 1),"Bat Voltage", IF(BITWISE_AND('Raw Data'!M499, 2), "Charge Current", IF(BITWISE_AND('Raw Data'!M499, 4),"Input Ilim", IF(BITWISE_AND('Raw Data'!M499, 8), "Input UV", "none"))))</f>
        <v>none</v>
      </c>
    </row>
    <row r="499" spans="1:24" x14ac:dyDescent="0.2">
      <c r="A499" s="15">
        <f>A498+TIME(0,0,'Raw Data'!B499)</f>
        <v>0</v>
      </c>
      <c r="B499" s="4">
        <f>'Raw Data'!C500*0.025</f>
        <v>0</v>
      </c>
      <c r="C499" s="4">
        <f t="shared" si="24"/>
        <v>0</v>
      </c>
      <c r="D499" s="4">
        <f>'Raw Data'!D500*0.025</f>
        <v>0</v>
      </c>
      <c r="E499" s="4">
        <f t="shared" si="25"/>
        <v>0</v>
      </c>
      <c r="F499" s="4">
        <f>'Raw Data'!E500*0.001648</f>
        <v>0</v>
      </c>
      <c r="G499" s="4">
        <f>'Raw Data'!F500*0.001648</f>
        <v>0</v>
      </c>
      <c r="H499" s="4">
        <f>'Raw Data'!G500*6*0.000128176</f>
        <v>0</v>
      </c>
      <c r="I499" s="4">
        <f>'Raw Data'!H500*0.000732435</f>
        <v>0</v>
      </c>
      <c r="J499" s="4">
        <f t="shared" si="23"/>
        <v>0</v>
      </c>
      <c r="K499" s="36">
        <f>IF(('Raw Data'!I500-16384)/32768&lt;0,0,('Raw Data'!I500-16384)/32768)</f>
        <v>0</v>
      </c>
      <c r="L499" s="4">
        <f>IF(('Raw Data'!J500-12010)/45.6=-263.377192982456,0,('Raw Data'!J500-12010)/45.6)</f>
        <v>0</v>
      </c>
      <c r="M499" s="16">
        <f>'Raw Data'!N500*2^-8</f>
        <v>0</v>
      </c>
      <c r="N499" s="16">
        <f>'Raw Data'!O500*2^-8</f>
        <v>0</v>
      </c>
      <c r="O499" s="17" t="str">
        <f>IF(BITWISE_AND('Raw Data'!$K500, 8192),"X","")</f>
        <v/>
      </c>
      <c r="P499" s="17" t="str">
        <f>IF(BITWISE_AND('Raw Data'!$K500, 2048),"X","")</f>
        <v/>
      </c>
      <c r="Q499" s="17" t="str">
        <f>IF(BITWISE_AND('Raw Data'!$K500, 64),"X","")</f>
        <v/>
      </c>
      <c r="R499" s="18" t="str">
        <f>IF(BITWISE_AND('Raw Data'!$L500, 1024),"X","")</f>
        <v/>
      </c>
      <c r="S499" s="18" t="str">
        <f>IF(BITWISE_AND('Raw Data'!$L500, 512),"X","")</f>
        <v/>
      </c>
      <c r="T499" s="18" t="str">
        <f>IF(BITWISE_AND('Raw Data'!$L500, 256),"X","")</f>
        <v/>
      </c>
      <c r="U499" s="18" t="str">
        <f>IF(BITWISE_AND('Raw Data'!$L500, 64),"X","")</f>
        <v/>
      </c>
      <c r="V499" s="18" t="str">
        <f>IF(BITWISE_AND('Raw Data'!$L500, 2),"X","")</f>
        <v/>
      </c>
      <c r="W499" s="18" t="str">
        <f>IF(BITWISE_AND('Raw Data'!$L500, 1),"X","")</f>
        <v/>
      </c>
      <c r="X499" s="19" t="str">
        <f>IF(BITWISE_AND('Raw Data'!M500, 1),"Bat Voltage", IF(BITWISE_AND('Raw Data'!M500, 2), "Charge Current", IF(BITWISE_AND('Raw Data'!M500, 4),"Input Ilim", IF(BITWISE_AND('Raw Data'!M500, 8), "Input UV", "none"))))</f>
        <v>none</v>
      </c>
    </row>
    <row r="500" spans="1:24" x14ac:dyDescent="0.2">
      <c r="A500" s="15">
        <f>A499+TIME(0,0,'Raw Data'!B500)</f>
        <v>0</v>
      </c>
      <c r="B500" s="4">
        <f>'Raw Data'!C501*0.025</f>
        <v>0</v>
      </c>
      <c r="C500" s="4">
        <f t="shared" si="24"/>
        <v>0</v>
      </c>
      <c r="D500" s="4">
        <f>'Raw Data'!D501*0.025</f>
        <v>0</v>
      </c>
      <c r="E500" s="4">
        <f t="shared" si="25"/>
        <v>0</v>
      </c>
      <c r="F500" s="4">
        <f>'Raw Data'!E501*0.001648</f>
        <v>0</v>
      </c>
      <c r="G500" s="4">
        <f>'Raw Data'!F501*0.001648</f>
        <v>0</v>
      </c>
      <c r="H500" s="4">
        <f>'Raw Data'!G501*6*0.000128176</f>
        <v>0</v>
      </c>
      <c r="I500" s="4">
        <f>'Raw Data'!H501*0.000732435</f>
        <v>0</v>
      </c>
      <c r="J500" s="4">
        <f t="shared" si="23"/>
        <v>0</v>
      </c>
      <c r="K500" s="36">
        <f>IF(('Raw Data'!I501-16384)/32768&lt;0,0,('Raw Data'!I501-16384)/32768)</f>
        <v>0</v>
      </c>
      <c r="L500" s="4">
        <f>IF(('Raw Data'!J501-12010)/45.6=-263.377192982456,0,('Raw Data'!J501-12010)/45.6)</f>
        <v>0</v>
      </c>
      <c r="M500" s="16">
        <f>'Raw Data'!N501*2^-8</f>
        <v>0</v>
      </c>
      <c r="N500" s="16">
        <f>'Raw Data'!O501*2^-8</f>
        <v>0</v>
      </c>
      <c r="O500" s="17" t="str">
        <f>IF(BITWISE_AND('Raw Data'!$K501, 8192),"X","")</f>
        <v/>
      </c>
      <c r="P500" s="17" t="str">
        <f>IF(BITWISE_AND('Raw Data'!$K501, 2048),"X","")</f>
        <v/>
      </c>
      <c r="Q500" s="17" t="str">
        <f>IF(BITWISE_AND('Raw Data'!$K501, 64),"X","")</f>
        <v/>
      </c>
      <c r="R500" s="18" t="str">
        <f>IF(BITWISE_AND('Raw Data'!$L501, 1024),"X","")</f>
        <v/>
      </c>
      <c r="S500" s="18" t="str">
        <f>IF(BITWISE_AND('Raw Data'!$L501, 512),"X","")</f>
        <v/>
      </c>
      <c r="T500" s="18" t="str">
        <f>IF(BITWISE_AND('Raw Data'!$L501, 256),"X","")</f>
        <v/>
      </c>
      <c r="U500" s="18" t="str">
        <f>IF(BITWISE_AND('Raw Data'!$L501, 64),"X","")</f>
        <v/>
      </c>
      <c r="V500" s="18" t="str">
        <f>IF(BITWISE_AND('Raw Data'!$L501, 2),"X","")</f>
        <v/>
      </c>
      <c r="W500" s="18" t="str">
        <f>IF(BITWISE_AND('Raw Data'!$L501, 1),"X","")</f>
        <v/>
      </c>
      <c r="X500" s="19" t="str">
        <f>IF(BITWISE_AND('Raw Data'!M501, 1),"Bat Voltage", IF(BITWISE_AND('Raw Data'!M501, 2), "Charge Current", IF(BITWISE_AND('Raw Data'!M501, 4),"Input Ilim", IF(BITWISE_AND('Raw Data'!M501, 8), "Input UV", "none"))))</f>
        <v>none</v>
      </c>
    </row>
    <row r="501" spans="1:24" x14ac:dyDescent="0.2">
      <c r="A501" s="15">
        <f>A500+TIME(0,0,'Raw Data'!B501)</f>
        <v>0</v>
      </c>
      <c r="B501" s="4">
        <f>'Raw Data'!C502*0.025</f>
        <v>0</v>
      </c>
      <c r="C501" s="4">
        <f t="shared" si="24"/>
        <v>0</v>
      </c>
      <c r="D501" s="4">
        <f>'Raw Data'!D502*0.025</f>
        <v>0</v>
      </c>
      <c r="E501" s="4">
        <f t="shared" si="25"/>
        <v>0</v>
      </c>
      <c r="F501" s="4">
        <f>'Raw Data'!E502*0.001648</f>
        <v>0</v>
      </c>
      <c r="G501" s="4">
        <f>'Raw Data'!F502*0.001648</f>
        <v>0</v>
      </c>
      <c r="H501" s="4">
        <f>'Raw Data'!G502*6*0.000128176</f>
        <v>0</v>
      </c>
      <c r="I501" s="4">
        <f>'Raw Data'!H502*0.000732435</f>
        <v>0</v>
      </c>
      <c r="J501" s="4">
        <f t="shared" si="23"/>
        <v>0</v>
      </c>
      <c r="K501" s="36">
        <f>IF(('Raw Data'!I502-16384)/32768&lt;0,0,('Raw Data'!I502-16384)/32768)</f>
        <v>0</v>
      </c>
      <c r="L501" s="4">
        <f>IF(('Raw Data'!J502-12010)/45.6=-263.377192982456,0,('Raw Data'!J502-12010)/45.6)</f>
        <v>0</v>
      </c>
      <c r="M501" s="16">
        <f>'Raw Data'!N502*2^-8</f>
        <v>0</v>
      </c>
      <c r="N501" s="16">
        <f>'Raw Data'!O502*2^-8</f>
        <v>0</v>
      </c>
      <c r="O501" s="17" t="str">
        <f>IF(BITWISE_AND('Raw Data'!$K502, 8192),"X","")</f>
        <v/>
      </c>
      <c r="P501" s="17" t="str">
        <f>IF(BITWISE_AND('Raw Data'!$K502, 2048),"X","")</f>
        <v/>
      </c>
      <c r="Q501" s="17" t="str">
        <f>IF(BITWISE_AND('Raw Data'!$K502, 64),"X","")</f>
        <v/>
      </c>
      <c r="R501" s="18" t="str">
        <f>IF(BITWISE_AND('Raw Data'!$L502, 1024),"X","")</f>
        <v/>
      </c>
      <c r="S501" s="18" t="str">
        <f>IF(BITWISE_AND('Raw Data'!$L502, 512),"X","")</f>
        <v/>
      </c>
      <c r="T501" s="18" t="str">
        <f>IF(BITWISE_AND('Raw Data'!$L502, 256),"X","")</f>
        <v/>
      </c>
      <c r="U501" s="18" t="str">
        <f>IF(BITWISE_AND('Raw Data'!$L502, 64),"X","")</f>
        <v/>
      </c>
      <c r="V501" s="18" t="str">
        <f>IF(BITWISE_AND('Raw Data'!$L502, 2),"X","")</f>
        <v/>
      </c>
      <c r="W501" s="18" t="str">
        <f>IF(BITWISE_AND('Raw Data'!$L502, 1),"X","")</f>
        <v/>
      </c>
      <c r="X501" s="19" t="str">
        <f>IF(BITWISE_AND('Raw Data'!M502, 1),"Bat Voltage", IF(BITWISE_AND('Raw Data'!M502, 2), "Charge Current", IF(BITWISE_AND('Raw Data'!M502, 4),"Input Ilim", IF(BITWISE_AND('Raw Data'!M502, 8), "Input UV", "none"))))</f>
        <v>none</v>
      </c>
    </row>
    <row r="502" spans="1:24" x14ac:dyDescent="0.2">
      <c r="A502" s="15">
        <f>A501+TIME(0,0,'Raw Data'!B502)</f>
        <v>0</v>
      </c>
      <c r="B502" s="4">
        <f>'Raw Data'!C503*0.025</f>
        <v>0</v>
      </c>
      <c r="C502" s="4">
        <f t="shared" si="24"/>
        <v>0</v>
      </c>
      <c r="D502" s="4">
        <f>'Raw Data'!D503*0.025</f>
        <v>0</v>
      </c>
      <c r="E502" s="4">
        <f t="shared" si="25"/>
        <v>0</v>
      </c>
      <c r="F502" s="4">
        <f>'Raw Data'!E503*0.001648</f>
        <v>0</v>
      </c>
      <c r="G502" s="4">
        <f>'Raw Data'!F503*0.001648</f>
        <v>0</v>
      </c>
      <c r="H502" s="4">
        <f>'Raw Data'!G503*6*0.000128176</f>
        <v>0</v>
      </c>
      <c r="I502" s="4">
        <f>'Raw Data'!H503*0.000732435</f>
        <v>0</v>
      </c>
      <c r="J502" s="4">
        <f t="shared" si="23"/>
        <v>0</v>
      </c>
      <c r="K502" s="36">
        <f>IF(('Raw Data'!I503-16384)/32768&lt;0,0,('Raw Data'!I503-16384)/32768)</f>
        <v>0</v>
      </c>
      <c r="L502" s="4">
        <f>IF(('Raw Data'!J503-12010)/45.6=-263.377192982456,0,('Raw Data'!J503-12010)/45.6)</f>
        <v>0</v>
      </c>
      <c r="M502" s="16">
        <f>'Raw Data'!N503*2^-8</f>
        <v>0</v>
      </c>
      <c r="N502" s="16">
        <f>'Raw Data'!O503*2^-8</f>
        <v>0</v>
      </c>
      <c r="O502" s="17" t="str">
        <f>IF(BITWISE_AND('Raw Data'!$K503, 8192),"X","")</f>
        <v/>
      </c>
      <c r="P502" s="17" t="str">
        <f>IF(BITWISE_AND('Raw Data'!$K503, 2048),"X","")</f>
        <v/>
      </c>
      <c r="Q502" s="17" t="str">
        <f>IF(BITWISE_AND('Raw Data'!$K503, 64),"X","")</f>
        <v/>
      </c>
      <c r="R502" s="18" t="str">
        <f>IF(BITWISE_AND('Raw Data'!$L503, 1024),"X","")</f>
        <v/>
      </c>
      <c r="S502" s="18" t="str">
        <f>IF(BITWISE_AND('Raw Data'!$L503, 512),"X","")</f>
        <v/>
      </c>
      <c r="T502" s="18" t="str">
        <f>IF(BITWISE_AND('Raw Data'!$L503, 256),"X","")</f>
        <v/>
      </c>
      <c r="U502" s="18" t="str">
        <f>IF(BITWISE_AND('Raw Data'!$L503, 64),"X","")</f>
        <v/>
      </c>
      <c r="V502" s="18" t="str">
        <f>IF(BITWISE_AND('Raw Data'!$L503, 2),"X","")</f>
        <v/>
      </c>
      <c r="W502" s="18" t="str">
        <f>IF(BITWISE_AND('Raw Data'!$L503, 1),"X","")</f>
        <v/>
      </c>
      <c r="X502" s="19" t="str">
        <f>IF(BITWISE_AND('Raw Data'!M503, 1),"Bat Voltage", IF(BITWISE_AND('Raw Data'!M503, 2), "Charge Current", IF(BITWISE_AND('Raw Data'!M503, 4),"Input Ilim", IF(BITWISE_AND('Raw Data'!M503, 8), "Input UV", "none"))))</f>
        <v>none</v>
      </c>
    </row>
    <row r="503" spans="1:24" x14ac:dyDescent="0.2">
      <c r="A503" s="15">
        <f>A502+TIME(0,0,'Raw Data'!B503)</f>
        <v>0</v>
      </c>
      <c r="B503" s="4">
        <f>'Raw Data'!C504*0.025</f>
        <v>0</v>
      </c>
      <c r="C503" s="4">
        <f t="shared" si="24"/>
        <v>0</v>
      </c>
      <c r="D503" s="4">
        <f>'Raw Data'!D504*0.025</f>
        <v>0</v>
      </c>
      <c r="E503" s="4">
        <f t="shared" si="25"/>
        <v>0</v>
      </c>
      <c r="F503" s="4">
        <f>'Raw Data'!E504*0.001648</f>
        <v>0</v>
      </c>
      <c r="G503" s="4">
        <f>'Raw Data'!F504*0.001648</f>
        <v>0</v>
      </c>
      <c r="H503" s="4">
        <f>'Raw Data'!G504*6*0.000128176</f>
        <v>0</v>
      </c>
      <c r="I503" s="4">
        <f>'Raw Data'!H504*0.000732435</f>
        <v>0</v>
      </c>
      <c r="J503" s="4">
        <f t="shared" si="23"/>
        <v>0</v>
      </c>
      <c r="K503" s="36">
        <f>IF(('Raw Data'!I504-16384)/32768&lt;0,0,('Raw Data'!I504-16384)/32768)</f>
        <v>0</v>
      </c>
      <c r="L503" s="4">
        <f>IF(('Raw Data'!J504-12010)/45.6=-263.377192982456,0,('Raw Data'!J504-12010)/45.6)</f>
        <v>0</v>
      </c>
      <c r="M503" s="16">
        <f>'Raw Data'!N504*2^-8</f>
        <v>0</v>
      </c>
      <c r="N503" s="16">
        <f>'Raw Data'!O504*2^-8</f>
        <v>0</v>
      </c>
      <c r="O503" s="17" t="str">
        <f>IF(BITWISE_AND('Raw Data'!$K504, 8192),"X","")</f>
        <v/>
      </c>
      <c r="P503" s="17" t="str">
        <f>IF(BITWISE_AND('Raw Data'!$K504, 2048),"X","")</f>
        <v/>
      </c>
      <c r="Q503" s="17" t="str">
        <f>IF(BITWISE_AND('Raw Data'!$K504, 64),"X","")</f>
        <v/>
      </c>
      <c r="R503" s="18" t="str">
        <f>IF(BITWISE_AND('Raw Data'!$L504, 1024),"X","")</f>
        <v/>
      </c>
      <c r="S503" s="18" t="str">
        <f>IF(BITWISE_AND('Raw Data'!$L504, 512),"X","")</f>
        <v/>
      </c>
      <c r="T503" s="18" t="str">
        <f>IF(BITWISE_AND('Raw Data'!$L504, 256),"X","")</f>
        <v/>
      </c>
      <c r="U503" s="18" t="str">
        <f>IF(BITWISE_AND('Raw Data'!$L504, 64),"X","")</f>
        <v/>
      </c>
      <c r="V503" s="18" t="str">
        <f>IF(BITWISE_AND('Raw Data'!$L504, 2),"X","")</f>
        <v/>
      </c>
      <c r="W503" s="18" t="str">
        <f>IF(BITWISE_AND('Raw Data'!$L504, 1),"X","")</f>
        <v/>
      </c>
      <c r="X503" s="19" t="str">
        <f>IF(BITWISE_AND('Raw Data'!M504, 1),"Bat Voltage", IF(BITWISE_AND('Raw Data'!M504, 2), "Charge Current", IF(BITWISE_AND('Raw Data'!M504, 4),"Input Ilim", IF(BITWISE_AND('Raw Data'!M504, 8), "Input UV", "none"))))</f>
        <v>none</v>
      </c>
    </row>
    <row r="504" spans="1:24" x14ac:dyDescent="0.2">
      <c r="A504" s="15">
        <f>A503+TIME(0,0,'Raw Data'!B504)</f>
        <v>0</v>
      </c>
      <c r="B504" s="4">
        <f>'Raw Data'!C505*0.025</f>
        <v>0</v>
      </c>
      <c r="C504" s="4">
        <f t="shared" si="24"/>
        <v>0</v>
      </c>
      <c r="D504" s="4">
        <f>'Raw Data'!D505*0.025</f>
        <v>0</v>
      </c>
      <c r="E504" s="4">
        <f t="shared" si="25"/>
        <v>0</v>
      </c>
      <c r="F504" s="4">
        <f>'Raw Data'!E505*0.001648</f>
        <v>0</v>
      </c>
      <c r="G504" s="4">
        <f>'Raw Data'!F505*0.001648</f>
        <v>0</v>
      </c>
      <c r="H504" s="4">
        <f>'Raw Data'!G505*6*0.000128176</f>
        <v>0</v>
      </c>
      <c r="I504" s="4">
        <f>'Raw Data'!H505*0.000732435</f>
        <v>0</v>
      </c>
      <c r="J504" s="4">
        <f t="shared" si="23"/>
        <v>0</v>
      </c>
      <c r="K504" s="36">
        <f>IF(('Raw Data'!I505-16384)/32768&lt;0,0,('Raw Data'!I505-16384)/32768)</f>
        <v>0</v>
      </c>
      <c r="L504" s="4">
        <f>IF(('Raw Data'!J505-12010)/45.6=-263.377192982456,0,('Raw Data'!J505-12010)/45.6)</f>
        <v>0</v>
      </c>
      <c r="M504" s="16">
        <f>'Raw Data'!N505*2^-8</f>
        <v>0</v>
      </c>
      <c r="N504" s="16">
        <f>'Raw Data'!O505*2^-8</f>
        <v>0</v>
      </c>
      <c r="O504" s="17" t="str">
        <f>IF(BITWISE_AND('Raw Data'!$K505, 8192),"X","")</f>
        <v/>
      </c>
      <c r="P504" s="17" t="str">
        <f>IF(BITWISE_AND('Raw Data'!$K505, 2048),"X","")</f>
        <v/>
      </c>
      <c r="Q504" s="17" t="str">
        <f>IF(BITWISE_AND('Raw Data'!$K505, 64),"X","")</f>
        <v/>
      </c>
      <c r="R504" s="18" t="str">
        <f>IF(BITWISE_AND('Raw Data'!$L505, 1024),"X","")</f>
        <v/>
      </c>
      <c r="S504" s="18" t="str">
        <f>IF(BITWISE_AND('Raw Data'!$L505, 512),"X","")</f>
        <v/>
      </c>
      <c r="T504" s="18" t="str">
        <f>IF(BITWISE_AND('Raw Data'!$L505, 256),"X","")</f>
        <v/>
      </c>
      <c r="U504" s="18" t="str">
        <f>IF(BITWISE_AND('Raw Data'!$L505, 64),"X","")</f>
        <v/>
      </c>
      <c r="V504" s="18" t="str">
        <f>IF(BITWISE_AND('Raw Data'!$L505, 2),"X","")</f>
        <v/>
      </c>
      <c r="W504" s="18" t="str">
        <f>IF(BITWISE_AND('Raw Data'!$L505, 1),"X","")</f>
        <v/>
      </c>
      <c r="X504" s="19" t="str">
        <f>IF(BITWISE_AND('Raw Data'!M505, 1),"Bat Voltage", IF(BITWISE_AND('Raw Data'!M505, 2), "Charge Current", IF(BITWISE_AND('Raw Data'!M505, 4),"Input Ilim", IF(BITWISE_AND('Raw Data'!M505, 8), "Input UV", "none"))))</f>
        <v>none</v>
      </c>
    </row>
    <row r="505" spans="1:24" x14ac:dyDescent="0.2">
      <c r="A505" s="15">
        <f>A504+TIME(0,0,'Raw Data'!B505)</f>
        <v>0</v>
      </c>
      <c r="B505" s="4">
        <f>'Raw Data'!C506*0.025</f>
        <v>0</v>
      </c>
      <c r="C505" s="4">
        <f t="shared" si="24"/>
        <v>0</v>
      </c>
      <c r="D505" s="4">
        <f>'Raw Data'!D506*0.025</f>
        <v>0</v>
      </c>
      <c r="E505" s="4">
        <f t="shared" si="25"/>
        <v>0</v>
      </c>
      <c r="F505" s="4">
        <f>'Raw Data'!E506*0.001648</f>
        <v>0</v>
      </c>
      <c r="G505" s="4">
        <f>'Raw Data'!F506*0.001648</f>
        <v>0</v>
      </c>
      <c r="H505" s="4">
        <f>'Raw Data'!G506*6*0.000128176</f>
        <v>0</v>
      </c>
      <c r="I505" s="4">
        <f>'Raw Data'!H506*0.000732435</f>
        <v>0</v>
      </c>
      <c r="J505" s="4">
        <f t="shared" si="23"/>
        <v>0</v>
      </c>
      <c r="K505" s="36">
        <f>IF(('Raw Data'!I506-16384)/32768&lt;0,0,('Raw Data'!I506-16384)/32768)</f>
        <v>0</v>
      </c>
      <c r="L505" s="4">
        <f>IF(('Raw Data'!J506-12010)/45.6=-263.377192982456,0,('Raw Data'!J506-12010)/45.6)</f>
        <v>0</v>
      </c>
      <c r="M505" s="16">
        <f>'Raw Data'!N506*2^-8</f>
        <v>0</v>
      </c>
      <c r="N505" s="16">
        <f>'Raw Data'!O506*2^-8</f>
        <v>0</v>
      </c>
      <c r="O505" s="17" t="str">
        <f>IF(BITWISE_AND('Raw Data'!$K506, 8192),"X","")</f>
        <v/>
      </c>
      <c r="P505" s="17" t="str">
        <f>IF(BITWISE_AND('Raw Data'!$K506, 2048),"X","")</f>
        <v/>
      </c>
      <c r="Q505" s="17" t="str">
        <f>IF(BITWISE_AND('Raw Data'!$K506, 64),"X","")</f>
        <v/>
      </c>
      <c r="R505" s="18" t="str">
        <f>IF(BITWISE_AND('Raw Data'!$L506, 1024),"X","")</f>
        <v/>
      </c>
      <c r="S505" s="18" t="str">
        <f>IF(BITWISE_AND('Raw Data'!$L506, 512),"X","")</f>
        <v/>
      </c>
      <c r="T505" s="18" t="str">
        <f>IF(BITWISE_AND('Raw Data'!$L506, 256),"X","")</f>
        <v/>
      </c>
      <c r="U505" s="18" t="str">
        <f>IF(BITWISE_AND('Raw Data'!$L506, 64),"X","")</f>
        <v/>
      </c>
      <c r="V505" s="18" t="str">
        <f>IF(BITWISE_AND('Raw Data'!$L506, 2),"X","")</f>
        <v/>
      </c>
      <c r="W505" s="18" t="str">
        <f>IF(BITWISE_AND('Raw Data'!$L506, 1),"X","")</f>
        <v/>
      </c>
      <c r="X505" s="19" t="str">
        <f>IF(BITWISE_AND('Raw Data'!M506, 1),"Bat Voltage", IF(BITWISE_AND('Raw Data'!M506, 2), "Charge Current", IF(BITWISE_AND('Raw Data'!M506, 4),"Input Ilim", IF(BITWISE_AND('Raw Data'!M506, 8), "Input UV", "none"))))</f>
        <v>none</v>
      </c>
    </row>
    <row r="506" spans="1:24" x14ac:dyDescent="0.2">
      <c r="A506" s="15">
        <f>A505+TIME(0,0,'Raw Data'!B506)</f>
        <v>0</v>
      </c>
      <c r="B506" s="4">
        <f>'Raw Data'!C507*0.025</f>
        <v>0</v>
      </c>
      <c r="C506" s="4">
        <f t="shared" si="24"/>
        <v>0</v>
      </c>
      <c r="D506" s="4">
        <f>'Raw Data'!D507*0.025</f>
        <v>0</v>
      </c>
      <c r="E506" s="4">
        <f t="shared" si="25"/>
        <v>0</v>
      </c>
      <c r="F506" s="4">
        <f>'Raw Data'!E507*0.001648</f>
        <v>0</v>
      </c>
      <c r="G506" s="4">
        <f>'Raw Data'!F507*0.001648</f>
        <v>0</v>
      </c>
      <c r="H506" s="4">
        <f>'Raw Data'!G507*6*0.000128176</f>
        <v>0</v>
      </c>
      <c r="I506" s="4">
        <f>'Raw Data'!H507*0.000732435</f>
        <v>0</v>
      </c>
      <c r="J506" s="4">
        <f t="shared" si="23"/>
        <v>0</v>
      </c>
      <c r="K506" s="36">
        <f>IF(('Raw Data'!I507-16384)/32768&lt;0,0,('Raw Data'!I507-16384)/32768)</f>
        <v>0</v>
      </c>
      <c r="L506" s="4">
        <f>IF(('Raw Data'!J507-12010)/45.6=-263.377192982456,0,('Raw Data'!J507-12010)/45.6)</f>
        <v>0</v>
      </c>
      <c r="M506" s="16">
        <f>'Raw Data'!N507*2^-8</f>
        <v>0</v>
      </c>
      <c r="N506" s="16">
        <f>'Raw Data'!O507*2^-8</f>
        <v>0</v>
      </c>
      <c r="O506" s="17" t="str">
        <f>IF(BITWISE_AND('Raw Data'!$K507, 8192),"X","")</f>
        <v/>
      </c>
      <c r="P506" s="17" t="str">
        <f>IF(BITWISE_AND('Raw Data'!$K507, 2048),"X","")</f>
        <v/>
      </c>
      <c r="Q506" s="17" t="str">
        <f>IF(BITWISE_AND('Raw Data'!$K507, 64),"X","")</f>
        <v/>
      </c>
      <c r="R506" s="18" t="str">
        <f>IF(BITWISE_AND('Raw Data'!$L507, 1024),"X","")</f>
        <v/>
      </c>
      <c r="S506" s="18" t="str">
        <f>IF(BITWISE_AND('Raw Data'!$L507, 512),"X","")</f>
        <v/>
      </c>
      <c r="T506" s="18" t="str">
        <f>IF(BITWISE_AND('Raw Data'!$L507, 256),"X","")</f>
        <v/>
      </c>
      <c r="U506" s="18" t="str">
        <f>IF(BITWISE_AND('Raw Data'!$L507, 64),"X","")</f>
        <v/>
      </c>
      <c r="V506" s="18" t="str">
        <f>IF(BITWISE_AND('Raw Data'!$L507, 2),"X","")</f>
        <v/>
      </c>
      <c r="W506" s="18" t="str">
        <f>IF(BITWISE_AND('Raw Data'!$L507, 1),"X","")</f>
        <v/>
      </c>
      <c r="X506" s="19" t="str">
        <f>IF(BITWISE_AND('Raw Data'!M507, 1),"Bat Voltage", IF(BITWISE_AND('Raw Data'!M507, 2), "Charge Current", IF(BITWISE_AND('Raw Data'!M507, 4),"Input Ilim", IF(BITWISE_AND('Raw Data'!M507, 8), "Input UV", "none"))))</f>
        <v>none</v>
      </c>
    </row>
    <row r="507" spans="1:24" x14ac:dyDescent="0.2">
      <c r="A507" s="15">
        <f>A506+TIME(0,0,'Raw Data'!B507)</f>
        <v>0</v>
      </c>
      <c r="B507" s="4">
        <f>'Raw Data'!C508*0.025</f>
        <v>0</v>
      </c>
      <c r="C507" s="4">
        <f t="shared" si="24"/>
        <v>0</v>
      </c>
      <c r="D507" s="4">
        <f>'Raw Data'!D508*0.025</f>
        <v>0</v>
      </c>
      <c r="E507" s="4">
        <f t="shared" si="25"/>
        <v>0</v>
      </c>
      <c r="F507" s="4">
        <f>'Raw Data'!E508*0.001648</f>
        <v>0</v>
      </c>
      <c r="G507" s="4">
        <f>'Raw Data'!F508*0.001648</f>
        <v>0</v>
      </c>
      <c r="H507" s="4">
        <f>'Raw Data'!G508*6*0.000128176</f>
        <v>0</v>
      </c>
      <c r="I507" s="4">
        <f>'Raw Data'!H508*0.000732435</f>
        <v>0</v>
      </c>
      <c r="J507" s="4">
        <f t="shared" si="23"/>
        <v>0</v>
      </c>
      <c r="K507" s="36">
        <f>IF(('Raw Data'!I508-16384)/32768&lt;0,0,('Raw Data'!I508-16384)/32768)</f>
        <v>0</v>
      </c>
      <c r="L507" s="4">
        <f>IF(('Raw Data'!J508-12010)/45.6=-263.377192982456,0,('Raw Data'!J508-12010)/45.6)</f>
        <v>0</v>
      </c>
      <c r="M507" s="16">
        <f>'Raw Data'!N508*2^-8</f>
        <v>0</v>
      </c>
      <c r="N507" s="16">
        <f>'Raw Data'!O508*2^-8</f>
        <v>0</v>
      </c>
      <c r="O507" s="17" t="str">
        <f>IF(BITWISE_AND('Raw Data'!$K508, 8192),"X","")</f>
        <v/>
      </c>
      <c r="P507" s="17" t="str">
        <f>IF(BITWISE_AND('Raw Data'!$K508, 2048),"X","")</f>
        <v/>
      </c>
      <c r="Q507" s="17" t="str">
        <f>IF(BITWISE_AND('Raw Data'!$K508, 64),"X","")</f>
        <v/>
      </c>
      <c r="R507" s="18" t="str">
        <f>IF(BITWISE_AND('Raw Data'!$L508, 1024),"X","")</f>
        <v/>
      </c>
      <c r="S507" s="18" t="str">
        <f>IF(BITWISE_AND('Raw Data'!$L508, 512),"X","")</f>
        <v/>
      </c>
      <c r="T507" s="18" t="str">
        <f>IF(BITWISE_AND('Raw Data'!$L508, 256),"X","")</f>
        <v/>
      </c>
      <c r="U507" s="18" t="str">
        <f>IF(BITWISE_AND('Raw Data'!$L508, 64),"X","")</f>
        <v/>
      </c>
      <c r="V507" s="18" t="str">
        <f>IF(BITWISE_AND('Raw Data'!$L508, 2),"X","")</f>
        <v/>
      </c>
      <c r="W507" s="18" t="str">
        <f>IF(BITWISE_AND('Raw Data'!$L508, 1),"X","")</f>
        <v/>
      </c>
      <c r="X507" s="19" t="str">
        <f>IF(BITWISE_AND('Raw Data'!M508, 1),"Bat Voltage", IF(BITWISE_AND('Raw Data'!M508, 2), "Charge Current", IF(BITWISE_AND('Raw Data'!M508, 4),"Input Ilim", IF(BITWISE_AND('Raw Data'!M508, 8), "Input UV", "none"))))</f>
        <v>none</v>
      </c>
    </row>
    <row r="508" spans="1:24" x14ac:dyDescent="0.2">
      <c r="A508" s="15">
        <f>A507+TIME(0,0,'Raw Data'!B508)</f>
        <v>0</v>
      </c>
      <c r="B508" s="4">
        <f>'Raw Data'!C509*0.025</f>
        <v>0</v>
      </c>
      <c r="C508" s="4">
        <f t="shared" si="24"/>
        <v>0</v>
      </c>
      <c r="D508" s="4">
        <f>'Raw Data'!D509*0.025</f>
        <v>0</v>
      </c>
      <c r="E508" s="4">
        <f t="shared" si="25"/>
        <v>0</v>
      </c>
      <c r="F508" s="4">
        <f>'Raw Data'!E509*0.001648</f>
        <v>0</v>
      </c>
      <c r="G508" s="4">
        <f>'Raw Data'!F509*0.001648</f>
        <v>0</v>
      </c>
      <c r="H508" s="4">
        <f>'Raw Data'!G509*6*0.000128176</f>
        <v>0</v>
      </c>
      <c r="I508" s="4">
        <f>'Raw Data'!H509*0.000732435</f>
        <v>0</v>
      </c>
      <c r="J508" s="4">
        <f t="shared" si="23"/>
        <v>0</v>
      </c>
      <c r="K508" s="36">
        <f>IF(('Raw Data'!I509-16384)/32768&lt;0,0,('Raw Data'!I509-16384)/32768)</f>
        <v>0</v>
      </c>
      <c r="L508" s="4">
        <f>IF(('Raw Data'!J509-12010)/45.6=-263.377192982456,0,('Raw Data'!J509-12010)/45.6)</f>
        <v>0</v>
      </c>
      <c r="M508" s="16">
        <f>'Raw Data'!N509*2^-8</f>
        <v>0</v>
      </c>
      <c r="N508" s="16">
        <f>'Raw Data'!O509*2^-8</f>
        <v>0</v>
      </c>
      <c r="O508" s="17" t="str">
        <f>IF(BITWISE_AND('Raw Data'!$K509, 8192),"X","")</f>
        <v/>
      </c>
      <c r="P508" s="17" t="str">
        <f>IF(BITWISE_AND('Raw Data'!$K509, 2048),"X","")</f>
        <v/>
      </c>
      <c r="Q508" s="17" t="str">
        <f>IF(BITWISE_AND('Raw Data'!$K509, 64),"X","")</f>
        <v/>
      </c>
      <c r="R508" s="18" t="str">
        <f>IF(BITWISE_AND('Raw Data'!$L509, 1024),"X","")</f>
        <v/>
      </c>
      <c r="S508" s="18" t="str">
        <f>IF(BITWISE_AND('Raw Data'!$L509, 512),"X","")</f>
        <v/>
      </c>
      <c r="T508" s="18" t="str">
        <f>IF(BITWISE_AND('Raw Data'!$L509, 256),"X","")</f>
        <v/>
      </c>
      <c r="U508" s="18" t="str">
        <f>IF(BITWISE_AND('Raw Data'!$L509, 64),"X","")</f>
        <v/>
      </c>
      <c r="V508" s="18" t="str">
        <f>IF(BITWISE_AND('Raw Data'!$L509, 2),"X","")</f>
        <v/>
      </c>
      <c r="W508" s="18" t="str">
        <f>IF(BITWISE_AND('Raw Data'!$L509, 1),"X","")</f>
        <v/>
      </c>
      <c r="X508" s="19" t="str">
        <f>IF(BITWISE_AND('Raw Data'!M509, 1),"Bat Voltage", IF(BITWISE_AND('Raw Data'!M509, 2), "Charge Current", IF(BITWISE_AND('Raw Data'!M509, 4),"Input Ilim", IF(BITWISE_AND('Raw Data'!M509, 8), "Input UV", "none"))))</f>
        <v>none</v>
      </c>
    </row>
    <row r="509" spans="1:24" x14ac:dyDescent="0.2">
      <c r="A509" s="15">
        <f>A508+TIME(0,0,'Raw Data'!B509)</f>
        <v>0</v>
      </c>
      <c r="B509" s="4">
        <f>'Raw Data'!C510*0.025</f>
        <v>0</v>
      </c>
      <c r="C509" s="4">
        <f t="shared" si="24"/>
        <v>0</v>
      </c>
      <c r="D509" s="4">
        <f>'Raw Data'!D510*0.025</f>
        <v>0</v>
      </c>
      <c r="E509" s="4">
        <f t="shared" si="25"/>
        <v>0</v>
      </c>
      <c r="F509" s="4">
        <f>'Raw Data'!E510*0.001648</f>
        <v>0</v>
      </c>
      <c r="G509" s="4">
        <f>'Raw Data'!F510*0.001648</f>
        <v>0</v>
      </c>
      <c r="H509" s="4">
        <f>'Raw Data'!G510*6*0.000128176</f>
        <v>0</v>
      </c>
      <c r="I509" s="4">
        <f>'Raw Data'!H510*0.000732435</f>
        <v>0</v>
      </c>
      <c r="J509" s="4">
        <f t="shared" si="23"/>
        <v>0</v>
      </c>
      <c r="K509" s="36">
        <f>IF(('Raw Data'!I510-16384)/32768&lt;0,0,('Raw Data'!I510-16384)/32768)</f>
        <v>0</v>
      </c>
      <c r="L509" s="4">
        <f>IF(('Raw Data'!J510-12010)/45.6=-263.377192982456,0,('Raw Data'!J510-12010)/45.6)</f>
        <v>0</v>
      </c>
      <c r="M509" s="16">
        <f>'Raw Data'!N510*2^-8</f>
        <v>0</v>
      </c>
      <c r="N509" s="16">
        <f>'Raw Data'!O510*2^-8</f>
        <v>0</v>
      </c>
      <c r="O509" s="17" t="str">
        <f>IF(BITWISE_AND('Raw Data'!$K510, 8192),"X","")</f>
        <v/>
      </c>
      <c r="P509" s="17" t="str">
        <f>IF(BITWISE_AND('Raw Data'!$K510, 2048),"X","")</f>
        <v/>
      </c>
      <c r="Q509" s="17" t="str">
        <f>IF(BITWISE_AND('Raw Data'!$K510, 64),"X","")</f>
        <v/>
      </c>
      <c r="R509" s="18" t="str">
        <f>IF(BITWISE_AND('Raw Data'!$L510, 1024),"X","")</f>
        <v/>
      </c>
      <c r="S509" s="18" t="str">
        <f>IF(BITWISE_AND('Raw Data'!$L510, 512),"X","")</f>
        <v/>
      </c>
      <c r="T509" s="18" t="str">
        <f>IF(BITWISE_AND('Raw Data'!$L510, 256),"X","")</f>
        <v/>
      </c>
      <c r="U509" s="18" t="str">
        <f>IF(BITWISE_AND('Raw Data'!$L510, 64),"X","")</f>
        <v/>
      </c>
      <c r="V509" s="18" t="str">
        <f>IF(BITWISE_AND('Raw Data'!$L510, 2),"X","")</f>
        <v/>
      </c>
      <c r="W509" s="18" t="str">
        <f>IF(BITWISE_AND('Raw Data'!$L510, 1),"X","")</f>
        <v/>
      </c>
      <c r="X509" s="19" t="str">
        <f>IF(BITWISE_AND('Raw Data'!M510, 1),"Bat Voltage", IF(BITWISE_AND('Raw Data'!M510, 2), "Charge Current", IF(BITWISE_AND('Raw Data'!M510, 4),"Input Ilim", IF(BITWISE_AND('Raw Data'!M510, 8), "Input UV", "none"))))</f>
        <v>none</v>
      </c>
    </row>
    <row r="510" spans="1:24" x14ac:dyDescent="0.2">
      <c r="A510" s="15">
        <f>A509+TIME(0,0,'Raw Data'!B510)</f>
        <v>0</v>
      </c>
      <c r="B510" s="4">
        <f>'Raw Data'!C511*0.025</f>
        <v>0</v>
      </c>
      <c r="C510" s="4">
        <f t="shared" si="24"/>
        <v>0</v>
      </c>
      <c r="D510" s="4">
        <f>'Raw Data'!D511*0.025</f>
        <v>0</v>
      </c>
      <c r="E510" s="4">
        <f t="shared" si="25"/>
        <v>0</v>
      </c>
      <c r="F510" s="4">
        <f>'Raw Data'!E511*0.001648</f>
        <v>0</v>
      </c>
      <c r="G510" s="4">
        <f>'Raw Data'!F511*0.001648</f>
        <v>0</v>
      </c>
      <c r="H510" s="4">
        <f>'Raw Data'!G511*6*0.000128176</f>
        <v>0</v>
      </c>
      <c r="I510" s="4">
        <f>'Raw Data'!H511*0.000732435</f>
        <v>0</v>
      </c>
      <c r="J510" s="4">
        <f t="shared" si="23"/>
        <v>0</v>
      </c>
      <c r="K510" s="36">
        <f>IF(('Raw Data'!I511-16384)/32768&lt;0,0,('Raw Data'!I511-16384)/32768)</f>
        <v>0</v>
      </c>
      <c r="L510" s="4">
        <f>IF(('Raw Data'!J511-12010)/45.6=-263.377192982456,0,('Raw Data'!J511-12010)/45.6)</f>
        <v>0</v>
      </c>
      <c r="M510" s="16">
        <f>'Raw Data'!N511*2^-8</f>
        <v>0</v>
      </c>
      <c r="N510" s="16">
        <f>'Raw Data'!O511*2^-8</f>
        <v>0</v>
      </c>
      <c r="O510" s="17" t="str">
        <f>IF(BITWISE_AND('Raw Data'!$K511, 8192),"X","")</f>
        <v/>
      </c>
      <c r="P510" s="17" t="str">
        <f>IF(BITWISE_AND('Raw Data'!$K511, 2048),"X","")</f>
        <v/>
      </c>
      <c r="Q510" s="17" t="str">
        <f>IF(BITWISE_AND('Raw Data'!$K511, 64),"X","")</f>
        <v/>
      </c>
      <c r="R510" s="18" t="str">
        <f>IF(BITWISE_AND('Raw Data'!$L511, 1024),"X","")</f>
        <v/>
      </c>
      <c r="S510" s="18" t="str">
        <f>IF(BITWISE_AND('Raw Data'!$L511, 512),"X","")</f>
        <v/>
      </c>
      <c r="T510" s="18" t="str">
        <f>IF(BITWISE_AND('Raw Data'!$L511, 256),"X","")</f>
        <v/>
      </c>
      <c r="U510" s="18" t="str">
        <f>IF(BITWISE_AND('Raw Data'!$L511, 64),"X","")</f>
        <v/>
      </c>
      <c r="V510" s="18" t="str">
        <f>IF(BITWISE_AND('Raw Data'!$L511, 2),"X","")</f>
        <v/>
      </c>
      <c r="W510" s="18" t="str">
        <f>IF(BITWISE_AND('Raw Data'!$L511, 1),"X","")</f>
        <v/>
      </c>
      <c r="X510" s="19" t="str">
        <f>IF(BITWISE_AND('Raw Data'!M511, 1),"Bat Voltage", IF(BITWISE_AND('Raw Data'!M511, 2), "Charge Current", IF(BITWISE_AND('Raw Data'!M511, 4),"Input Ilim", IF(BITWISE_AND('Raw Data'!M511, 8), "Input UV", "none"))))</f>
        <v>none</v>
      </c>
    </row>
    <row r="511" spans="1:24" x14ac:dyDescent="0.2">
      <c r="A511" s="15">
        <f>A510+TIME(0,0,'Raw Data'!B511)</f>
        <v>0</v>
      </c>
      <c r="B511" s="4">
        <f>'Raw Data'!C512*0.025</f>
        <v>0</v>
      </c>
      <c r="C511" s="4">
        <f t="shared" si="24"/>
        <v>0</v>
      </c>
      <c r="D511" s="4">
        <f>'Raw Data'!D512*0.025</f>
        <v>0</v>
      </c>
      <c r="E511" s="4">
        <f t="shared" si="25"/>
        <v>0</v>
      </c>
      <c r="F511" s="4">
        <f>'Raw Data'!E512*0.001648</f>
        <v>0</v>
      </c>
      <c r="G511" s="4">
        <f>'Raw Data'!F512*0.001648</f>
        <v>0</v>
      </c>
      <c r="H511" s="4">
        <f>'Raw Data'!G512*6*0.000128176</f>
        <v>0</v>
      </c>
      <c r="I511" s="4">
        <f>'Raw Data'!H512*0.000732435</f>
        <v>0</v>
      </c>
      <c r="J511" s="4">
        <f t="shared" si="23"/>
        <v>0</v>
      </c>
      <c r="K511" s="36">
        <f>IF(('Raw Data'!I512-16384)/32768&lt;0,0,('Raw Data'!I512-16384)/32768)</f>
        <v>0</v>
      </c>
      <c r="L511" s="4">
        <f>IF(('Raw Data'!J512-12010)/45.6=-263.377192982456,0,('Raw Data'!J512-12010)/45.6)</f>
        <v>0</v>
      </c>
      <c r="M511" s="16">
        <f>'Raw Data'!N512*2^-8</f>
        <v>0</v>
      </c>
      <c r="N511" s="16">
        <f>'Raw Data'!O512*2^-8</f>
        <v>0</v>
      </c>
      <c r="O511" s="17" t="str">
        <f>IF(BITWISE_AND('Raw Data'!$K512, 8192),"X","")</f>
        <v/>
      </c>
      <c r="P511" s="17" t="str">
        <f>IF(BITWISE_AND('Raw Data'!$K512, 2048),"X","")</f>
        <v/>
      </c>
      <c r="Q511" s="17" t="str">
        <f>IF(BITWISE_AND('Raw Data'!$K512, 64),"X","")</f>
        <v/>
      </c>
      <c r="R511" s="18" t="str">
        <f>IF(BITWISE_AND('Raw Data'!$L512, 1024),"X","")</f>
        <v/>
      </c>
      <c r="S511" s="18" t="str">
        <f>IF(BITWISE_AND('Raw Data'!$L512, 512),"X","")</f>
        <v/>
      </c>
      <c r="T511" s="18" t="str">
        <f>IF(BITWISE_AND('Raw Data'!$L512, 256),"X","")</f>
        <v/>
      </c>
      <c r="U511" s="18" t="str">
        <f>IF(BITWISE_AND('Raw Data'!$L512, 64),"X","")</f>
        <v/>
      </c>
      <c r="V511" s="18" t="str">
        <f>IF(BITWISE_AND('Raw Data'!$L512, 2),"X","")</f>
        <v/>
      </c>
      <c r="W511" s="18" t="str">
        <f>IF(BITWISE_AND('Raw Data'!$L512, 1),"X","")</f>
        <v/>
      </c>
      <c r="X511" s="19" t="str">
        <f>IF(BITWISE_AND('Raw Data'!M512, 1),"Bat Voltage", IF(BITWISE_AND('Raw Data'!M512, 2), "Charge Current", IF(BITWISE_AND('Raw Data'!M512, 4),"Input Ilim", IF(BITWISE_AND('Raw Data'!M512, 8), "Input UV", "none"))))</f>
        <v>none</v>
      </c>
    </row>
    <row r="512" spans="1:24" x14ac:dyDescent="0.2">
      <c r="A512" s="15">
        <f>A511+TIME(0,0,'Raw Data'!B512)</f>
        <v>0</v>
      </c>
      <c r="B512" s="4">
        <f>'Raw Data'!C513*0.025</f>
        <v>0</v>
      </c>
      <c r="C512" s="4">
        <f t="shared" si="24"/>
        <v>0</v>
      </c>
      <c r="D512" s="4">
        <f>'Raw Data'!D513*0.025</f>
        <v>0</v>
      </c>
      <c r="E512" s="4">
        <f t="shared" si="25"/>
        <v>0</v>
      </c>
      <c r="F512" s="4">
        <f>'Raw Data'!E513*0.001648</f>
        <v>0</v>
      </c>
      <c r="G512" s="4">
        <f>'Raw Data'!F513*0.001648</f>
        <v>0</v>
      </c>
      <c r="H512" s="4">
        <f>'Raw Data'!G513*6*0.000128176</f>
        <v>0</v>
      </c>
      <c r="I512" s="4">
        <f>'Raw Data'!H513*0.000732435</f>
        <v>0</v>
      </c>
      <c r="J512" s="4">
        <f t="shared" si="23"/>
        <v>0</v>
      </c>
      <c r="K512" s="36">
        <f>IF(('Raw Data'!I513-16384)/32768&lt;0,0,('Raw Data'!I513-16384)/32768)</f>
        <v>0</v>
      </c>
      <c r="L512" s="4">
        <f>IF(('Raw Data'!J513-12010)/45.6=-263.377192982456,0,('Raw Data'!J513-12010)/45.6)</f>
        <v>0</v>
      </c>
      <c r="M512" s="16">
        <f>'Raw Data'!N513*2^-8</f>
        <v>0</v>
      </c>
      <c r="N512" s="16">
        <f>'Raw Data'!O513*2^-8</f>
        <v>0</v>
      </c>
      <c r="O512" s="17" t="str">
        <f>IF(BITWISE_AND('Raw Data'!$K513, 8192),"X","")</f>
        <v/>
      </c>
      <c r="P512" s="17" t="str">
        <f>IF(BITWISE_AND('Raw Data'!$K513, 2048),"X","")</f>
        <v/>
      </c>
      <c r="Q512" s="17" t="str">
        <f>IF(BITWISE_AND('Raw Data'!$K513, 64),"X","")</f>
        <v/>
      </c>
      <c r="R512" s="18" t="str">
        <f>IF(BITWISE_AND('Raw Data'!$L513, 1024),"X","")</f>
        <v/>
      </c>
      <c r="S512" s="18" t="str">
        <f>IF(BITWISE_AND('Raw Data'!$L513, 512),"X","")</f>
        <v/>
      </c>
      <c r="T512" s="18" t="str">
        <f>IF(BITWISE_AND('Raw Data'!$L513, 256),"X","")</f>
        <v/>
      </c>
      <c r="U512" s="18" t="str">
        <f>IF(BITWISE_AND('Raw Data'!$L513, 64),"X","")</f>
        <v/>
      </c>
      <c r="V512" s="18" t="str">
        <f>IF(BITWISE_AND('Raw Data'!$L513, 2),"X","")</f>
        <v/>
      </c>
      <c r="W512" s="18" t="str">
        <f>IF(BITWISE_AND('Raw Data'!$L513, 1),"X","")</f>
        <v/>
      </c>
      <c r="X512" s="19" t="str">
        <f>IF(BITWISE_AND('Raw Data'!M513, 1),"Bat Voltage", IF(BITWISE_AND('Raw Data'!M513, 2), "Charge Current", IF(BITWISE_AND('Raw Data'!M513, 4),"Input Ilim", IF(BITWISE_AND('Raw Data'!M513, 8), "Input UV", "none"))))</f>
        <v>none</v>
      </c>
    </row>
    <row r="513" spans="1:24" x14ac:dyDescent="0.2">
      <c r="A513" s="15">
        <f>A512+TIME(0,0,'Raw Data'!B513)</f>
        <v>0</v>
      </c>
      <c r="B513" s="4">
        <f>'Raw Data'!C514*0.025</f>
        <v>0</v>
      </c>
      <c r="C513" s="4">
        <f t="shared" si="24"/>
        <v>0</v>
      </c>
      <c r="D513" s="4">
        <f>'Raw Data'!D514*0.025</f>
        <v>0</v>
      </c>
      <c r="E513" s="4">
        <f t="shared" si="25"/>
        <v>0</v>
      </c>
      <c r="F513" s="4">
        <f>'Raw Data'!E514*0.001648</f>
        <v>0</v>
      </c>
      <c r="G513" s="4">
        <f>'Raw Data'!F514*0.001648</f>
        <v>0</v>
      </c>
      <c r="H513" s="4">
        <f>'Raw Data'!G514*6*0.000128176</f>
        <v>0</v>
      </c>
      <c r="I513" s="4">
        <f>'Raw Data'!H514*0.000732435</f>
        <v>0</v>
      </c>
      <c r="J513" s="4">
        <f t="shared" si="23"/>
        <v>0</v>
      </c>
      <c r="K513" s="36">
        <f>IF(('Raw Data'!I514-16384)/32768&lt;0,0,('Raw Data'!I514-16384)/32768)</f>
        <v>0</v>
      </c>
      <c r="L513" s="4">
        <f>IF(('Raw Data'!J514-12010)/45.6=-263.377192982456,0,('Raw Data'!J514-12010)/45.6)</f>
        <v>0</v>
      </c>
      <c r="M513" s="16">
        <f>'Raw Data'!N514*2^-8</f>
        <v>0</v>
      </c>
      <c r="N513" s="16">
        <f>'Raw Data'!O514*2^-8</f>
        <v>0</v>
      </c>
      <c r="O513" s="17" t="str">
        <f>IF(BITWISE_AND('Raw Data'!$K514, 8192),"X","")</f>
        <v/>
      </c>
      <c r="P513" s="17" t="str">
        <f>IF(BITWISE_AND('Raw Data'!$K514, 2048),"X","")</f>
        <v/>
      </c>
      <c r="Q513" s="17" t="str">
        <f>IF(BITWISE_AND('Raw Data'!$K514, 64),"X","")</f>
        <v/>
      </c>
      <c r="R513" s="18" t="str">
        <f>IF(BITWISE_AND('Raw Data'!$L514, 1024),"X","")</f>
        <v/>
      </c>
      <c r="S513" s="18" t="str">
        <f>IF(BITWISE_AND('Raw Data'!$L514, 512),"X","")</f>
        <v/>
      </c>
      <c r="T513" s="18" t="str">
        <f>IF(BITWISE_AND('Raw Data'!$L514, 256),"X","")</f>
        <v/>
      </c>
      <c r="U513" s="18" t="str">
        <f>IF(BITWISE_AND('Raw Data'!$L514, 64),"X","")</f>
        <v/>
      </c>
      <c r="V513" s="18" t="str">
        <f>IF(BITWISE_AND('Raw Data'!$L514, 2),"X","")</f>
        <v/>
      </c>
      <c r="W513" s="18" t="str">
        <f>IF(BITWISE_AND('Raw Data'!$L514, 1),"X","")</f>
        <v/>
      </c>
      <c r="X513" s="19" t="str">
        <f>IF(BITWISE_AND('Raw Data'!M514, 1),"Bat Voltage", IF(BITWISE_AND('Raw Data'!M514, 2), "Charge Current", IF(BITWISE_AND('Raw Data'!M514, 4),"Input Ilim", IF(BITWISE_AND('Raw Data'!M514, 8), "Input UV", "none"))))</f>
        <v>none</v>
      </c>
    </row>
    <row r="514" spans="1:24" x14ac:dyDescent="0.2">
      <c r="A514" s="15">
        <f>A513+TIME(0,0,'Raw Data'!B514)</f>
        <v>0</v>
      </c>
      <c r="B514" s="4">
        <f>'Raw Data'!C515*0.025</f>
        <v>0</v>
      </c>
      <c r="C514" s="4">
        <f t="shared" si="24"/>
        <v>0</v>
      </c>
      <c r="D514" s="4">
        <f>'Raw Data'!D515*0.025</f>
        <v>0</v>
      </c>
      <c r="E514" s="4">
        <f t="shared" si="25"/>
        <v>0</v>
      </c>
      <c r="F514" s="4">
        <f>'Raw Data'!E515*0.001648</f>
        <v>0</v>
      </c>
      <c r="G514" s="4">
        <f>'Raw Data'!F515*0.001648</f>
        <v>0</v>
      </c>
      <c r="H514" s="4">
        <f>'Raw Data'!G515*6*0.000128176</f>
        <v>0</v>
      </c>
      <c r="I514" s="4">
        <f>'Raw Data'!H515*0.000732435</f>
        <v>0</v>
      </c>
      <c r="J514" s="4">
        <f t="shared" si="23"/>
        <v>0</v>
      </c>
      <c r="K514" s="36">
        <f>IF(('Raw Data'!I515-16384)/32768&lt;0,0,('Raw Data'!I515-16384)/32768)</f>
        <v>0</v>
      </c>
      <c r="L514" s="4">
        <f>IF(('Raw Data'!J515-12010)/45.6=-263.377192982456,0,('Raw Data'!J515-12010)/45.6)</f>
        <v>0</v>
      </c>
      <c r="M514" s="16">
        <f>'Raw Data'!N515*2^-8</f>
        <v>0</v>
      </c>
      <c r="N514" s="16">
        <f>'Raw Data'!O515*2^-8</f>
        <v>0</v>
      </c>
      <c r="O514" s="17" t="str">
        <f>IF(BITWISE_AND('Raw Data'!$K515, 8192),"X","")</f>
        <v/>
      </c>
      <c r="P514" s="17" t="str">
        <f>IF(BITWISE_AND('Raw Data'!$K515, 2048),"X","")</f>
        <v/>
      </c>
      <c r="Q514" s="17" t="str">
        <f>IF(BITWISE_AND('Raw Data'!$K515, 64),"X","")</f>
        <v/>
      </c>
      <c r="R514" s="18" t="str">
        <f>IF(BITWISE_AND('Raw Data'!$L515, 1024),"X","")</f>
        <v/>
      </c>
      <c r="S514" s="18" t="str">
        <f>IF(BITWISE_AND('Raw Data'!$L515, 512),"X","")</f>
        <v/>
      </c>
      <c r="T514" s="18" t="str">
        <f>IF(BITWISE_AND('Raw Data'!$L515, 256),"X","")</f>
        <v/>
      </c>
      <c r="U514" s="18" t="str">
        <f>IF(BITWISE_AND('Raw Data'!$L515, 64),"X","")</f>
        <v/>
      </c>
      <c r="V514" s="18" t="str">
        <f>IF(BITWISE_AND('Raw Data'!$L515, 2),"X","")</f>
        <v/>
      </c>
      <c r="W514" s="18" t="str">
        <f>IF(BITWISE_AND('Raw Data'!$L515, 1),"X","")</f>
        <v/>
      </c>
      <c r="X514" s="19" t="str">
        <f>IF(BITWISE_AND('Raw Data'!M515, 1),"Bat Voltage", IF(BITWISE_AND('Raw Data'!M515, 2), "Charge Current", IF(BITWISE_AND('Raw Data'!M515, 4),"Input Ilim", IF(BITWISE_AND('Raw Data'!M515, 8), "Input UV", "none"))))</f>
        <v>none</v>
      </c>
    </row>
    <row r="515" spans="1:24" x14ac:dyDescent="0.2">
      <c r="A515" s="15">
        <f>A514+TIME(0,0,'Raw Data'!B515)</f>
        <v>0</v>
      </c>
      <c r="B515" s="4">
        <f>'Raw Data'!C516*0.025</f>
        <v>0</v>
      </c>
      <c r="C515" s="4">
        <f t="shared" si="24"/>
        <v>0</v>
      </c>
      <c r="D515" s="4">
        <f>'Raw Data'!D516*0.025</f>
        <v>0</v>
      </c>
      <c r="E515" s="4">
        <f t="shared" si="25"/>
        <v>0</v>
      </c>
      <c r="F515" s="4">
        <f>'Raw Data'!E516*0.001648</f>
        <v>0</v>
      </c>
      <c r="G515" s="4">
        <f>'Raw Data'!F516*0.001648</f>
        <v>0</v>
      </c>
      <c r="H515" s="4">
        <f>'Raw Data'!G516*6*0.000128176</f>
        <v>0</v>
      </c>
      <c r="I515" s="4">
        <f>'Raw Data'!H516*0.000732435</f>
        <v>0</v>
      </c>
      <c r="J515" s="4">
        <f t="shared" ref="J515:J578" si="26">H515*I515</f>
        <v>0</v>
      </c>
      <c r="K515" s="36">
        <f>IF(('Raw Data'!I516-16384)/32768&lt;0,0,('Raw Data'!I516-16384)/32768)</f>
        <v>0</v>
      </c>
      <c r="L515" s="4">
        <f>IF(('Raw Data'!J516-12010)/45.6=-263.377192982456,0,('Raw Data'!J516-12010)/45.6)</f>
        <v>0</v>
      </c>
      <c r="M515" s="16">
        <f>'Raw Data'!N516*2^-8</f>
        <v>0</v>
      </c>
      <c r="N515" s="16">
        <f>'Raw Data'!O516*2^-8</f>
        <v>0</v>
      </c>
      <c r="O515" s="17" t="str">
        <f>IF(BITWISE_AND('Raw Data'!$K516, 8192),"X","")</f>
        <v/>
      </c>
      <c r="P515" s="17" t="str">
        <f>IF(BITWISE_AND('Raw Data'!$K516, 2048),"X","")</f>
        <v/>
      </c>
      <c r="Q515" s="17" t="str">
        <f>IF(BITWISE_AND('Raw Data'!$K516, 64),"X","")</f>
        <v/>
      </c>
      <c r="R515" s="18" t="str">
        <f>IF(BITWISE_AND('Raw Data'!$L516, 1024),"X","")</f>
        <v/>
      </c>
      <c r="S515" s="18" t="str">
        <f>IF(BITWISE_AND('Raw Data'!$L516, 512),"X","")</f>
        <v/>
      </c>
      <c r="T515" s="18" t="str">
        <f>IF(BITWISE_AND('Raw Data'!$L516, 256),"X","")</f>
        <v/>
      </c>
      <c r="U515" s="18" t="str">
        <f>IF(BITWISE_AND('Raw Data'!$L516, 64),"X","")</f>
        <v/>
      </c>
      <c r="V515" s="18" t="str">
        <f>IF(BITWISE_AND('Raw Data'!$L516, 2),"X","")</f>
        <v/>
      </c>
      <c r="W515" s="18" t="str">
        <f>IF(BITWISE_AND('Raw Data'!$L516, 1),"X","")</f>
        <v/>
      </c>
      <c r="X515" s="19" t="str">
        <f>IF(BITWISE_AND('Raw Data'!M516, 1),"Bat Voltage", IF(BITWISE_AND('Raw Data'!M516, 2), "Charge Current", IF(BITWISE_AND('Raw Data'!M516, 4),"Input Ilim", IF(BITWISE_AND('Raw Data'!M516, 8), "Input UV", "none"))))</f>
        <v>none</v>
      </c>
    </row>
    <row r="516" spans="1:24" x14ac:dyDescent="0.2">
      <c r="A516" s="15">
        <f>A515+TIME(0,0,'Raw Data'!B516)</f>
        <v>0</v>
      </c>
      <c r="B516" s="4">
        <f>'Raw Data'!C517*0.025</f>
        <v>0</v>
      </c>
      <c r="C516" s="4">
        <f t="shared" si="24"/>
        <v>0</v>
      </c>
      <c r="D516" s="4">
        <f>'Raw Data'!D517*0.025</f>
        <v>0</v>
      </c>
      <c r="E516" s="4">
        <f t="shared" si="25"/>
        <v>0</v>
      </c>
      <c r="F516" s="4">
        <f>'Raw Data'!E517*0.001648</f>
        <v>0</v>
      </c>
      <c r="G516" s="4">
        <f>'Raw Data'!F517*0.001648</f>
        <v>0</v>
      </c>
      <c r="H516" s="4">
        <f>'Raw Data'!G517*6*0.000128176</f>
        <v>0</v>
      </c>
      <c r="I516" s="4">
        <f>'Raw Data'!H517*0.000732435</f>
        <v>0</v>
      </c>
      <c r="J516" s="4">
        <f t="shared" si="26"/>
        <v>0</v>
      </c>
      <c r="K516" s="36">
        <f>IF(('Raw Data'!I517-16384)/32768&lt;0,0,('Raw Data'!I517-16384)/32768)</f>
        <v>0</v>
      </c>
      <c r="L516" s="4">
        <f>IF(('Raw Data'!J517-12010)/45.6=-263.377192982456,0,('Raw Data'!J517-12010)/45.6)</f>
        <v>0</v>
      </c>
      <c r="M516" s="16">
        <f>'Raw Data'!N517*2^-8</f>
        <v>0</v>
      </c>
      <c r="N516" s="16">
        <f>'Raw Data'!O517*2^-8</f>
        <v>0</v>
      </c>
      <c r="O516" s="17" t="str">
        <f>IF(BITWISE_AND('Raw Data'!$K517, 8192),"X","")</f>
        <v/>
      </c>
      <c r="P516" s="17" t="str">
        <f>IF(BITWISE_AND('Raw Data'!$K517, 2048),"X","")</f>
        <v/>
      </c>
      <c r="Q516" s="17" t="str">
        <f>IF(BITWISE_AND('Raw Data'!$K517, 64),"X","")</f>
        <v/>
      </c>
      <c r="R516" s="18" t="str">
        <f>IF(BITWISE_AND('Raw Data'!$L517, 1024),"X","")</f>
        <v/>
      </c>
      <c r="S516" s="18" t="str">
        <f>IF(BITWISE_AND('Raw Data'!$L517, 512),"X","")</f>
        <v/>
      </c>
      <c r="T516" s="18" t="str">
        <f>IF(BITWISE_AND('Raw Data'!$L517, 256),"X","")</f>
        <v/>
      </c>
      <c r="U516" s="18" t="str">
        <f>IF(BITWISE_AND('Raw Data'!$L517, 64),"X","")</f>
        <v/>
      </c>
      <c r="V516" s="18" t="str">
        <f>IF(BITWISE_AND('Raw Data'!$L517, 2),"X","")</f>
        <v/>
      </c>
      <c r="W516" s="18" t="str">
        <f>IF(BITWISE_AND('Raw Data'!$L517, 1),"X","")</f>
        <v/>
      </c>
      <c r="X516" s="19" t="str">
        <f>IF(BITWISE_AND('Raw Data'!M517, 1),"Bat Voltage", IF(BITWISE_AND('Raw Data'!M517, 2), "Charge Current", IF(BITWISE_AND('Raw Data'!M517, 4),"Input Ilim", IF(BITWISE_AND('Raw Data'!M517, 8), "Input UV", "none"))))</f>
        <v>none</v>
      </c>
    </row>
    <row r="517" spans="1:24" x14ac:dyDescent="0.2">
      <c r="A517" s="15">
        <f>A516+TIME(0,0,'Raw Data'!B517)</f>
        <v>0</v>
      </c>
      <c r="B517" s="4">
        <f>'Raw Data'!C518*0.025</f>
        <v>0</v>
      </c>
      <c r="C517" s="4">
        <f t="shared" si="24"/>
        <v>0</v>
      </c>
      <c r="D517" s="4">
        <f>'Raw Data'!D518*0.025</f>
        <v>0</v>
      </c>
      <c r="E517" s="4">
        <f t="shared" si="25"/>
        <v>0</v>
      </c>
      <c r="F517" s="4">
        <f>'Raw Data'!E518*0.001648</f>
        <v>0</v>
      </c>
      <c r="G517" s="4">
        <f>'Raw Data'!F518*0.001648</f>
        <v>0</v>
      </c>
      <c r="H517" s="4">
        <f>'Raw Data'!G518*6*0.000128176</f>
        <v>0</v>
      </c>
      <c r="I517" s="4">
        <f>'Raw Data'!H518*0.000732435</f>
        <v>0</v>
      </c>
      <c r="J517" s="4">
        <f t="shared" si="26"/>
        <v>0</v>
      </c>
      <c r="K517" s="36">
        <f>IF(('Raw Data'!I518-16384)/32768&lt;0,0,('Raw Data'!I518-16384)/32768)</f>
        <v>0</v>
      </c>
      <c r="L517" s="4">
        <f>IF(('Raw Data'!J518-12010)/45.6=-263.377192982456,0,('Raw Data'!J518-12010)/45.6)</f>
        <v>0</v>
      </c>
      <c r="M517" s="16">
        <f>'Raw Data'!N518*2^-8</f>
        <v>0</v>
      </c>
      <c r="N517" s="16">
        <f>'Raw Data'!O518*2^-8</f>
        <v>0</v>
      </c>
      <c r="O517" s="17" t="str">
        <f>IF(BITWISE_AND('Raw Data'!$K518, 8192),"X","")</f>
        <v/>
      </c>
      <c r="P517" s="17" t="str">
        <f>IF(BITWISE_AND('Raw Data'!$K518, 2048),"X","")</f>
        <v/>
      </c>
      <c r="Q517" s="17" t="str">
        <f>IF(BITWISE_AND('Raw Data'!$K518, 64),"X","")</f>
        <v/>
      </c>
      <c r="R517" s="18" t="str">
        <f>IF(BITWISE_AND('Raw Data'!$L518, 1024),"X","")</f>
        <v/>
      </c>
      <c r="S517" s="18" t="str">
        <f>IF(BITWISE_AND('Raw Data'!$L518, 512),"X","")</f>
        <v/>
      </c>
      <c r="T517" s="18" t="str">
        <f>IF(BITWISE_AND('Raw Data'!$L518, 256),"X","")</f>
        <v/>
      </c>
      <c r="U517" s="18" t="str">
        <f>IF(BITWISE_AND('Raw Data'!$L518, 64),"X","")</f>
        <v/>
      </c>
      <c r="V517" s="18" t="str">
        <f>IF(BITWISE_AND('Raw Data'!$L518, 2),"X","")</f>
        <v/>
      </c>
      <c r="W517" s="18" t="str">
        <f>IF(BITWISE_AND('Raw Data'!$L518, 1),"X","")</f>
        <v/>
      </c>
      <c r="X517" s="19" t="str">
        <f>IF(BITWISE_AND('Raw Data'!M518, 1),"Bat Voltage", IF(BITWISE_AND('Raw Data'!M518, 2), "Charge Current", IF(BITWISE_AND('Raw Data'!M518, 4),"Input Ilim", IF(BITWISE_AND('Raw Data'!M518, 8), "Input UV", "none"))))</f>
        <v>none</v>
      </c>
    </row>
    <row r="518" spans="1:24" x14ac:dyDescent="0.2">
      <c r="A518" s="15">
        <f>A517+TIME(0,0,'Raw Data'!B518)</f>
        <v>0</v>
      </c>
      <c r="B518" s="4">
        <f>'Raw Data'!C519*0.025</f>
        <v>0</v>
      </c>
      <c r="C518" s="4">
        <f t="shared" si="24"/>
        <v>0</v>
      </c>
      <c r="D518" s="4">
        <f>'Raw Data'!D519*0.025</f>
        <v>0</v>
      </c>
      <c r="E518" s="4">
        <f t="shared" si="25"/>
        <v>0</v>
      </c>
      <c r="F518" s="4">
        <f>'Raw Data'!E519*0.001648</f>
        <v>0</v>
      </c>
      <c r="G518" s="4">
        <f>'Raw Data'!F519*0.001648</f>
        <v>0</v>
      </c>
      <c r="H518" s="4">
        <f>'Raw Data'!G519*6*0.000128176</f>
        <v>0</v>
      </c>
      <c r="I518" s="4">
        <f>'Raw Data'!H519*0.000732435</f>
        <v>0</v>
      </c>
      <c r="J518" s="4">
        <f t="shared" si="26"/>
        <v>0</v>
      </c>
      <c r="K518" s="36">
        <f>IF(('Raw Data'!I519-16384)/32768&lt;0,0,('Raw Data'!I519-16384)/32768)</f>
        <v>0</v>
      </c>
      <c r="L518" s="4">
        <f>IF(('Raw Data'!J519-12010)/45.6=-263.377192982456,0,('Raw Data'!J519-12010)/45.6)</f>
        <v>0</v>
      </c>
      <c r="M518" s="16">
        <f>'Raw Data'!N519*2^-8</f>
        <v>0</v>
      </c>
      <c r="N518" s="16">
        <f>'Raw Data'!O519*2^-8</f>
        <v>0</v>
      </c>
      <c r="O518" s="17" t="str">
        <f>IF(BITWISE_AND('Raw Data'!$K519, 8192),"X","")</f>
        <v/>
      </c>
      <c r="P518" s="17" t="str">
        <f>IF(BITWISE_AND('Raw Data'!$K519, 2048),"X","")</f>
        <v/>
      </c>
      <c r="Q518" s="17" t="str">
        <f>IF(BITWISE_AND('Raw Data'!$K519, 64),"X","")</f>
        <v/>
      </c>
      <c r="R518" s="18" t="str">
        <f>IF(BITWISE_AND('Raw Data'!$L519, 1024),"X","")</f>
        <v/>
      </c>
      <c r="S518" s="18" t="str">
        <f>IF(BITWISE_AND('Raw Data'!$L519, 512),"X","")</f>
        <v/>
      </c>
      <c r="T518" s="18" t="str">
        <f>IF(BITWISE_AND('Raw Data'!$L519, 256),"X","")</f>
        <v/>
      </c>
      <c r="U518" s="18" t="str">
        <f>IF(BITWISE_AND('Raw Data'!$L519, 64),"X","")</f>
        <v/>
      </c>
      <c r="V518" s="18" t="str">
        <f>IF(BITWISE_AND('Raw Data'!$L519, 2),"X","")</f>
        <v/>
      </c>
      <c r="W518" s="18" t="str">
        <f>IF(BITWISE_AND('Raw Data'!$L519, 1),"X","")</f>
        <v/>
      </c>
      <c r="X518" s="19" t="str">
        <f>IF(BITWISE_AND('Raw Data'!M519, 1),"Bat Voltage", IF(BITWISE_AND('Raw Data'!M519, 2), "Charge Current", IF(BITWISE_AND('Raw Data'!M519, 4),"Input Ilim", IF(BITWISE_AND('Raw Data'!M519, 8), "Input UV", "none"))))</f>
        <v>none</v>
      </c>
    </row>
    <row r="519" spans="1:24" x14ac:dyDescent="0.2">
      <c r="A519" s="15">
        <f>A518+TIME(0,0,'Raw Data'!B519)</f>
        <v>0</v>
      </c>
      <c r="B519" s="4">
        <f>'Raw Data'!C520*0.025</f>
        <v>0</v>
      </c>
      <c r="C519" s="4">
        <f t="shared" si="24"/>
        <v>0</v>
      </c>
      <c r="D519" s="4">
        <f>'Raw Data'!D520*0.025</f>
        <v>0</v>
      </c>
      <c r="E519" s="4">
        <f t="shared" si="25"/>
        <v>0</v>
      </c>
      <c r="F519" s="4">
        <f>'Raw Data'!E520*0.001648</f>
        <v>0</v>
      </c>
      <c r="G519" s="4">
        <f>'Raw Data'!F520*0.001648</f>
        <v>0</v>
      </c>
      <c r="H519" s="4">
        <f>'Raw Data'!G520*6*0.000128176</f>
        <v>0</v>
      </c>
      <c r="I519" s="4">
        <f>'Raw Data'!H520*0.000732435</f>
        <v>0</v>
      </c>
      <c r="J519" s="4">
        <f t="shared" si="26"/>
        <v>0</v>
      </c>
      <c r="K519" s="36">
        <f>IF(('Raw Data'!I520-16384)/32768&lt;0,0,('Raw Data'!I520-16384)/32768)</f>
        <v>0</v>
      </c>
      <c r="L519" s="4">
        <f>IF(('Raw Data'!J520-12010)/45.6=-263.377192982456,0,('Raw Data'!J520-12010)/45.6)</f>
        <v>0</v>
      </c>
      <c r="M519" s="16">
        <f>'Raw Data'!N520*2^-8</f>
        <v>0</v>
      </c>
      <c r="N519" s="16">
        <f>'Raw Data'!O520*2^-8</f>
        <v>0</v>
      </c>
      <c r="O519" s="17" t="str">
        <f>IF(BITWISE_AND('Raw Data'!$K520, 8192),"X","")</f>
        <v/>
      </c>
      <c r="P519" s="17" t="str">
        <f>IF(BITWISE_AND('Raw Data'!$K520, 2048),"X","")</f>
        <v/>
      </c>
      <c r="Q519" s="17" t="str">
        <f>IF(BITWISE_AND('Raw Data'!$K520, 64),"X","")</f>
        <v/>
      </c>
      <c r="R519" s="18" t="str">
        <f>IF(BITWISE_AND('Raw Data'!$L520, 1024),"X","")</f>
        <v/>
      </c>
      <c r="S519" s="18" t="str">
        <f>IF(BITWISE_AND('Raw Data'!$L520, 512),"X","")</f>
        <v/>
      </c>
      <c r="T519" s="18" t="str">
        <f>IF(BITWISE_AND('Raw Data'!$L520, 256),"X","")</f>
        <v/>
      </c>
      <c r="U519" s="18" t="str">
        <f>IF(BITWISE_AND('Raw Data'!$L520, 64),"X","")</f>
        <v/>
      </c>
      <c r="V519" s="18" t="str">
        <f>IF(BITWISE_AND('Raw Data'!$L520, 2),"X","")</f>
        <v/>
      </c>
      <c r="W519" s="18" t="str">
        <f>IF(BITWISE_AND('Raw Data'!$L520, 1),"X","")</f>
        <v/>
      </c>
      <c r="X519" s="19" t="str">
        <f>IF(BITWISE_AND('Raw Data'!M520, 1),"Bat Voltage", IF(BITWISE_AND('Raw Data'!M520, 2), "Charge Current", IF(BITWISE_AND('Raw Data'!M520, 4),"Input Ilim", IF(BITWISE_AND('Raw Data'!M520, 8), "Input UV", "none"))))</f>
        <v>none</v>
      </c>
    </row>
    <row r="520" spans="1:24" x14ac:dyDescent="0.2">
      <c r="A520" s="15">
        <f>A519+TIME(0,0,'Raw Data'!B520)</f>
        <v>0</v>
      </c>
      <c r="B520" s="4">
        <f>'Raw Data'!C521*0.025</f>
        <v>0</v>
      </c>
      <c r="C520" s="4">
        <f t="shared" si="24"/>
        <v>0</v>
      </c>
      <c r="D520" s="4">
        <f>'Raw Data'!D521*0.025</f>
        <v>0</v>
      </c>
      <c r="E520" s="4">
        <f t="shared" si="25"/>
        <v>0</v>
      </c>
      <c r="F520" s="4">
        <f>'Raw Data'!E521*0.001648</f>
        <v>0</v>
      </c>
      <c r="G520" s="4">
        <f>'Raw Data'!F521*0.001648</f>
        <v>0</v>
      </c>
      <c r="H520" s="4">
        <f>'Raw Data'!G521*6*0.000128176</f>
        <v>0</v>
      </c>
      <c r="I520" s="4">
        <f>'Raw Data'!H521*0.000732435</f>
        <v>0</v>
      </c>
      <c r="J520" s="4">
        <f t="shared" si="26"/>
        <v>0</v>
      </c>
      <c r="K520" s="36">
        <f>IF(('Raw Data'!I521-16384)/32768&lt;0,0,('Raw Data'!I521-16384)/32768)</f>
        <v>0</v>
      </c>
      <c r="L520" s="4">
        <f>IF(('Raw Data'!J521-12010)/45.6=-263.377192982456,0,('Raw Data'!J521-12010)/45.6)</f>
        <v>0</v>
      </c>
      <c r="M520" s="16">
        <f>'Raw Data'!N521*2^-8</f>
        <v>0</v>
      </c>
      <c r="N520" s="16">
        <f>'Raw Data'!O521*2^-8</f>
        <v>0</v>
      </c>
      <c r="O520" s="17" t="str">
        <f>IF(BITWISE_AND('Raw Data'!$K521, 8192),"X","")</f>
        <v/>
      </c>
      <c r="P520" s="17" t="str">
        <f>IF(BITWISE_AND('Raw Data'!$K521, 2048),"X","")</f>
        <v/>
      </c>
      <c r="Q520" s="17" t="str">
        <f>IF(BITWISE_AND('Raw Data'!$K521, 64),"X","")</f>
        <v/>
      </c>
      <c r="R520" s="18" t="str">
        <f>IF(BITWISE_AND('Raw Data'!$L521, 1024),"X","")</f>
        <v/>
      </c>
      <c r="S520" s="18" t="str">
        <f>IF(BITWISE_AND('Raw Data'!$L521, 512),"X","")</f>
        <v/>
      </c>
      <c r="T520" s="18" t="str">
        <f>IF(BITWISE_AND('Raw Data'!$L521, 256),"X","")</f>
        <v/>
      </c>
      <c r="U520" s="18" t="str">
        <f>IF(BITWISE_AND('Raw Data'!$L521, 64),"X","")</f>
        <v/>
      </c>
      <c r="V520" s="18" t="str">
        <f>IF(BITWISE_AND('Raw Data'!$L521, 2),"X","")</f>
        <v/>
      </c>
      <c r="W520" s="18" t="str">
        <f>IF(BITWISE_AND('Raw Data'!$L521, 1),"X","")</f>
        <v/>
      </c>
      <c r="X520" s="19" t="str">
        <f>IF(BITWISE_AND('Raw Data'!M521, 1),"Bat Voltage", IF(BITWISE_AND('Raw Data'!M521, 2), "Charge Current", IF(BITWISE_AND('Raw Data'!M521, 4),"Input Ilim", IF(BITWISE_AND('Raw Data'!M521, 8), "Input UV", "none"))))</f>
        <v>none</v>
      </c>
    </row>
    <row r="521" spans="1:24" x14ac:dyDescent="0.2">
      <c r="A521" s="15">
        <f>A520+TIME(0,0,'Raw Data'!B521)</f>
        <v>0</v>
      </c>
      <c r="B521" s="4">
        <f>'Raw Data'!C522*0.025</f>
        <v>0</v>
      </c>
      <c r="C521" s="4">
        <f t="shared" si="24"/>
        <v>0</v>
      </c>
      <c r="D521" s="4">
        <f>'Raw Data'!D522*0.025</f>
        <v>0</v>
      </c>
      <c r="E521" s="4">
        <f t="shared" si="25"/>
        <v>0</v>
      </c>
      <c r="F521" s="4">
        <f>'Raw Data'!E522*0.001648</f>
        <v>0</v>
      </c>
      <c r="G521" s="4">
        <f>'Raw Data'!F522*0.001648</f>
        <v>0</v>
      </c>
      <c r="H521" s="4">
        <f>'Raw Data'!G522*6*0.000128176</f>
        <v>0</v>
      </c>
      <c r="I521" s="4">
        <f>'Raw Data'!H522*0.000732435</f>
        <v>0</v>
      </c>
      <c r="J521" s="4">
        <f t="shared" si="26"/>
        <v>0</v>
      </c>
      <c r="K521" s="36">
        <f>IF(('Raw Data'!I522-16384)/32768&lt;0,0,('Raw Data'!I522-16384)/32768)</f>
        <v>0</v>
      </c>
      <c r="L521" s="4">
        <f>IF(('Raw Data'!J522-12010)/45.6=-263.377192982456,0,('Raw Data'!J522-12010)/45.6)</f>
        <v>0</v>
      </c>
      <c r="M521" s="16">
        <f>'Raw Data'!N522*2^-8</f>
        <v>0</v>
      </c>
      <c r="N521" s="16">
        <f>'Raw Data'!O522*2^-8</f>
        <v>0</v>
      </c>
      <c r="O521" s="17" t="str">
        <f>IF(BITWISE_AND('Raw Data'!$K522, 8192),"X","")</f>
        <v/>
      </c>
      <c r="P521" s="17" t="str">
        <f>IF(BITWISE_AND('Raw Data'!$K522, 2048),"X","")</f>
        <v/>
      </c>
      <c r="Q521" s="17" t="str">
        <f>IF(BITWISE_AND('Raw Data'!$K522, 64),"X","")</f>
        <v/>
      </c>
      <c r="R521" s="18" t="str">
        <f>IF(BITWISE_AND('Raw Data'!$L522, 1024),"X","")</f>
        <v/>
      </c>
      <c r="S521" s="18" t="str">
        <f>IF(BITWISE_AND('Raw Data'!$L522, 512),"X","")</f>
        <v/>
      </c>
      <c r="T521" s="18" t="str">
        <f>IF(BITWISE_AND('Raw Data'!$L522, 256),"X","")</f>
        <v/>
      </c>
      <c r="U521" s="18" t="str">
        <f>IF(BITWISE_AND('Raw Data'!$L522, 64),"X","")</f>
        <v/>
      </c>
      <c r="V521" s="18" t="str">
        <f>IF(BITWISE_AND('Raw Data'!$L522, 2),"X","")</f>
        <v/>
      </c>
      <c r="W521" s="18" t="str">
        <f>IF(BITWISE_AND('Raw Data'!$L522, 1),"X","")</f>
        <v/>
      </c>
      <c r="X521" s="19" t="str">
        <f>IF(BITWISE_AND('Raw Data'!M522, 1),"Bat Voltage", IF(BITWISE_AND('Raw Data'!M522, 2), "Charge Current", IF(BITWISE_AND('Raw Data'!M522, 4),"Input Ilim", IF(BITWISE_AND('Raw Data'!M522, 8), "Input UV", "none"))))</f>
        <v>none</v>
      </c>
    </row>
    <row r="522" spans="1:24" x14ac:dyDescent="0.2">
      <c r="A522" s="15">
        <f>A521+TIME(0,0,'Raw Data'!B522)</f>
        <v>0</v>
      </c>
      <c r="B522" s="4">
        <f>'Raw Data'!C523*0.025</f>
        <v>0</v>
      </c>
      <c r="C522" s="4">
        <f t="shared" si="24"/>
        <v>0</v>
      </c>
      <c r="D522" s="4">
        <f>'Raw Data'!D523*0.025</f>
        <v>0</v>
      </c>
      <c r="E522" s="4">
        <f t="shared" si="25"/>
        <v>0</v>
      </c>
      <c r="F522" s="4">
        <f>'Raw Data'!E523*0.001648</f>
        <v>0</v>
      </c>
      <c r="G522" s="4">
        <f>'Raw Data'!F523*0.001648</f>
        <v>0</v>
      </c>
      <c r="H522" s="4">
        <f>'Raw Data'!G523*6*0.000128176</f>
        <v>0</v>
      </c>
      <c r="I522" s="4">
        <f>'Raw Data'!H523*0.000732435</f>
        <v>0</v>
      </c>
      <c r="J522" s="4">
        <f t="shared" si="26"/>
        <v>0</v>
      </c>
      <c r="K522" s="36">
        <f>IF(('Raw Data'!I523-16384)/32768&lt;0,0,('Raw Data'!I523-16384)/32768)</f>
        <v>0</v>
      </c>
      <c r="L522" s="4">
        <f>IF(('Raw Data'!J523-12010)/45.6=-263.377192982456,0,('Raw Data'!J523-12010)/45.6)</f>
        <v>0</v>
      </c>
      <c r="M522" s="16">
        <f>'Raw Data'!N523*2^-8</f>
        <v>0</v>
      </c>
      <c r="N522" s="16">
        <f>'Raw Data'!O523*2^-8</f>
        <v>0</v>
      </c>
      <c r="O522" s="17" t="str">
        <f>IF(BITWISE_AND('Raw Data'!$K523, 8192),"X","")</f>
        <v/>
      </c>
      <c r="P522" s="17" t="str">
        <f>IF(BITWISE_AND('Raw Data'!$K523, 2048),"X","")</f>
        <v/>
      </c>
      <c r="Q522" s="17" t="str">
        <f>IF(BITWISE_AND('Raw Data'!$K523, 64),"X","")</f>
        <v/>
      </c>
      <c r="R522" s="18" t="str">
        <f>IF(BITWISE_AND('Raw Data'!$L523, 1024),"X","")</f>
        <v/>
      </c>
      <c r="S522" s="18" t="str">
        <f>IF(BITWISE_AND('Raw Data'!$L523, 512),"X","")</f>
        <v/>
      </c>
      <c r="T522" s="18" t="str">
        <f>IF(BITWISE_AND('Raw Data'!$L523, 256),"X","")</f>
        <v/>
      </c>
      <c r="U522" s="18" t="str">
        <f>IF(BITWISE_AND('Raw Data'!$L523, 64),"X","")</f>
        <v/>
      </c>
      <c r="V522" s="18" t="str">
        <f>IF(BITWISE_AND('Raw Data'!$L523, 2),"X","")</f>
        <v/>
      </c>
      <c r="W522" s="18" t="str">
        <f>IF(BITWISE_AND('Raw Data'!$L523, 1),"X","")</f>
        <v/>
      </c>
      <c r="X522" s="19" t="str">
        <f>IF(BITWISE_AND('Raw Data'!M523, 1),"Bat Voltage", IF(BITWISE_AND('Raw Data'!M523, 2), "Charge Current", IF(BITWISE_AND('Raw Data'!M523, 4),"Input Ilim", IF(BITWISE_AND('Raw Data'!M523, 8), "Input UV", "none"))))</f>
        <v>none</v>
      </c>
    </row>
    <row r="523" spans="1:24" x14ac:dyDescent="0.2">
      <c r="A523" s="15">
        <f>A522+TIME(0,0,'Raw Data'!B523)</f>
        <v>0</v>
      </c>
      <c r="B523" s="4">
        <f>'Raw Data'!C524*0.025</f>
        <v>0</v>
      </c>
      <c r="C523" s="4">
        <f t="shared" si="24"/>
        <v>0</v>
      </c>
      <c r="D523" s="4">
        <f>'Raw Data'!D524*0.025</f>
        <v>0</v>
      </c>
      <c r="E523" s="4">
        <f t="shared" si="25"/>
        <v>0</v>
      </c>
      <c r="F523" s="4">
        <f>'Raw Data'!E524*0.001648</f>
        <v>0</v>
      </c>
      <c r="G523" s="4">
        <f>'Raw Data'!F524*0.001648</f>
        <v>0</v>
      </c>
      <c r="H523" s="4">
        <f>'Raw Data'!G524*6*0.000128176</f>
        <v>0</v>
      </c>
      <c r="I523" s="4">
        <f>'Raw Data'!H524*0.000732435</f>
        <v>0</v>
      </c>
      <c r="J523" s="4">
        <f t="shared" si="26"/>
        <v>0</v>
      </c>
      <c r="K523" s="36">
        <f>IF(('Raw Data'!I524-16384)/32768&lt;0,0,('Raw Data'!I524-16384)/32768)</f>
        <v>0</v>
      </c>
      <c r="L523" s="4">
        <f>IF(('Raw Data'!J524-12010)/45.6=-263.377192982456,0,('Raw Data'!J524-12010)/45.6)</f>
        <v>0</v>
      </c>
      <c r="M523" s="16">
        <f>'Raw Data'!N524*2^-8</f>
        <v>0</v>
      </c>
      <c r="N523" s="16">
        <f>'Raw Data'!O524*2^-8</f>
        <v>0</v>
      </c>
      <c r="O523" s="17" t="str">
        <f>IF(BITWISE_AND('Raw Data'!$K524, 8192),"X","")</f>
        <v/>
      </c>
      <c r="P523" s="17" t="str">
        <f>IF(BITWISE_AND('Raw Data'!$K524, 2048),"X","")</f>
        <v/>
      </c>
      <c r="Q523" s="17" t="str">
        <f>IF(BITWISE_AND('Raw Data'!$K524, 64),"X","")</f>
        <v/>
      </c>
      <c r="R523" s="18" t="str">
        <f>IF(BITWISE_AND('Raw Data'!$L524, 1024),"X","")</f>
        <v/>
      </c>
      <c r="S523" s="18" t="str">
        <f>IF(BITWISE_AND('Raw Data'!$L524, 512),"X","")</f>
        <v/>
      </c>
      <c r="T523" s="18" t="str">
        <f>IF(BITWISE_AND('Raw Data'!$L524, 256),"X","")</f>
        <v/>
      </c>
      <c r="U523" s="18" t="str">
        <f>IF(BITWISE_AND('Raw Data'!$L524, 64),"X","")</f>
        <v/>
      </c>
      <c r="V523" s="18" t="str">
        <f>IF(BITWISE_AND('Raw Data'!$L524, 2),"X","")</f>
        <v/>
      </c>
      <c r="W523" s="18" t="str">
        <f>IF(BITWISE_AND('Raw Data'!$L524, 1),"X","")</f>
        <v/>
      </c>
      <c r="X523" s="19" t="str">
        <f>IF(BITWISE_AND('Raw Data'!M524, 1),"Bat Voltage", IF(BITWISE_AND('Raw Data'!M524, 2), "Charge Current", IF(BITWISE_AND('Raw Data'!M524, 4),"Input Ilim", IF(BITWISE_AND('Raw Data'!M524, 8), "Input UV", "none"))))</f>
        <v>none</v>
      </c>
    </row>
    <row r="524" spans="1:24" x14ac:dyDescent="0.2">
      <c r="A524" s="15">
        <f>A523+TIME(0,0,'Raw Data'!B524)</f>
        <v>0</v>
      </c>
      <c r="B524" s="4">
        <f>'Raw Data'!C525*0.025</f>
        <v>0</v>
      </c>
      <c r="C524" s="4">
        <f t="shared" si="24"/>
        <v>0</v>
      </c>
      <c r="D524" s="4">
        <f>'Raw Data'!D525*0.025</f>
        <v>0</v>
      </c>
      <c r="E524" s="4">
        <f t="shared" si="25"/>
        <v>0</v>
      </c>
      <c r="F524" s="4">
        <f>'Raw Data'!E525*0.001648</f>
        <v>0</v>
      </c>
      <c r="G524" s="4">
        <f>'Raw Data'!F525*0.001648</f>
        <v>0</v>
      </c>
      <c r="H524" s="4">
        <f>'Raw Data'!G525*6*0.000128176</f>
        <v>0</v>
      </c>
      <c r="I524" s="4">
        <f>'Raw Data'!H525*0.000732435</f>
        <v>0</v>
      </c>
      <c r="J524" s="4">
        <f t="shared" si="26"/>
        <v>0</v>
      </c>
      <c r="K524" s="36">
        <f>IF(('Raw Data'!I525-16384)/32768&lt;0,0,('Raw Data'!I525-16384)/32768)</f>
        <v>0</v>
      </c>
      <c r="L524" s="4">
        <f>IF(('Raw Data'!J525-12010)/45.6=-263.377192982456,0,('Raw Data'!J525-12010)/45.6)</f>
        <v>0</v>
      </c>
      <c r="M524" s="16">
        <f>'Raw Data'!N525*2^-8</f>
        <v>0</v>
      </c>
      <c r="N524" s="16">
        <f>'Raw Data'!O525*2^-8</f>
        <v>0</v>
      </c>
      <c r="O524" s="17" t="str">
        <f>IF(BITWISE_AND('Raw Data'!$K525, 8192),"X","")</f>
        <v/>
      </c>
      <c r="P524" s="17" t="str">
        <f>IF(BITWISE_AND('Raw Data'!$K525, 2048),"X","")</f>
        <v/>
      </c>
      <c r="Q524" s="17" t="str">
        <f>IF(BITWISE_AND('Raw Data'!$K525, 64),"X","")</f>
        <v/>
      </c>
      <c r="R524" s="18" t="str">
        <f>IF(BITWISE_AND('Raw Data'!$L525, 1024),"X","")</f>
        <v/>
      </c>
      <c r="S524" s="18" t="str">
        <f>IF(BITWISE_AND('Raw Data'!$L525, 512),"X","")</f>
        <v/>
      </c>
      <c r="T524" s="18" t="str">
        <f>IF(BITWISE_AND('Raw Data'!$L525, 256),"X","")</f>
        <v/>
      </c>
      <c r="U524" s="18" t="str">
        <f>IF(BITWISE_AND('Raw Data'!$L525, 64),"X","")</f>
        <v/>
      </c>
      <c r="V524" s="18" t="str">
        <f>IF(BITWISE_AND('Raw Data'!$L525, 2),"X","")</f>
        <v/>
      </c>
      <c r="W524" s="18" t="str">
        <f>IF(BITWISE_AND('Raw Data'!$L525, 1),"X","")</f>
        <v/>
      </c>
      <c r="X524" s="19" t="str">
        <f>IF(BITWISE_AND('Raw Data'!M525, 1),"Bat Voltage", IF(BITWISE_AND('Raw Data'!M525, 2), "Charge Current", IF(BITWISE_AND('Raw Data'!M525, 4),"Input Ilim", IF(BITWISE_AND('Raw Data'!M525, 8), "Input UV", "none"))))</f>
        <v>none</v>
      </c>
    </row>
    <row r="525" spans="1:24" x14ac:dyDescent="0.2">
      <c r="A525" s="15">
        <f>A524+TIME(0,0,'Raw Data'!B525)</f>
        <v>0</v>
      </c>
      <c r="B525" s="4">
        <f>'Raw Data'!C526*0.025</f>
        <v>0</v>
      </c>
      <c r="C525" s="4">
        <f t="shared" si="24"/>
        <v>0</v>
      </c>
      <c r="D525" s="4">
        <f>'Raw Data'!D526*0.025</f>
        <v>0</v>
      </c>
      <c r="E525" s="4">
        <f t="shared" si="25"/>
        <v>0</v>
      </c>
      <c r="F525" s="4">
        <f>'Raw Data'!E526*0.001648</f>
        <v>0</v>
      </c>
      <c r="G525" s="4">
        <f>'Raw Data'!F526*0.001648</f>
        <v>0</v>
      </c>
      <c r="H525" s="4">
        <f>'Raw Data'!G526*6*0.000128176</f>
        <v>0</v>
      </c>
      <c r="I525" s="4">
        <f>'Raw Data'!H526*0.000732435</f>
        <v>0</v>
      </c>
      <c r="J525" s="4">
        <f t="shared" si="26"/>
        <v>0</v>
      </c>
      <c r="K525" s="36">
        <f>IF(('Raw Data'!I526-16384)/32768&lt;0,0,('Raw Data'!I526-16384)/32768)</f>
        <v>0</v>
      </c>
      <c r="L525" s="4">
        <f>IF(('Raw Data'!J526-12010)/45.6=-263.377192982456,0,('Raw Data'!J526-12010)/45.6)</f>
        <v>0</v>
      </c>
      <c r="M525" s="16">
        <f>'Raw Data'!N526*2^-8</f>
        <v>0</v>
      </c>
      <c r="N525" s="16">
        <f>'Raw Data'!O526*2^-8</f>
        <v>0</v>
      </c>
      <c r="O525" s="17" t="str">
        <f>IF(BITWISE_AND('Raw Data'!$K526, 8192),"X","")</f>
        <v/>
      </c>
      <c r="P525" s="17" t="str">
        <f>IF(BITWISE_AND('Raw Data'!$K526, 2048),"X","")</f>
        <v/>
      </c>
      <c r="Q525" s="17" t="str">
        <f>IF(BITWISE_AND('Raw Data'!$K526, 64),"X","")</f>
        <v/>
      </c>
      <c r="R525" s="18" t="str">
        <f>IF(BITWISE_AND('Raw Data'!$L526, 1024),"X","")</f>
        <v/>
      </c>
      <c r="S525" s="18" t="str">
        <f>IF(BITWISE_AND('Raw Data'!$L526, 512),"X","")</f>
        <v/>
      </c>
      <c r="T525" s="18" t="str">
        <f>IF(BITWISE_AND('Raw Data'!$L526, 256),"X","")</f>
        <v/>
      </c>
      <c r="U525" s="18" t="str">
        <f>IF(BITWISE_AND('Raw Data'!$L526, 64),"X","")</f>
        <v/>
      </c>
      <c r="V525" s="18" t="str">
        <f>IF(BITWISE_AND('Raw Data'!$L526, 2),"X","")</f>
        <v/>
      </c>
      <c r="W525" s="18" t="str">
        <f>IF(BITWISE_AND('Raw Data'!$L526, 1),"X","")</f>
        <v/>
      </c>
      <c r="X525" s="19" t="str">
        <f>IF(BITWISE_AND('Raw Data'!M526, 1),"Bat Voltage", IF(BITWISE_AND('Raw Data'!M526, 2), "Charge Current", IF(BITWISE_AND('Raw Data'!M526, 4),"Input Ilim", IF(BITWISE_AND('Raw Data'!M526, 8), "Input UV", "none"))))</f>
        <v>none</v>
      </c>
    </row>
    <row r="526" spans="1:24" x14ac:dyDescent="0.2">
      <c r="A526" s="15">
        <f>A525+TIME(0,0,'Raw Data'!B526)</f>
        <v>0</v>
      </c>
      <c r="B526" s="4">
        <f>'Raw Data'!C527*0.025</f>
        <v>0</v>
      </c>
      <c r="C526" s="4">
        <f t="shared" si="24"/>
        <v>0</v>
      </c>
      <c r="D526" s="4">
        <f>'Raw Data'!D527*0.025</f>
        <v>0</v>
      </c>
      <c r="E526" s="4">
        <f t="shared" si="25"/>
        <v>0</v>
      </c>
      <c r="F526" s="4">
        <f>'Raw Data'!E527*0.001648</f>
        <v>0</v>
      </c>
      <c r="G526" s="4">
        <f>'Raw Data'!F527*0.001648</f>
        <v>0</v>
      </c>
      <c r="H526" s="4">
        <f>'Raw Data'!G527*6*0.000128176</f>
        <v>0</v>
      </c>
      <c r="I526" s="4">
        <f>'Raw Data'!H527*0.000732435</f>
        <v>0</v>
      </c>
      <c r="J526" s="4">
        <f t="shared" si="26"/>
        <v>0</v>
      </c>
      <c r="K526" s="36">
        <f>IF(('Raw Data'!I527-16384)/32768&lt;0,0,('Raw Data'!I527-16384)/32768)</f>
        <v>0</v>
      </c>
      <c r="L526" s="4">
        <f>IF(('Raw Data'!J527-12010)/45.6=-263.377192982456,0,('Raw Data'!J527-12010)/45.6)</f>
        <v>0</v>
      </c>
      <c r="M526" s="16">
        <f>'Raw Data'!N527*2^-8</f>
        <v>0</v>
      </c>
      <c r="N526" s="16">
        <f>'Raw Data'!O527*2^-8</f>
        <v>0</v>
      </c>
      <c r="O526" s="17" t="str">
        <f>IF(BITWISE_AND('Raw Data'!$K527, 8192),"X","")</f>
        <v/>
      </c>
      <c r="P526" s="17" t="str">
        <f>IF(BITWISE_AND('Raw Data'!$K527, 2048),"X","")</f>
        <v/>
      </c>
      <c r="Q526" s="17" t="str">
        <f>IF(BITWISE_AND('Raw Data'!$K527, 64),"X","")</f>
        <v/>
      </c>
      <c r="R526" s="18" t="str">
        <f>IF(BITWISE_AND('Raw Data'!$L527, 1024),"X","")</f>
        <v/>
      </c>
      <c r="S526" s="18" t="str">
        <f>IF(BITWISE_AND('Raw Data'!$L527, 512),"X","")</f>
        <v/>
      </c>
      <c r="T526" s="18" t="str">
        <f>IF(BITWISE_AND('Raw Data'!$L527, 256),"X","")</f>
        <v/>
      </c>
      <c r="U526" s="18" t="str">
        <f>IF(BITWISE_AND('Raw Data'!$L527, 64),"X","")</f>
        <v/>
      </c>
      <c r="V526" s="18" t="str">
        <f>IF(BITWISE_AND('Raw Data'!$L527, 2),"X","")</f>
        <v/>
      </c>
      <c r="W526" s="18" t="str">
        <f>IF(BITWISE_AND('Raw Data'!$L527, 1),"X","")</f>
        <v/>
      </c>
      <c r="X526" s="19" t="str">
        <f>IF(BITWISE_AND('Raw Data'!M527, 1),"Bat Voltage", IF(BITWISE_AND('Raw Data'!M527, 2), "Charge Current", IF(BITWISE_AND('Raw Data'!M527, 4),"Input Ilim", IF(BITWISE_AND('Raw Data'!M527, 8), "Input UV", "none"))))</f>
        <v>none</v>
      </c>
    </row>
    <row r="527" spans="1:24" x14ac:dyDescent="0.2">
      <c r="A527" s="15">
        <f>A526+TIME(0,0,'Raw Data'!B527)</f>
        <v>0</v>
      </c>
      <c r="B527" s="4">
        <f>'Raw Data'!C528*0.025</f>
        <v>0</v>
      </c>
      <c r="C527" s="4">
        <f t="shared" si="24"/>
        <v>0</v>
      </c>
      <c r="D527" s="4">
        <f>'Raw Data'!D528*0.025</f>
        <v>0</v>
      </c>
      <c r="E527" s="4">
        <f t="shared" si="25"/>
        <v>0</v>
      </c>
      <c r="F527" s="4">
        <f>'Raw Data'!E528*0.001648</f>
        <v>0</v>
      </c>
      <c r="G527" s="4">
        <f>'Raw Data'!F528*0.001648</f>
        <v>0</v>
      </c>
      <c r="H527" s="4">
        <f>'Raw Data'!G528*6*0.000128176</f>
        <v>0</v>
      </c>
      <c r="I527" s="4">
        <f>'Raw Data'!H528*0.000732435</f>
        <v>0</v>
      </c>
      <c r="J527" s="4">
        <f t="shared" si="26"/>
        <v>0</v>
      </c>
      <c r="K527" s="36">
        <f>IF(('Raw Data'!I528-16384)/32768&lt;0,0,('Raw Data'!I528-16384)/32768)</f>
        <v>0</v>
      </c>
      <c r="L527" s="4">
        <f>IF(('Raw Data'!J528-12010)/45.6=-263.377192982456,0,('Raw Data'!J528-12010)/45.6)</f>
        <v>0</v>
      </c>
      <c r="M527" s="16">
        <f>'Raw Data'!N528*2^-8</f>
        <v>0</v>
      </c>
      <c r="N527" s="16">
        <f>'Raw Data'!O528*2^-8</f>
        <v>0</v>
      </c>
      <c r="O527" s="17" t="str">
        <f>IF(BITWISE_AND('Raw Data'!$K528, 8192),"X","")</f>
        <v/>
      </c>
      <c r="P527" s="17" t="str">
        <f>IF(BITWISE_AND('Raw Data'!$K528, 2048),"X","")</f>
        <v/>
      </c>
      <c r="Q527" s="17" t="str">
        <f>IF(BITWISE_AND('Raw Data'!$K528, 64),"X","")</f>
        <v/>
      </c>
      <c r="R527" s="18" t="str">
        <f>IF(BITWISE_AND('Raw Data'!$L528, 1024),"X","")</f>
        <v/>
      </c>
      <c r="S527" s="18" t="str">
        <f>IF(BITWISE_AND('Raw Data'!$L528, 512),"X","")</f>
        <v/>
      </c>
      <c r="T527" s="18" t="str">
        <f>IF(BITWISE_AND('Raw Data'!$L528, 256),"X","")</f>
        <v/>
      </c>
      <c r="U527" s="18" t="str">
        <f>IF(BITWISE_AND('Raw Data'!$L528, 64),"X","")</f>
        <v/>
      </c>
      <c r="V527" s="18" t="str">
        <f>IF(BITWISE_AND('Raw Data'!$L528, 2),"X","")</f>
        <v/>
      </c>
      <c r="W527" s="18" t="str">
        <f>IF(BITWISE_AND('Raw Data'!$L528, 1),"X","")</f>
        <v/>
      </c>
      <c r="X527" s="19" t="str">
        <f>IF(BITWISE_AND('Raw Data'!M528, 1),"Bat Voltage", IF(BITWISE_AND('Raw Data'!M528, 2), "Charge Current", IF(BITWISE_AND('Raw Data'!M528, 4),"Input Ilim", IF(BITWISE_AND('Raw Data'!M528, 8), "Input UV", "none"))))</f>
        <v>none</v>
      </c>
    </row>
    <row r="528" spans="1:24" x14ac:dyDescent="0.2">
      <c r="A528" s="15">
        <f>A527+TIME(0,0,'Raw Data'!B528)</f>
        <v>0</v>
      </c>
      <c r="B528" s="4">
        <f>'Raw Data'!C529*0.025</f>
        <v>0</v>
      </c>
      <c r="C528" s="4">
        <f t="shared" si="24"/>
        <v>0</v>
      </c>
      <c r="D528" s="4">
        <f>'Raw Data'!D529*0.025</f>
        <v>0</v>
      </c>
      <c r="E528" s="4">
        <f t="shared" si="25"/>
        <v>0</v>
      </c>
      <c r="F528" s="4">
        <f>'Raw Data'!E529*0.001648</f>
        <v>0</v>
      </c>
      <c r="G528" s="4">
        <f>'Raw Data'!F529*0.001648</f>
        <v>0</v>
      </c>
      <c r="H528" s="4">
        <f>'Raw Data'!G529*6*0.000128176</f>
        <v>0</v>
      </c>
      <c r="I528" s="4">
        <f>'Raw Data'!H529*0.000732435</f>
        <v>0</v>
      </c>
      <c r="J528" s="4">
        <f t="shared" si="26"/>
        <v>0</v>
      </c>
      <c r="K528" s="36">
        <f>IF(('Raw Data'!I529-16384)/32768&lt;0,0,('Raw Data'!I529-16384)/32768)</f>
        <v>0</v>
      </c>
      <c r="L528" s="4">
        <f>IF(('Raw Data'!J529-12010)/45.6=-263.377192982456,0,('Raw Data'!J529-12010)/45.6)</f>
        <v>0</v>
      </c>
      <c r="M528" s="16">
        <f>'Raw Data'!N529*2^-8</f>
        <v>0</v>
      </c>
      <c r="N528" s="16">
        <f>'Raw Data'!O529*2^-8</f>
        <v>0</v>
      </c>
      <c r="O528" s="17" t="str">
        <f>IF(BITWISE_AND('Raw Data'!$K529, 8192),"X","")</f>
        <v/>
      </c>
      <c r="P528" s="17" t="str">
        <f>IF(BITWISE_AND('Raw Data'!$K529, 2048),"X","")</f>
        <v/>
      </c>
      <c r="Q528" s="17" t="str">
        <f>IF(BITWISE_AND('Raw Data'!$K529, 64),"X","")</f>
        <v/>
      </c>
      <c r="R528" s="18" t="str">
        <f>IF(BITWISE_AND('Raw Data'!$L529, 1024),"X","")</f>
        <v/>
      </c>
      <c r="S528" s="18" t="str">
        <f>IF(BITWISE_AND('Raw Data'!$L529, 512),"X","")</f>
        <v/>
      </c>
      <c r="T528" s="18" t="str">
        <f>IF(BITWISE_AND('Raw Data'!$L529, 256),"X","")</f>
        <v/>
      </c>
      <c r="U528" s="18" t="str">
        <f>IF(BITWISE_AND('Raw Data'!$L529, 64),"X","")</f>
        <v/>
      </c>
      <c r="V528" s="18" t="str">
        <f>IF(BITWISE_AND('Raw Data'!$L529, 2),"X","")</f>
        <v/>
      </c>
      <c r="W528" s="18" t="str">
        <f>IF(BITWISE_AND('Raw Data'!$L529, 1),"X","")</f>
        <v/>
      </c>
      <c r="X528" s="19" t="str">
        <f>IF(BITWISE_AND('Raw Data'!M529, 1),"Bat Voltage", IF(BITWISE_AND('Raw Data'!M529, 2), "Charge Current", IF(BITWISE_AND('Raw Data'!M529, 4),"Input Ilim", IF(BITWISE_AND('Raw Data'!M529, 8), "Input UV", "none"))))</f>
        <v>none</v>
      </c>
    </row>
    <row r="529" spans="1:24" x14ac:dyDescent="0.2">
      <c r="A529" s="15">
        <f>A528+TIME(0,0,'Raw Data'!B529)</f>
        <v>0</v>
      </c>
      <c r="B529" s="4">
        <f>'Raw Data'!C530*0.025</f>
        <v>0</v>
      </c>
      <c r="C529" s="4">
        <f t="shared" si="24"/>
        <v>0</v>
      </c>
      <c r="D529" s="4">
        <f>'Raw Data'!D530*0.025</f>
        <v>0</v>
      </c>
      <c r="E529" s="4">
        <f t="shared" si="25"/>
        <v>0</v>
      </c>
      <c r="F529" s="4">
        <f>'Raw Data'!E530*0.001648</f>
        <v>0</v>
      </c>
      <c r="G529" s="4">
        <f>'Raw Data'!F530*0.001648</f>
        <v>0</v>
      </c>
      <c r="H529" s="4">
        <f>'Raw Data'!G530*6*0.000128176</f>
        <v>0</v>
      </c>
      <c r="I529" s="4">
        <f>'Raw Data'!H530*0.000732435</f>
        <v>0</v>
      </c>
      <c r="J529" s="4">
        <f t="shared" si="26"/>
        <v>0</v>
      </c>
      <c r="K529" s="36">
        <f>IF(('Raw Data'!I530-16384)/32768&lt;0,0,('Raw Data'!I530-16384)/32768)</f>
        <v>0</v>
      </c>
      <c r="L529" s="4">
        <f>IF(('Raw Data'!J530-12010)/45.6=-263.377192982456,0,('Raw Data'!J530-12010)/45.6)</f>
        <v>0</v>
      </c>
      <c r="M529" s="16">
        <f>'Raw Data'!N530*2^-8</f>
        <v>0</v>
      </c>
      <c r="N529" s="16">
        <f>'Raw Data'!O530*2^-8</f>
        <v>0</v>
      </c>
      <c r="O529" s="17" t="str">
        <f>IF(BITWISE_AND('Raw Data'!$K530, 8192),"X","")</f>
        <v/>
      </c>
      <c r="P529" s="17" t="str">
        <f>IF(BITWISE_AND('Raw Data'!$K530, 2048),"X","")</f>
        <v/>
      </c>
      <c r="Q529" s="17" t="str">
        <f>IF(BITWISE_AND('Raw Data'!$K530, 64),"X","")</f>
        <v/>
      </c>
      <c r="R529" s="18" t="str">
        <f>IF(BITWISE_AND('Raw Data'!$L530, 1024),"X","")</f>
        <v/>
      </c>
      <c r="S529" s="18" t="str">
        <f>IF(BITWISE_AND('Raw Data'!$L530, 512),"X","")</f>
        <v/>
      </c>
      <c r="T529" s="18" t="str">
        <f>IF(BITWISE_AND('Raw Data'!$L530, 256),"X","")</f>
        <v/>
      </c>
      <c r="U529" s="18" t="str">
        <f>IF(BITWISE_AND('Raw Data'!$L530, 64),"X","")</f>
        <v/>
      </c>
      <c r="V529" s="18" t="str">
        <f>IF(BITWISE_AND('Raw Data'!$L530, 2),"X","")</f>
        <v/>
      </c>
      <c r="W529" s="18" t="str">
        <f>IF(BITWISE_AND('Raw Data'!$L530, 1),"X","")</f>
        <v/>
      </c>
      <c r="X529" s="19" t="str">
        <f>IF(BITWISE_AND('Raw Data'!M530, 1),"Bat Voltage", IF(BITWISE_AND('Raw Data'!M530, 2), "Charge Current", IF(BITWISE_AND('Raw Data'!M530, 4),"Input Ilim", IF(BITWISE_AND('Raw Data'!M530, 8), "Input UV", "none"))))</f>
        <v>none</v>
      </c>
    </row>
    <row r="530" spans="1:24" x14ac:dyDescent="0.2">
      <c r="A530" s="15">
        <f>A529+TIME(0,0,'Raw Data'!B530)</f>
        <v>0</v>
      </c>
      <c r="B530" s="4">
        <f>'Raw Data'!C531*0.025</f>
        <v>0</v>
      </c>
      <c r="C530" s="4">
        <f t="shared" si="24"/>
        <v>0</v>
      </c>
      <c r="D530" s="4">
        <f>'Raw Data'!D531*0.025</f>
        <v>0</v>
      </c>
      <c r="E530" s="4">
        <f t="shared" si="25"/>
        <v>0</v>
      </c>
      <c r="F530" s="4">
        <f>'Raw Data'!E531*0.001648</f>
        <v>0</v>
      </c>
      <c r="G530" s="4">
        <f>'Raw Data'!F531*0.001648</f>
        <v>0</v>
      </c>
      <c r="H530" s="4">
        <f>'Raw Data'!G531*6*0.000128176</f>
        <v>0</v>
      </c>
      <c r="I530" s="4">
        <f>'Raw Data'!H531*0.000732435</f>
        <v>0</v>
      </c>
      <c r="J530" s="4">
        <f t="shared" si="26"/>
        <v>0</v>
      </c>
      <c r="K530" s="36">
        <f>IF(('Raw Data'!I531-16384)/32768&lt;0,0,('Raw Data'!I531-16384)/32768)</f>
        <v>0</v>
      </c>
      <c r="L530" s="4">
        <f>IF(('Raw Data'!J531-12010)/45.6=-263.377192982456,0,('Raw Data'!J531-12010)/45.6)</f>
        <v>0</v>
      </c>
      <c r="M530" s="16">
        <f>'Raw Data'!N531*2^-8</f>
        <v>0</v>
      </c>
      <c r="N530" s="16">
        <f>'Raw Data'!O531*2^-8</f>
        <v>0</v>
      </c>
      <c r="O530" s="17" t="str">
        <f>IF(BITWISE_AND('Raw Data'!$K531, 8192),"X","")</f>
        <v/>
      </c>
      <c r="P530" s="17" t="str">
        <f>IF(BITWISE_AND('Raw Data'!$K531, 2048),"X","")</f>
        <v/>
      </c>
      <c r="Q530" s="17" t="str">
        <f>IF(BITWISE_AND('Raw Data'!$K531, 64),"X","")</f>
        <v/>
      </c>
      <c r="R530" s="18" t="str">
        <f>IF(BITWISE_AND('Raw Data'!$L531, 1024),"X","")</f>
        <v/>
      </c>
      <c r="S530" s="18" t="str">
        <f>IF(BITWISE_AND('Raw Data'!$L531, 512),"X","")</f>
        <v/>
      </c>
      <c r="T530" s="18" t="str">
        <f>IF(BITWISE_AND('Raw Data'!$L531, 256),"X","")</f>
        <v/>
      </c>
      <c r="U530" s="18" t="str">
        <f>IF(BITWISE_AND('Raw Data'!$L531, 64),"X","")</f>
        <v/>
      </c>
      <c r="V530" s="18" t="str">
        <f>IF(BITWISE_AND('Raw Data'!$L531, 2),"X","")</f>
        <v/>
      </c>
      <c r="W530" s="18" t="str">
        <f>IF(BITWISE_AND('Raw Data'!$L531, 1),"X","")</f>
        <v/>
      </c>
      <c r="X530" s="19" t="str">
        <f>IF(BITWISE_AND('Raw Data'!M531, 1),"Bat Voltage", IF(BITWISE_AND('Raw Data'!M531, 2), "Charge Current", IF(BITWISE_AND('Raw Data'!M531, 4),"Input Ilim", IF(BITWISE_AND('Raw Data'!M531, 8), "Input UV", "none"))))</f>
        <v>none</v>
      </c>
    </row>
    <row r="531" spans="1:24" x14ac:dyDescent="0.2">
      <c r="A531" s="15">
        <f>A530+TIME(0,0,'Raw Data'!B531)</f>
        <v>0</v>
      </c>
      <c r="B531" s="4">
        <f>'Raw Data'!C532*0.025</f>
        <v>0</v>
      </c>
      <c r="C531" s="4">
        <f t="shared" si="24"/>
        <v>0</v>
      </c>
      <c r="D531" s="4">
        <f>'Raw Data'!D532*0.025</f>
        <v>0</v>
      </c>
      <c r="E531" s="4">
        <f t="shared" si="25"/>
        <v>0</v>
      </c>
      <c r="F531" s="4">
        <f>'Raw Data'!E532*0.001648</f>
        <v>0</v>
      </c>
      <c r="G531" s="4">
        <f>'Raw Data'!F532*0.001648</f>
        <v>0</v>
      </c>
      <c r="H531" s="4">
        <f>'Raw Data'!G532*6*0.000128176</f>
        <v>0</v>
      </c>
      <c r="I531" s="4">
        <f>'Raw Data'!H532*0.000732435</f>
        <v>0</v>
      </c>
      <c r="J531" s="4">
        <f t="shared" si="26"/>
        <v>0</v>
      </c>
      <c r="K531" s="36">
        <f>IF(('Raw Data'!I532-16384)/32768&lt;0,0,('Raw Data'!I532-16384)/32768)</f>
        <v>0</v>
      </c>
      <c r="L531" s="4">
        <f>IF(('Raw Data'!J532-12010)/45.6=-263.377192982456,0,('Raw Data'!J532-12010)/45.6)</f>
        <v>0</v>
      </c>
      <c r="M531" s="16">
        <f>'Raw Data'!N532*2^-8</f>
        <v>0</v>
      </c>
      <c r="N531" s="16">
        <f>'Raw Data'!O532*2^-8</f>
        <v>0</v>
      </c>
      <c r="O531" s="17" t="str">
        <f>IF(BITWISE_AND('Raw Data'!$K532, 8192),"X","")</f>
        <v/>
      </c>
      <c r="P531" s="17" t="str">
        <f>IF(BITWISE_AND('Raw Data'!$K532, 2048),"X","")</f>
        <v/>
      </c>
      <c r="Q531" s="17" t="str">
        <f>IF(BITWISE_AND('Raw Data'!$K532, 64),"X","")</f>
        <v/>
      </c>
      <c r="R531" s="18" t="str">
        <f>IF(BITWISE_AND('Raw Data'!$L532, 1024),"X","")</f>
        <v/>
      </c>
      <c r="S531" s="18" t="str">
        <f>IF(BITWISE_AND('Raw Data'!$L532, 512),"X","")</f>
        <v/>
      </c>
      <c r="T531" s="18" t="str">
        <f>IF(BITWISE_AND('Raw Data'!$L532, 256),"X","")</f>
        <v/>
      </c>
      <c r="U531" s="18" t="str">
        <f>IF(BITWISE_AND('Raw Data'!$L532, 64),"X","")</f>
        <v/>
      </c>
      <c r="V531" s="18" t="str">
        <f>IF(BITWISE_AND('Raw Data'!$L532, 2),"X","")</f>
        <v/>
      </c>
      <c r="W531" s="18" t="str">
        <f>IF(BITWISE_AND('Raw Data'!$L532, 1),"X","")</f>
        <v/>
      </c>
      <c r="X531" s="19" t="str">
        <f>IF(BITWISE_AND('Raw Data'!M532, 1),"Bat Voltage", IF(BITWISE_AND('Raw Data'!M532, 2), "Charge Current", IF(BITWISE_AND('Raw Data'!M532, 4),"Input Ilim", IF(BITWISE_AND('Raw Data'!M532, 8), "Input UV", "none"))))</f>
        <v>none</v>
      </c>
    </row>
    <row r="532" spans="1:24" x14ac:dyDescent="0.2">
      <c r="A532" s="15">
        <f>A531+TIME(0,0,'Raw Data'!B532)</f>
        <v>0</v>
      </c>
      <c r="B532" s="4">
        <f>'Raw Data'!C533*0.025</f>
        <v>0</v>
      </c>
      <c r="C532" s="4">
        <f t="shared" si="24"/>
        <v>0</v>
      </c>
      <c r="D532" s="4">
        <f>'Raw Data'!D533*0.025</f>
        <v>0</v>
      </c>
      <c r="E532" s="4">
        <f t="shared" si="25"/>
        <v>0</v>
      </c>
      <c r="F532" s="4">
        <f>'Raw Data'!E533*0.001648</f>
        <v>0</v>
      </c>
      <c r="G532" s="4">
        <f>'Raw Data'!F533*0.001648</f>
        <v>0</v>
      </c>
      <c r="H532" s="4">
        <f>'Raw Data'!G533*6*0.000128176</f>
        <v>0</v>
      </c>
      <c r="I532" s="4">
        <f>'Raw Data'!H533*0.000732435</f>
        <v>0</v>
      </c>
      <c r="J532" s="4">
        <f t="shared" si="26"/>
        <v>0</v>
      </c>
      <c r="K532" s="36">
        <f>IF(('Raw Data'!I533-16384)/32768&lt;0,0,('Raw Data'!I533-16384)/32768)</f>
        <v>0</v>
      </c>
      <c r="L532" s="4">
        <f>IF(('Raw Data'!J533-12010)/45.6=-263.377192982456,0,('Raw Data'!J533-12010)/45.6)</f>
        <v>0</v>
      </c>
      <c r="M532" s="16">
        <f>'Raw Data'!N533*2^-8</f>
        <v>0</v>
      </c>
      <c r="N532" s="16">
        <f>'Raw Data'!O533*2^-8</f>
        <v>0</v>
      </c>
      <c r="O532" s="17" t="str">
        <f>IF(BITWISE_AND('Raw Data'!$K533, 8192),"X","")</f>
        <v/>
      </c>
      <c r="P532" s="17" t="str">
        <f>IF(BITWISE_AND('Raw Data'!$K533, 2048),"X","")</f>
        <v/>
      </c>
      <c r="Q532" s="17" t="str">
        <f>IF(BITWISE_AND('Raw Data'!$K533, 64),"X","")</f>
        <v/>
      </c>
      <c r="R532" s="18" t="str">
        <f>IF(BITWISE_AND('Raw Data'!$L533, 1024),"X","")</f>
        <v/>
      </c>
      <c r="S532" s="18" t="str">
        <f>IF(BITWISE_AND('Raw Data'!$L533, 512),"X","")</f>
        <v/>
      </c>
      <c r="T532" s="18" t="str">
        <f>IF(BITWISE_AND('Raw Data'!$L533, 256),"X","")</f>
        <v/>
      </c>
      <c r="U532" s="18" t="str">
        <f>IF(BITWISE_AND('Raw Data'!$L533, 64),"X","")</f>
        <v/>
      </c>
      <c r="V532" s="18" t="str">
        <f>IF(BITWISE_AND('Raw Data'!$L533, 2),"X","")</f>
        <v/>
      </c>
      <c r="W532" s="18" t="str">
        <f>IF(BITWISE_AND('Raw Data'!$L533, 1),"X","")</f>
        <v/>
      </c>
      <c r="X532" s="19" t="str">
        <f>IF(BITWISE_AND('Raw Data'!M533, 1),"Bat Voltage", IF(BITWISE_AND('Raw Data'!M533, 2), "Charge Current", IF(BITWISE_AND('Raw Data'!M533, 4),"Input Ilim", IF(BITWISE_AND('Raw Data'!M533, 8), "Input UV", "none"))))</f>
        <v>none</v>
      </c>
    </row>
    <row r="533" spans="1:24" x14ac:dyDescent="0.2">
      <c r="A533" s="15">
        <f>A532+TIME(0,0,'Raw Data'!B533)</f>
        <v>0</v>
      </c>
      <c r="B533" s="4">
        <f>'Raw Data'!C534*0.025</f>
        <v>0</v>
      </c>
      <c r="C533" s="4">
        <f t="shared" ref="C533:C596" si="27">C532+B533/60</f>
        <v>0</v>
      </c>
      <c r="D533" s="4">
        <f>'Raw Data'!D534*0.025</f>
        <v>0</v>
      </c>
      <c r="E533" s="4">
        <f t="shared" ref="E533:E596" si="28">E532+D533/60</f>
        <v>0</v>
      </c>
      <c r="F533" s="4">
        <f>'Raw Data'!E534*0.001648</f>
        <v>0</v>
      </c>
      <c r="G533" s="4">
        <f>'Raw Data'!F534*0.001648</f>
        <v>0</v>
      </c>
      <c r="H533" s="4">
        <f>'Raw Data'!G534*6*0.000128176</f>
        <v>0</v>
      </c>
      <c r="I533" s="4">
        <f>'Raw Data'!H534*0.000732435</f>
        <v>0</v>
      </c>
      <c r="J533" s="4">
        <f t="shared" si="26"/>
        <v>0</v>
      </c>
      <c r="K533" s="36">
        <f>IF(('Raw Data'!I534-16384)/32768&lt;0,0,('Raw Data'!I534-16384)/32768)</f>
        <v>0</v>
      </c>
      <c r="L533" s="4">
        <f>IF(('Raw Data'!J534-12010)/45.6=-263.377192982456,0,('Raw Data'!J534-12010)/45.6)</f>
        <v>0</v>
      </c>
      <c r="M533" s="16">
        <f>'Raw Data'!N534*2^-8</f>
        <v>0</v>
      </c>
      <c r="N533" s="16">
        <f>'Raw Data'!O534*2^-8</f>
        <v>0</v>
      </c>
      <c r="O533" s="17" t="str">
        <f>IF(BITWISE_AND('Raw Data'!$K534, 8192),"X","")</f>
        <v/>
      </c>
      <c r="P533" s="17" t="str">
        <f>IF(BITWISE_AND('Raw Data'!$K534, 2048),"X","")</f>
        <v/>
      </c>
      <c r="Q533" s="17" t="str">
        <f>IF(BITWISE_AND('Raw Data'!$K534, 64),"X","")</f>
        <v/>
      </c>
      <c r="R533" s="18" t="str">
        <f>IF(BITWISE_AND('Raw Data'!$L534, 1024),"X","")</f>
        <v/>
      </c>
      <c r="S533" s="18" t="str">
        <f>IF(BITWISE_AND('Raw Data'!$L534, 512),"X","")</f>
        <v/>
      </c>
      <c r="T533" s="18" t="str">
        <f>IF(BITWISE_AND('Raw Data'!$L534, 256),"X","")</f>
        <v/>
      </c>
      <c r="U533" s="18" t="str">
        <f>IF(BITWISE_AND('Raw Data'!$L534, 64),"X","")</f>
        <v/>
      </c>
      <c r="V533" s="18" t="str">
        <f>IF(BITWISE_AND('Raw Data'!$L534, 2),"X","")</f>
        <v/>
      </c>
      <c r="W533" s="18" t="str">
        <f>IF(BITWISE_AND('Raw Data'!$L534, 1),"X","")</f>
        <v/>
      </c>
      <c r="X533" s="19" t="str">
        <f>IF(BITWISE_AND('Raw Data'!M534, 1),"Bat Voltage", IF(BITWISE_AND('Raw Data'!M534, 2), "Charge Current", IF(BITWISE_AND('Raw Data'!M534, 4),"Input Ilim", IF(BITWISE_AND('Raw Data'!M534, 8), "Input UV", "none"))))</f>
        <v>none</v>
      </c>
    </row>
    <row r="534" spans="1:24" x14ac:dyDescent="0.2">
      <c r="A534" s="15">
        <f>A533+TIME(0,0,'Raw Data'!B534)</f>
        <v>0</v>
      </c>
      <c r="B534" s="4">
        <f>'Raw Data'!C535*0.025</f>
        <v>0</v>
      </c>
      <c r="C534" s="4">
        <f t="shared" si="27"/>
        <v>0</v>
      </c>
      <c r="D534" s="4">
        <f>'Raw Data'!D535*0.025</f>
        <v>0</v>
      </c>
      <c r="E534" s="4">
        <f t="shared" si="28"/>
        <v>0</v>
      </c>
      <c r="F534" s="4">
        <f>'Raw Data'!E535*0.001648</f>
        <v>0</v>
      </c>
      <c r="G534" s="4">
        <f>'Raw Data'!F535*0.001648</f>
        <v>0</v>
      </c>
      <c r="H534" s="4">
        <f>'Raw Data'!G535*6*0.000128176</f>
        <v>0</v>
      </c>
      <c r="I534" s="4">
        <f>'Raw Data'!H535*0.000732435</f>
        <v>0</v>
      </c>
      <c r="J534" s="4">
        <f t="shared" si="26"/>
        <v>0</v>
      </c>
      <c r="K534" s="36">
        <f>IF(('Raw Data'!I535-16384)/32768&lt;0,0,('Raw Data'!I535-16384)/32768)</f>
        <v>0</v>
      </c>
      <c r="L534" s="4">
        <f>IF(('Raw Data'!J535-12010)/45.6=-263.377192982456,0,('Raw Data'!J535-12010)/45.6)</f>
        <v>0</v>
      </c>
      <c r="M534" s="16">
        <f>'Raw Data'!N535*2^-8</f>
        <v>0</v>
      </c>
      <c r="N534" s="16">
        <f>'Raw Data'!O535*2^-8</f>
        <v>0</v>
      </c>
      <c r="O534" s="17" t="str">
        <f>IF(BITWISE_AND('Raw Data'!$K535, 8192),"X","")</f>
        <v/>
      </c>
      <c r="P534" s="17" t="str">
        <f>IF(BITWISE_AND('Raw Data'!$K535, 2048),"X","")</f>
        <v/>
      </c>
      <c r="Q534" s="17" t="str">
        <f>IF(BITWISE_AND('Raw Data'!$K535, 64),"X","")</f>
        <v/>
      </c>
      <c r="R534" s="18" t="str">
        <f>IF(BITWISE_AND('Raw Data'!$L535, 1024),"X","")</f>
        <v/>
      </c>
      <c r="S534" s="18" t="str">
        <f>IF(BITWISE_AND('Raw Data'!$L535, 512),"X","")</f>
        <v/>
      </c>
      <c r="T534" s="18" t="str">
        <f>IF(BITWISE_AND('Raw Data'!$L535, 256),"X","")</f>
        <v/>
      </c>
      <c r="U534" s="18" t="str">
        <f>IF(BITWISE_AND('Raw Data'!$L535, 64),"X","")</f>
        <v/>
      </c>
      <c r="V534" s="18" t="str">
        <f>IF(BITWISE_AND('Raw Data'!$L535, 2),"X","")</f>
        <v/>
      </c>
      <c r="W534" s="18" t="str">
        <f>IF(BITWISE_AND('Raw Data'!$L535, 1),"X","")</f>
        <v/>
      </c>
      <c r="X534" s="19" t="str">
        <f>IF(BITWISE_AND('Raw Data'!M535, 1),"Bat Voltage", IF(BITWISE_AND('Raw Data'!M535, 2), "Charge Current", IF(BITWISE_AND('Raw Data'!M535, 4),"Input Ilim", IF(BITWISE_AND('Raw Data'!M535, 8), "Input UV", "none"))))</f>
        <v>none</v>
      </c>
    </row>
    <row r="535" spans="1:24" x14ac:dyDescent="0.2">
      <c r="A535" s="15">
        <f>A534+TIME(0,0,'Raw Data'!B535)</f>
        <v>0</v>
      </c>
      <c r="B535" s="4">
        <f>'Raw Data'!C536*0.025</f>
        <v>0</v>
      </c>
      <c r="C535" s="4">
        <f t="shared" si="27"/>
        <v>0</v>
      </c>
      <c r="D535" s="4">
        <f>'Raw Data'!D536*0.025</f>
        <v>0</v>
      </c>
      <c r="E535" s="4">
        <f t="shared" si="28"/>
        <v>0</v>
      </c>
      <c r="F535" s="4">
        <f>'Raw Data'!E536*0.001648</f>
        <v>0</v>
      </c>
      <c r="G535" s="4">
        <f>'Raw Data'!F536*0.001648</f>
        <v>0</v>
      </c>
      <c r="H535" s="4">
        <f>'Raw Data'!G536*6*0.000128176</f>
        <v>0</v>
      </c>
      <c r="I535" s="4">
        <f>'Raw Data'!H536*0.000732435</f>
        <v>0</v>
      </c>
      <c r="J535" s="4">
        <f t="shared" si="26"/>
        <v>0</v>
      </c>
      <c r="K535" s="36">
        <f>IF(('Raw Data'!I536-16384)/32768&lt;0,0,('Raw Data'!I536-16384)/32768)</f>
        <v>0</v>
      </c>
      <c r="L535" s="4">
        <f>IF(('Raw Data'!J536-12010)/45.6=-263.377192982456,0,('Raw Data'!J536-12010)/45.6)</f>
        <v>0</v>
      </c>
      <c r="M535" s="16">
        <f>'Raw Data'!N536*2^-8</f>
        <v>0</v>
      </c>
      <c r="N535" s="16">
        <f>'Raw Data'!O536*2^-8</f>
        <v>0</v>
      </c>
      <c r="O535" s="17" t="str">
        <f>IF(BITWISE_AND('Raw Data'!$K536, 8192),"X","")</f>
        <v/>
      </c>
      <c r="P535" s="17" t="str">
        <f>IF(BITWISE_AND('Raw Data'!$K536, 2048),"X","")</f>
        <v/>
      </c>
      <c r="Q535" s="17" t="str">
        <f>IF(BITWISE_AND('Raw Data'!$K536, 64),"X","")</f>
        <v/>
      </c>
      <c r="R535" s="18" t="str">
        <f>IF(BITWISE_AND('Raw Data'!$L536, 1024),"X","")</f>
        <v/>
      </c>
      <c r="S535" s="18" t="str">
        <f>IF(BITWISE_AND('Raw Data'!$L536, 512),"X","")</f>
        <v/>
      </c>
      <c r="T535" s="18" t="str">
        <f>IF(BITWISE_AND('Raw Data'!$L536, 256),"X","")</f>
        <v/>
      </c>
      <c r="U535" s="18" t="str">
        <f>IF(BITWISE_AND('Raw Data'!$L536, 64),"X","")</f>
        <v/>
      </c>
      <c r="V535" s="18" t="str">
        <f>IF(BITWISE_AND('Raw Data'!$L536, 2),"X","")</f>
        <v/>
      </c>
      <c r="W535" s="18" t="str">
        <f>IF(BITWISE_AND('Raw Data'!$L536, 1),"X","")</f>
        <v/>
      </c>
      <c r="X535" s="19" t="str">
        <f>IF(BITWISE_AND('Raw Data'!M536, 1),"Bat Voltage", IF(BITWISE_AND('Raw Data'!M536, 2), "Charge Current", IF(BITWISE_AND('Raw Data'!M536, 4),"Input Ilim", IF(BITWISE_AND('Raw Data'!M536, 8), "Input UV", "none"))))</f>
        <v>none</v>
      </c>
    </row>
    <row r="536" spans="1:24" x14ac:dyDescent="0.2">
      <c r="A536" s="15">
        <f>A535+TIME(0,0,'Raw Data'!B536)</f>
        <v>0</v>
      </c>
      <c r="B536" s="4">
        <f>'Raw Data'!C537*0.025</f>
        <v>0</v>
      </c>
      <c r="C536" s="4">
        <f t="shared" si="27"/>
        <v>0</v>
      </c>
      <c r="D536" s="4">
        <f>'Raw Data'!D537*0.025</f>
        <v>0</v>
      </c>
      <c r="E536" s="4">
        <f t="shared" si="28"/>
        <v>0</v>
      </c>
      <c r="F536" s="4">
        <f>'Raw Data'!E537*0.001648</f>
        <v>0</v>
      </c>
      <c r="G536" s="4">
        <f>'Raw Data'!F537*0.001648</f>
        <v>0</v>
      </c>
      <c r="H536" s="4">
        <f>'Raw Data'!G537*6*0.000128176</f>
        <v>0</v>
      </c>
      <c r="I536" s="4">
        <f>'Raw Data'!H537*0.000732435</f>
        <v>0</v>
      </c>
      <c r="J536" s="4">
        <f t="shared" si="26"/>
        <v>0</v>
      </c>
      <c r="K536" s="36">
        <f>IF(('Raw Data'!I537-16384)/32768&lt;0,0,('Raw Data'!I537-16384)/32768)</f>
        <v>0</v>
      </c>
      <c r="L536" s="4">
        <f>IF(('Raw Data'!J537-12010)/45.6=-263.377192982456,0,('Raw Data'!J537-12010)/45.6)</f>
        <v>0</v>
      </c>
      <c r="M536" s="16">
        <f>'Raw Data'!N537*2^-8</f>
        <v>0</v>
      </c>
      <c r="N536" s="16">
        <f>'Raw Data'!O537*2^-8</f>
        <v>0</v>
      </c>
      <c r="O536" s="17" t="str">
        <f>IF(BITWISE_AND('Raw Data'!$K537, 8192),"X","")</f>
        <v/>
      </c>
      <c r="P536" s="17" t="str">
        <f>IF(BITWISE_AND('Raw Data'!$K537, 2048),"X","")</f>
        <v/>
      </c>
      <c r="Q536" s="17" t="str">
        <f>IF(BITWISE_AND('Raw Data'!$K537, 64),"X","")</f>
        <v/>
      </c>
      <c r="R536" s="18" t="str">
        <f>IF(BITWISE_AND('Raw Data'!$L537, 1024),"X","")</f>
        <v/>
      </c>
      <c r="S536" s="18" t="str">
        <f>IF(BITWISE_AND('Raw Data'!$L537, 512),"X","")</f>
        <v/>
      </c>
      <c r="T536" s="18" t="str">
        <f>IF(BITWISE_AND('Raw Data'!$L537, 256),"X","")</f>
        <v/>
      </c>
      <c r="U536" s="18" t="str">
        <f>IF(BITWISE_AND('Raw Data'!$L537, 64),"X","")</f>
        <v/>
      </c>
      <c r="V536" s="18" t="str">
        <f>IF(BITWISE_AND('Raw Data'!$L537, 2),"X","")</f>
        <v/>
      </c>
      <c r="W536" s="18" t="str">
        <f>IF(BITWISE_AND('Raw Data'!$L537, 1),"X","")</f>
        <v/>
      </c>
      <c r="X536" s="19" t="str">
        <f>IF(BITWISE_AND('Raw Data'!M537, 1),"Bat Voltage", IF(BITWISE_AND('Raw Data'!M537, 2), "Charge Current", IF(BITWISE_AND('Raw Data'!M537, 4),"Input Ilim", IF(BITWISE_AND('Raw Data'!M537, 8), "Input UV", "none"))))</f>
        <v>none</v>
      </c>
    </row>
    <row r="537" spans="1:24" x14ac:dyDescent="0.2">
      <c r="A537" s="15">
        <f>A536+TIME(0,0,'Raw Data'!B537)</f>
        <v>0</v>
      </c>
      <c r="B537" s="4">
        <f>'Raw Data'!C538*0.025</f>
        <v>0</v>
      </c>
      <c r="C537" s="4">
        <f t="shared" si="27"/>
        <v>0</v>
      </c>
      <c r="D537" s="4">
        <f>'Raw Data'!D538*0.025</f>
        <v>0</v>
      </c>
      <c r="E537" s="4">
        <f t="shared" si="28"/>
        <v>0</v>
      </c>
      <c r="F537" s="4">
        <f>'Raw Data'!E538*0.001648</f>
        <v>0</v>
      </c>
      <c r="G537" s="4">
        <f>'Raw Data'!F538*0.001648</f>
        <v>0</v>
      </c>
      <c r="H537" s="4">
        <f>'Raw Data'!G538*6*0.000128176</f>
        <v>0</v>
      </c>
      <c r="I537" s="4">
        <f>'Raw Data'!H538*0.000732435</f>
        <v>0</v>
      </c>
      <c r="J537" s="4">
        <f t="shared" si="26"/>
        <v>0</v>
      </c>
      <c r="K537" s="36">
        <f>IF(('Raw Data'!I538-16384)/32768&lt;0,0,('Raw Data'!I538-16384)/32768)</f>
        <v>0</v>
      </c>
      <c r="L537" s="4">
        <f>IF(('Raw Data'!J538-12010)/45.6=-263.377192982456,0,('Raw Data'!J538-12010)/45.6)</f>
        <v>0</v>
      </c>
      <c r="M537" s="16">
        <f>'Raw Data'!N538*2^-8</f>
        <v>0</v>
      </c>
      <c r="N537" s="16">
        <f>'Raw Data'!O538*2^-8</f>
        <v>0</v>
      </c>
      <c r="O537" s="17" t="str">
        <f>IF(BITWISE_AND('Raw Data'!$K538, 8192),"X","")</f>
        <v/>
      </c>
      <c r="P537" s="17" t="str">
        <f>IF(BITWISE_AND('Raw Data'!$K538, 2048),"X","")</f>
        <v/>
      </c>
      <c r="Q537" s="17" t="str">
        <f>IF(BITWISE_AND('Raw Data'!$K538, 64),"X","")</f>
        <v/>
      </c>
      <c r="R537" s="18" t="str">
        <f>IF(BITWISE_AND('Raw Data'!$L538, 1024),"X","")</f>
        <v/>
      </c>
      <c r="S537" s="18" t="str">
        <f>IF(BITWISE_AND('Raw Data'!$L538, 512),"X","")</f>
        <v/>
      </c>
      <c r="T537" s="18" t="str">
        <f>IF(BITWISE_AND('Raw Data'!$L538, 256),"X","")</f>
        <v/>
      </c>
      <c r="U537" s="18" t="str">
        <f>IF(BITWISE_AND('Raw Data'!$L538, 64),"X","")</f>
        <v/>
      </c>
      <c r="V537" s="18" t="str">
        <f>IF(BITWISE_AND('Raw Data'!$L538, 2),"X","")</f>
        <v/>
      </c>
      <c r="W537" s="18" t="str">
        <f>IF(BITWISE_AND('Raw Data'!$L538, 1),"X","")</f>
        <v/>
      </c>
      <c r="X537" s="19" t="str">
        <f>IF(BITWISE_AND('Raw Data'!M538, 1),"Bat Voltage", IF(BITWISE_AND('Raw Data'!M538, 2), "Charge Current", IF(BITWISE_AND('Raw Data'!M538, 4),"Input Ilim", IF(BITWISE_AND('Raw Data'!M538, 8), "Input UV", "none"))))</f>
        <v>none</v>
      </c>
    </row>
    <row r="538" spans="1:24" x14ac:dyDescent="0.2">
      <c r="A538" s="15">
        <f>A537+TIME(0,0,'Raw Data'!B538)</f>
        <v>0</v>
      </c>
      <c r="B538" s="4">
        <f>'Raw Data'!C539*0.025</f>
        <v>0</v>
      </c>
      <c r="C538" s="4">
        <f t="shared" si="27"/>
        <v>0</v>
      </c>
      <c r="D538" s="4">
        <f>'Raw Data'!D539*0.025</f>
        <v>0</v>
      </c>
      <c r="E538" s="4">
        <f t="shared" si="28"/>
        <v>0</v>
      </c>
      <c r="F538" s="4">
        <f>'Raw Data'!E539*0.001648</f>
        <v>0</v>
      </c>
      <c r="G538" s="4">
        <f>'Raw Data'!F539*0.001648</f>
        <v>0</v>
      </c>
      <c r="H538" s="4">
        <f>'Raw Data'!G539*6*0.000128176</f>
        <v>0</v>
      </c>
      <c r="I538" s="4">
        <f>'Raw Data'!H539*0.000732435</f>
        <v>0</v>
      </c>
      <c r="J538" s="4">
        <f t="shared" si="26"/>
        <v>0</v>
      </c>
      <c r="K538" s="36">
        <f>IF(('Raw Data'!I539-16384)/32768&lt;0,0,('Raw Data'!I539-16384)/32768)</f>
        <v>0</v>
      </c>
      <c r="L538" s="4">
        <f>IF(('Raw Data'!J539-12010)/45.6=-263.377192982456,0,('Raw Data'!J539-12010)/45.6)</f>
        <v>0</v>
      </c>
      <c r="M538" s="16">
        <f>'Raw Data'!N539*2^-8</f>
        <v>0</v>
      </c>
      <c r="N538" s="16">
        <f>'Raw Data'!O539*2^-8</f>
        <v>0</v>
      </c>
      <c r="O538" s="17" t="str">
        <f>IF(BITWISE_AND('Raw Data'!$K539, 8192),"X","")</f>
        <v/>
      </c>
      <c r="P538" s="17" t="str">
        <f>IF(BITWISE_AND('Raw Data'!$K539, 2048),"X","")</f>
        <v/>
      </c>
      <c r="Q538" s="17" t="str">
        <f>IF(BITWISE_AND('Raw Data'!$K539, 64),"X","")</f>
        <v/>
      </c>
      <c r="R538" s="18" t="str">
        <f>IF(BITWISE_AND('Raw Data'!$L539, 1024),"X","")</f>
        <v/>
      </c>
      <c r="S538" s="18" t="str">
        <f>IF(BITWISE_AND('Raw Data'!$L539, 512),"X","")</f>
        <v/>
      </c>
      <c r="T538" s="18" t="str">
        <f>IF(BITWISE_AND('Raw Data'!$L539, 256),"X","")</f>
        <v/>
      </c>
      <c r="U538" s="18" t="str">
        <f>IF(BITWISE_AND('Raw Data'!$L539, 64),"X","")</f>
        <v/>
      </c>
      <c r="V538" s="18" t="str">
        <f>IF(BITWISE_AND('Raw Data'!$L539, 2),"X","")</f>
        <v/>
      </c>
      <c r="W538" s="18" t="str">
        <f>IF(BITWISE_AND('Raw Data'!$L539, 1),"X","")</f>
        <v/>
      </c>
      <c r="X538" s="19" t="str">
        <f>IF(BITWISE_AND('Raw Data'!M539, 1),"Bat Voltage", IF(BITWISE_AND('Raw Data'!M539, 2), "Charge Current", IF(BITWISE_AND('Raw Data'!M539, 4),"Input Ilim", IF(BITWISE_AND('Raw Data'!M539, 8), "Input UV", "none"))))</f>
        <v>none</v>
      </c>
    </row>
    <row r="539" spans="1:24" x14ac:dyDescent="0.2">
      <c r="A539" s="15">
        <f>A538+TIME(0,0,'Raw Data'!B539)</f>
        <v>0</v>
      </c>
      <c r="B539" s="4">
        <f>'Raw Data'!C540*0.025</f>
        <v>0</v>
      </c>
      <c r="C539" s="4">
        <f t="shared" si="27"/>
        <v>0</v>
      </c>
      <c r="D539" s="4">
        <f>'Raw Data'!D540*0.025</f>
        <v>0</v>
      </c>
      <c r="E539" s="4">
        <f t="shared" si="28"/>
        <v>0</v>
      </c>
      <c r="F539" s="4">
        <f>'Raw Data'!E540*0.001648</f>
        <v>0</v>
      </c>
      <c r="G539" s="4">
        <f>'Raw Data'!F540*0.001648</f>
        <v>0</v>
      </c>
      <c r="H539" s="4">
        <f>'Raw Data'!G540*6*0.000128176</f>
        <v>0</v>
      </c>
      <c r="I539" s="4">
        <f>'Raw Data'!H540*0.000732435</f>
        <v>0</v>
      </c>
      <c r="J539" s="4">
        <f t="shared" si="26"/>
        <v>0</v>
      </c>
      <c r="K539" s="36">
        <f>IF(('Raw Data'!I540-16384)/32768&lt;0,0,('Raw Data'!I540-16384)/32768)</f>
        <v>0</v>
      </c>
      <c r="L539" s="4">
        <f>IF(('Raw Data'!J540-12010)/45.6=-263.377192982456,0,('Raw Data'!J540-12010)/45.6)</f>
        <v>0</v>
      </c>
      <c r="M539" s="16">
        <f>'Raw Data'!N540*2^-8</f>
        <v>0</v>
      </c>
      <c r="N539" s="16">
        <f>'Raw Data'!O540*2^-8</f>
        <v>0</v>
      </c>
      <c r="O539" s="17" t="str">
        <f>IF(BITWISE_AND('Raw Data'!$K540, 8192),"X","")</f>
        <v/>
      </c>
      <c r="P539" s="17" t="str">
        <f>IF(BITWISE_AND('Raw Data'!$K540, 2048),"X","")</f>
        <v/>
      </c>
      <c r="Q539" s="17" t="str">
        <f>IF(BITWISE_AND('Raw Data'!$K540, 64),"X","")</f>
        <v/>
      </c>
      <c r="R539" s="18" t="str">
        <f>IF(BITWISE_AND('Raw Data'!$L540, 1024),"X","")</f>
        <v/>
      </c>
      <c r="S539" s="18" t="str">
        <f>IF(BITWISE_AND('Raw Data'!$L540, 512),"X","")</f>
        <v/>
      </c>
      <c r="T539" s="18" t="str">
        <f>IF(BITWISE_AND('Raw Data'!$L540, 256),"X","")</f>
        <v/>
      </c>
      <c r="U539" s="18" t="str">
        <f>IF(BITWISE_AND('Raw Data'!$L540, 64),"X","")</f>
        <v/>
      </c>
      <c r="V539" s="18" t="str">
        <f>IF(BITWISE_AND('Raw Data'!$L540, 2),"X","")</f>
        <v/>
      </c>
      <c r="W539" s="18" t="str">
        <f>IF(BITWISE_AND('Raw Data'!$L540, 1),"X","")</f>
        <v/>
      </c>
      <c r="X539" s="19" t="str">
        <f>IF(BITWISE_AND('Raw Data'!M540, 1),"Bat Voltage", IF(BITWISE_AND('Raw Data'!M540, 2), "Charge Current", IF(BITWISE_AND('Raw Data'!M540, 4),"Input Ilim", IF(BITWISE_AND('Raw Data'!M540, 8), "Input UV", "none"))))</f>
        <v>none</v>
      </c>
    </row>
    <row r="540" spans="1:24" x14ac:dyDescent="0.2">
      <c r="A540" s="15">
        <f>A539+TIME(0,0,'Raw Data'!B540)</f>
        <v>0</v>
      </c>
      <c r="B540" s="4">
        <f>'Raw Data'!C541*0.025</f>
        <v>0</v>
      </c>
      <c r="C540" s="4">
        <f t="shared" si="27"/>
        <v>0</v>
      </c>
      <c r="D540" s="4">
        <f>'Raw Data'!D541*0.025</f>
        <v>0</v>
      </c>
      <c r="E540" s="4">
        <f t="shared" si="28"/>
        <v>0</v>
      </c>
      <c r="F540" s="4">
        <f>'Raw Data'!E541*0.001648</f>
        <v>0</v>
      </c>
      <c r="G540" s="4">
        <f>'Raw Data'!F541*0.001648</f>
        <v>0</v>
      </c>
      <c r="H540" s="4">
        <f>'Raw Data'!G541*6*0.000128176</f>
        <v>0</v>
      </c>
      <c r="I540" s="4">
        <f>'Raw Data'!H541*0.000732435</f>
        <v>0</v>
      </c>
      <c r="J540" s="4">
        <f t="shared" si="26"/>
        <v>0</v>
      </c>
      <c r="K540" s="36">
        <f>IF(('Raw Data'!I541-16384)/32768&lt;0,0,('Raw Data'!I541-16384)/32768)</f>
        <v>0</v>
      </c>
      <c r="L540" s="4">
        <f>IF(('Raw Data'!J541-12010)/45.6=-263.377192982456,0,('Raw Data'!J541-12010)/45.6)</f>
        <v>0</v>
      </c>
      <c r="M540" s="16">
        <f>'Raw Data'!N541*2^-8</f>
        <v>0</v>
      </c>
      <c r="N540" s="16">
        <f>'Raw Data'!O541*2^-8</f>
        <v>0</v>
      </c>
      <c r="O540" s="17" t="str">
        <f>IF(BITWISE_AND('Raw Data'!$K541, 8192),"X","")</f>
        <v/>
      </c>
      <c r="P540" s="17" t="str">
        <f>IF(BITWISE_AND('Raw Data'!$K541, 2048),"X","")</f>
        <v/>
      </c>
      <c r="Q540" s="17" t="str">
        <f>IF(BITWISE_AND('Raw Data'!$K541, 64),"X","")</f>
        <v/>
      </c>
      <c r="R540" s="18" t="str">
        <f>IF(BITWISE_AND('Raw Data'!$L541, 1024),"X","")</f>
        <v/>
      </c>
      <c r="S540" s="18" t="str">
        <f>IF(BITWISE_AND('Raw Data'!$L541, 512),"X","")</f>
        <v/>
      </c>
      <c r="T540" s="18" t="str">
        <f>IF(BITWISE_AND('Raw Data'!$L541, 256),"X","")</f>
        <v/>
      </c>
      <c r="U540" s="18" t="str">
        <f>IF(BITWISE_AND('Raw Data'!$L541, 64),"X","")</f>
        <v/>
      </c>
      <c r="V540" s="18" t="str">
        <f>IF(BITWISE_AND('Raw Data'!$L541, 2),"X","")</f>
        <v/>
      </c>
      <c r="W540" s="18" t="str">
        <f>IF(BITWISE_AND('Raw Data'!$L541, 1),"X","")</f>
        <v/>
      </c>
      <c r="X540" s="19" t="str">
        <f>IF(BITWISE_AND('Raw Data'!M541, 1),"Bat Voltage", IF(BITWISE_AND('Raw Data'!M541, 2), "Charge Current", IF(BITWISE_AND('Raw Data'!M541, 4),"Input Ilim", IF(BITWISE_AND('Raw Data'!M541, 8), "Input UV", "none"))))</f>
        <v>none</v>
      </c>
    </row>
    <row r="541" spans="1:24" x14ac:dyDescent="0.2">
      <c r="A541" s="15">
        <f>A540+TIME(0,0,'Raw Data'!B541)</f>
        <v>0</v>
      </c>
      <c r="B541" s="4">
        <f>'Raw Data'!C542*0.025</f>
        <v>0</v>
      </c>
      <c r="C541" s="4">
        <f t="shared" si="27"/>
        <v>0</v>
      </c>
      <c r="D541" s="4">
        <f>'Raw Data'!D542*0.025</f>
        <v>0</v>
      </c>
      <c r="E541" s="4">
        <f t="shared" si="28"/>
        <v>0</v>
      </c>
      <c r="F541" s="4">
        <f>'Raw Data'!E542*0.001648</f>
        <v>0</v>
      </c>
      <c r="G541" s="4">
        <f>'Raw Data'!F542*0.001648</f>
        <v>0</v>
      </c>
      <c r="H541" s="4">
        <f>'Raw Data'!G542*6*0.000128176</f>
        <v>0</v>
      </c>
      <c r="I541" s="4">
        <f>'Raw Data'!H542*0.000732435</f>
        <v>0</v>
      </c>
      <c r="J541" s="4">
        <f t="shared" si="26"/>
        <v>0</v>
      </c>
      <c r="K541" s="36">
        <f>IF(('Raw Data'!I542-16384)/32768&lt;0,0,('Raw Data'!I542-16384)/32768)</f>
        <v>0</v>
      </c>
      <c r="L541" s="4">
        <f>IF(('Raw Data'!J542-12010)/45.6=-263.377192982456,0,('Raw Data'!J542-12010)/45.6)</f>
        <v>0</v>
      </c>
      <c r="M541" s="16">
        <f>'Raw Data'!N542*2^-8</f>
        <v>0</v>
      </c>
      <c r="N541" s="16">
        <f>'Raw Data'!O542*2^-8</f>
        <v>0</v>
      </c>
      <c r="O541" s="17" t="str">
        <f>IF(BITWISE_AND('Raw Data'!$K542, 8192),"X","")</f>
        <v/>
      </c>
      <c r="P541" s="17" t="str">
        <f>IF(BITWISE_AND('Raw Data'!$K542, 2048),"X","")</f>
        <v/>
      </c>
      <c r="Q541" s="17" t="str">
        <f>IF(BITWISE_AND('Raw Data'!$K542, 64),"X","")</f>
        <v/>
      </c>
      <c r="R541" s="18" t="str">
        <f>IF(BITWISE_AND('Raw Data'!$L542, 1024),"X","")</f>
        <v/>
      </c>
      <c r="S541" s="18" t="str">
        <f>IF(BITWISE_AND('Raw Data'!$L542, 512),"X","")</f>
        <v/>
      </c>
      <c r="T541" s="18" t="str">
        <f>IF(BITWISE_AND('Raw Data'!$L542, 256),"X","")</f>
        <v/>
      </c>
      <c r="U541" s="18" t="str">
        <f>IF(BITWISE_AND('Raw Data'!$L542, 64),"X","")</f>
        <v/>
      </c>
      <c r="V541" s="18" t="str">
        <f>IF(BITWISE_AND('Raw Data'!$L542, 2),"X","")</f>
        <v/>
      </c>
      <c r="W541" s="18" t="str">
        <f>IF(BITWISE_AND('Raw Data'!$L542, 1),"X","")</f>
        <v/>
      </c>
      <c r="X541" s="19" t="str">
        <f>IF(BITWISE_AND('Raw Data'!M542, 1),"Bat Voltage", IF(BITWISE_AND('Raw Data'!M542, 2), "Charge Current", IF(BITWISE_AND('Raw Data'!M542, 4),"Input Ilim", IF(BITWISE_AND('Raw Data'!M542, 8), "Input UV", "none"))))</f>
        <v>none</v>
      </c>
    </row>
    <row r="542" spans="1:24" x14ac:dyDescent="0.2">
      <c r="A542" s="15">
        <f>A541+TIME(0,0,'Raw Data'!B542)</f>
        <v>0</v>
      </c>
      <c r="B542" s="4">
        <f>'Raw Data'!C543*0.025</f>
        <v>0</v>
      </c>
      <c r="C542" s="4">
        <f t="shared" si="27"/>
        <v>0</v>
      </c>
      <c r="D542" s="4">
        <f>'Raw Data'!D543*0.025</f>
        <v>0</v>
      </c>
      <c r="E542" s="4">
        <f t="shared" si="28"/>
        <v>0</v>
      </c>
      <c r="F542" s="4">
        <f>'Raw Data'!E543*0.001648</f>
        <v>0</v>
      </c>
      <c r="G542" s="4">
        <f>'Raw Data'!F543*0.001648</f>
        <v>0</v>
      </c>
      <c r="H542" s="4">
        <f>'Raw Data'!G543*6*0.000128176</f>
        <v>0</v>
      </c>
      <c r="I542" s="4">
        <f>'Raw Data'!H543*0.000732435</f>
        <v>0</v>
      </c>
      <c r="J542" s="4">
        <f t="shared" si="26"/>
        <v>0</v>
      </c>
      <c r="K542" s="36">
        <f>IF(('Raw Data'!I543-16384)/32768&lt;0,0,('Raw Data'!I543-16384)/32768)</f>
        <v>0</v>
      </c>
      <c r="L542" s="4">
        <f>IF(('Raw Data'!J543-12010)/45.6=-263.377192982456,0,('Raw Data'!J543-12010)/45.6)</f>
        <v>0</v>
      </c>
      <c r="M542" s="16">
        <f>'Raw Data'!N543*2^-8</f>
        <v>0</v>
      </c>
      <c r="N542" s="16">
        <f>'Raw Data'!O543*2^-8</f>
        <v>0</v>
      </c>
      <c r="O542" s="17" t="str">
        <f>IF(BITWISE_AND('Raw Data'!$K543, 8192),"X","")</f>
        <v/>
      </c>
      <c r="P542" s="17" t="str">
        <f>IF(BITWISE_AND('Raw Data'!$K543, 2048),"X","")</f>
        <v/>
      </c>
      <c r="Q542" s="17" t="str">
        <f>IF(BITWISE_AND('Raw Data'!$K543, 64),"X","")</f>
        <v/>
      </c>
      <c r="R542" s="18" t="str">
        <f>IF(BITWISE_AND('Raw Data'!$L543, 1024),"X","")</f>
        <v/>
      </c>
      <c r="S542" s="18" t="str">
        <f>IF(BITWISE_AND('Raw Data'!$L543, 512),"X","")</f>
        <v/>
      </c>
      <c r="T542" s="18" t="str">
        <f>IF(BITWISE_AND('Raw Data'!$L543, 256),"X","")</f>
        <v/>
      </c>
      <c r="U542" s="18" t="str">
        <f>IF(BITWISE_AND('Raw Data'!$L543, 64),"X","")</f>
        <v/>
      </c>
      <c r="V542" s="18" t="str">
        <f>IF(BITWISE_AND('Raw Data'!$L543, 2),"X","")</f>
        <v/>
      </c>
      <c r="W542" s="18" t="str">
        <f>IF(BITWISE_AND('Raw Data'!$L543, 1),"X","")</f>
        <v/>
      </c>
      <c r="X542" s="19" t="str">
        <f>IF(BITWISE_AND('Raw Data'!M543, 1),"Bat Voltage", IF(BITWISE_AND('Raw Data'!M543, 2), "Charge Current", IF(BITWISE_AND('Raw Data'!M543, 4),"Input Ilim", IF(BITWISE_AND('Raw Data'!M543, 8), "Input UV", "none"))))</f>
        <v>none</v>
      </c>
    </row>
    <row r="543" spans="1:24" x14ac:dyDescent="0.2">
      <c r="A543" s="15">
        <f>A542+TIME(0,0,'Raw Data'!B543)</f>
        <v>0</v>
      </c>
      <c r="B543" s="4">
        <f>'Raw Data'!C544*0.025</f>
        <v>0</v>
      </c>
      <c r="C543" s="4">
        <f t="shared" si="27"/>
        <v>0</v>
      </c>
      <c r="D543" s="4">
        <f>'Raw Data'!D544*0.025</f>
        <v>0</v>
      </c>
      <c r="E543" s="4">
        <f t="shared" si="28"/>
        <v>0</v>
      </c>
      <c r="F543" s="4">
        <f>'Raw Data'!E544*0.001648</f>
        <v>0</v>
      </c>
      <c r="G543" s="4">
        <f>'Raw Data'!F544*0.001648</f>
        <v>0</v>
      </c>
      <c r="H543" s="4">
        <f>'Raw Data'!G544*6*0.000128176</f>
        <v>0</v>
      </c>
      <c r="I543" s="4">
        <f>'Raw Data'!H544*0.000732435</f>
        <v>0</v>
      </c>
      <c r="J543" s="4">
        <f t="shared" si="26"/>
        <v>0</v>
      </c>
      <c r="K543" s="36">
        <f>IF(('Raw Data'!I544-16384)/32768&lt;0,0,('Raw Data'!I544-16384)/32768)</f>
        <v>0</v>
      </c>
      <c r="L543" s="4">
        <f>IF(('Raw Data'!J544-12010)/45.6=-263.377192982456,0,('Raw Data'!J544-12010)/45.6)</f>
        <v>0</v>
      </c>
      <c r="M543" s="16">
        <f>'Raw Data'!N544*2^-8</f>
        <v>0</v>
      </c>
      <c r="N543" s="16">
        <f>'Raw Data'!O544*2^-8</f>
        <v>0</v>
      </c>
      <c r="O543" s="17" t="str">
        <f>IF(BITWISE_AND('Raw Data'!$K544, 8192),"X","")</f>
        <v/>
      </c>
      <c r="P543" s="17" t="str">
        <f>IF(BITWISE_AND('Raw Data'!$K544, 2048),"X","")</f>
        <v/>
      </c>
      <c r="Q543" s="17" t="str">
        <f>IF(BITWISE_AND('Raw Data'!$K544, 64),"X","")</f>
        <v/>
      </c>
      <c r="R543" s="18" t="str">
        <f>IF(BITWISE_AND('Raw Data'!$L544, 1024),"X","")</f>
        <v/>
      </c>
      <c r="S543" s="18" t="str">
        <f>IF(BITWISE_AND('Raw Data'!$L544, 512),"X","")</f>
        <v/>
      </c>
      <c r="T543" s="18" t="str">
        <f>IF(BITWISE_AND('Raw Data'!$L544, 256),"X","")</f>
        <v/>
      </c>
      <c r="U543" s="18" t="str">
        <f>IF(BITWISE_AND('Raw Data'!$L544, 64),"X","")</f>
        <v/>
      </c>
      <c r="V543" s="18" t="str">
        <f>IF(BITWISE_AND('Raw Data'!$L544, 2),"X","")</f>
        <v/>
      </c>
      <c r="W543" s="18" t="str">
        <f>IF(BITWISE_AND('Raw Data'!$L544, 1),"X","")</f>
        <v/>
      </c>
      <c r="X543" s="19" t="str">
        <f>IF(BITWISE_AND('Raw Data'!M544, 1),"Bat Voltage", IF(BITWISE_AND('Raw Data'!M544, 2), "Charge Current", IF(BITWISE_AND('Raw Data'!M544, 4),"Input Ilim", IF(BITWISE_AND('Raw Data'!M544, 8), "Input UV", "none"))))</f>
        <v>none</v>
      </c>
    </row>
    <row r="544" spans="1:24" x14ac:dyDescent="0.2">
      <c r="A544" s="15">
        <f>A543+TIME(0,0,'Raw Data'!B544)</f>
        <v>0</v>
      </c>
      <c r="B544" s="4">
        <f>'Raw Data'!C545*0.025</f>
        <v>0</v>
      </c>
      <c r="C544" s="4">
        <f t="shared" si="27"/>
        <v>0</v>
      </c>
      <c r="D544" s="4">
        <f>'Raw Data'!D545*0.025</f>
        <v>0</v>
      </c>
      <c r="E544" s="4">
        <f t="shared" si="28"/>
        <v>0</v>
      </c>
      <c r="F544" s="4">
        <f>'Raw Data'!E545*0.001648</f>
        <v>0</v>
      </c>
      <c r="G544" s="4">
        <f>'Raw Data'!F545*0.001648</f>
        <v>0</v>
      </c>
      <c r="H544" s="4">
        <f>'Raw Data'!G545*6*0.000128176</f>
        <v>0</v>
      </c>
      <c r="I544" s="4">
        <f>'Raw Data'!H545*0.000732435</f>
        <v>0</v>
      </c>
      <c r="J544" s="4">
        <f t="shared" si="26"/>
        <v>0</v>
      </c>
      <c r="K544" s="36">
        <f>IF(('Raw Data'!I545-16384)/32768&lt;0,0,('Raw Data'!I545-16384)/32768)</f>
        <v>0</v>
      </c>
      <c r="L544" s="4">
        <f>IF(('Raw Data'!J545-12010)/45.6=-263.377192982456,0,('Raw Data'!J545-12010)/45.6)</f>
        <v>0</v>
      </c>
      <c r="M544" s="16">
        <f>'Raw Data'!N545*2^-8</f>
        <v>0</v>
      </c>
      <c r="N544" s="16">
        <f>'Raw Data'!O545*2^-8</f>
        <v>0</v>
      </c>
      <c r="O544" s="17" t="str">
        <f>IF(BITWISE_AND('Raw Data'!$K545, 8192),"X","")</f>
        <v/>
      </c>
      <c r="P544" s="17" t="str">
        <f>IF(BITWISE_AND('Raw Data'!$K545, 2048),"X","")</f>
        <v/>
      </c>
      <c r="Q544" s="17" t="str">
        <f>IF(BITWISE_AND('Raw Data'!$K545, 64),"X","")</f>
        <v/>
      </c>
      <c r="R544" s="18" t="str">
        <f>IF(BITWISE_AND('Raw Data'!$L545, 1024),"X","")</f>
        <v/>
      </c>
      <c r="S544" s="18" t="str">
        <f>IF(BITWISE_AND('Raw Data'!$L545, 512),"X","")</f>
        <v/>
      </c>
      <c r="T544" s="18" t="str">
        <f>IF(BITWISE_AND('Raw Data'!$L545, 256),"X","")</f>
        <v/>
      </c>
      <c r="U544" s="18" t="str">
        <f>IF(BITWISE_AND('Raw Data'!$L545, 64),"X","")</f>
        <v/>
      </c>
      <c r="V544" s="18" t="str">
        <f>IF(BITWISE_AND('Raw Data'!$L545, 2),"X","")</f>
        <v/>
      </c>
      <c r="W544" s="18" t="str">
        <f>IF(BITWISE_AND('Raw Data'!$L545, 1),"X","")</f>
        <v/>
      </c>
      <c r="X544" s="19" t="str">
        <f>IF(BITWISE_AND('Raw Data'!M545, 1),"Bat Voltage", IF(BITWISE_AND('Raw Data'!M545, 2), "Charge Current", IF(BITWISE_AND('Raw Data'!M545, 4),"Input Ilim", IF(BITWISE_AND('Raw Data'!M545, 8), "Input UV", "none"))))</f>
        <v>none</v>
      </c>
    </row>
    <row r="545" spans="1:24" x14ac:dyDescent="0.2">
      <c r="A545" s="15">
        <f>A544+TIME(0,0,'Raw Data'!B545)</f>
        <v>0</v>
      </c>
      <c r="B545" s="4">
        <f>'Raw Data'!C546*0.025</f>
        <v>0</v>
      </c>
      <c r="C545" s="4">
        <f t="shared" si="27"/>
        <v>0</v>
      </c>
      <c r="D545" s="4">
        <f>'Raw Data'!D546*0.025</f>
        <v>0</v>
      </c>
      <c r="E545" s="4">
        <f t="shared" si="28"/>
        <v>0</v>
      </c>
      <c r="F545" s="4">
        <f>'Raw Data'!E546*0.001648</f>
        <v>0</v>
      </c>
      <c r="G545" s="4">
        <f>'Raw Data'!F546*0.001648</f>
        <v>0</v>
      </c>
      <c r="H545" s="4">
        <f>'Raw Data'!G546*6*0.000128176</f>
        <v>0</v>
      </c>
      <c r="I545" s="4">
        <f>'Raw Data'!H546*0.000732435</f>
        <v>0</v>
      </c>
      <c r="J545" s="4">
        <f t="shared" si="26"/>
        <v>0</v>
      </c>
      <c r="K545" s="36">
        <f>IF(('Raw Data'!I546-16384)/32768&lt;0,0,('Raw Data'!I546-16384)/32768)</f>
        <v>0</v>
      </c>
      <c r="L545" s="4">
        <f>IF(('Raw Data'!J546-12010)/45.6=-263.377192982456,0,('Raw Data'!J546-12010)/45.6)</f>
        <v>0</v>
      </c>
      <c r="M545" s="16">
        <f>'Raw Data'!N546*2^-8</f>
        <v>0</v>
      </c>
      <c r="N545" s="16">
        <f>'Raw Data'!O546*2^-8</f>
        <v>0</v>
      </c>
      <c r="O545" s="17" t="str">
        <f>IF(BITWISE_AND('Raw Data'!$K546, 8192),"X","")</f>
        <v/>
      </c>
      <c r="P545" s="17" t="str">
        <f>IF(BITWISE_AND('Raw Data'!$K546, 2048),"X","")</f>
        <v/>
      </c>
      <c r="Q545" s="17" t="str">
        <f>IF(BITWISE_AND('Raw Data'!$K546, 64),"X","")</f>
        <v/>
      </c>
      <c r="R545" s="18" t="str">
        <f>IF(BITWISE_AND('Raw Data'!$L546, 1024),"X","")</f>
        <v/>
      </c>
      <c r="S545" s="18" t="str">
        <f>IF(BITWISE_AND('Raw Data'!$L546, 512),"X","")</f>
        <v/>
      </c>
      <c r="T545" s="18" t="str">
        <f>IF(BITWISE_AND('Raw Data'!$L546, 256),"X","")</f>
        <v/>
      </c>
      <c r="U545" s="18" t="str">
        <f>IF(BITWISE_AND('Raw Data'!$L546, 64),"X","")</f>
        <v/>
      </c>
      <c r="V545" s="18" t="str">
        <f>IF(BITWISE_AND('Raw Data'!$L546, 2),"X","")</f>
        <v/>
      </c>
      <c r="W545" s="18" t="str">
        <f>IF(BITWISE_AND('Raw Data'!$L546, 1),"X","")</f>
        <v/>
      </c>
      <c r="X545" s="19" t="str">
        <f>IF(BITWISE_AND('Raw Data'!M546, 1),"Bat Voltage", IF(BITWISE_AND('Raw Data'!M546, 2), "Charge Current", IF(BITWISE_AND('Raw Data'!M546, 4),"Input Ilim", IF(BITWISE_AND('Raw Data'!M546, 8), "Input UV", "none"))))</f>
        <v>none</v>
      </c>
    </row>
    <row r="546" spans="1:24" x14ac:dyDescent="0.2">
      <c r="A546" s="15">
        <f>A545+TIME(0,0,'Raw Data'!B546)</f>
        <v>0</v>
      </c>
      <c r="B546" s="4">
        <f>'Raw Data'!C547*0.025</f>
        <v>0</v>
      </c>
      <c r="C546" s="4">
        <f t="shared" si="27"/>
        <v>0</v>
      </c>
      <c r="D546" s="4">
        <f>'Raw Data'!D547*0.025</f>
        <v>0</v>
      </c>
      <c r="E546" s="4">
        <f t="shared" si="28"/>
        <v>0</v>
      </c>
      <c r="F546" s="4">
        <f>'Raw Data'!E547*0.001648</f>
        <v>0</v>
      </c>
      <c r="G546" s="4">
        <f>'Raw Data'!F547*0.001648</f>
        <v>0</v>
      </c>
      <c r="H546" s="4">
        <f>'Raw Data'!G547*6*0.000128176</f>
        <v>0</v>
      </c>
      <c r="I546" s="4">
        <f>'Raw Data'!H547*0.000732435</f>
        <v>0</v>
      </c>
      <c r="J546" s="4">
        <f t="shared" si="26"/>
        <v>0</v>
      </c>
      <c r="K546" s="36">
        <f>IF(('Raw Data'!I547-16384)/32768&lt;0,0,('Raw Data'!I547-16384)/32768)</f>
        <v>0</v>
      </c>
      <c r="L546" s="4">
        <f>IF(('Raw Data'!J547-12010)/45.6=-263.377192982456,0,('Raw Data'!J547-12010)/45.6)</f>
        <v>0</v>
      </c>
      <c r="M546" s="16">
        <f>'Raw Data'!N547*2^-8</f>
        <v>0</v>
      </c>
      <c r="N546" s="16">
        <f>'Raw Data'!O547*2^-8</f>
        <v>0</v>
      </c>
      <c r="O546" s="17" t="str">
        <f>IF(BITWISE_AND('Raw Data'!$K547, 8192),"X","")</f>
        <v/>
      </c>
      <c r="P546" s="17" t="str">
        <f>IF(BITWISE_AND('Raw Data'!$K547, 2048),"X","")</f>
        <v/>
      </c>
      <c r="Q546" s="17" t="str">
        <f>IF(BITWISE_AND('Raw Data'!$K547, 64),"X","")</f>
        <v/>
      </c>
      <c r="R546" s="18" t="str">
        <f>IF(BITWISE_AND('Raw Data'!$L547, 1024),"X","")</f>
        <v/>
      </c>
      <c r="S546" s="18" t="str">
        <f>IF(BITWISE_AND('Raw Data'!$L547, 512),"X","")</f>
        <v/>
      </c>
      <c r="T546" s="18" t="str">
        <f>IF(BITWISE_AND('Raw Data'!$L547, 256),"X","")</f>
        <v/>
      </c>
      <c r="U546" s="18" t="str">
        <f>IF(BITWISE_AND('Raw Data'!$L547, 64),"X","")</f>
        <v/>
      </c>
      <c r="V546" s="18" t="str">
        <f>IF(BITWISE_AND('Raw Data'!$L547, 2),"X","")</f>
        <v/>
      </c>
      <c r="W546" s="18" t="str">
        <f>IF(BITWISE_AND('Raw Data'!$L547, 1),"X","")</f>
        <v/>
      </c>
      <c r="X546" s="19" t="str">
        <f>IF(BITWISE_AND('Raw Data'!M547, 1),"Bat Voltage", IF(BITWISE_AND('Raw Data'!M547, 2), "Charge Current", IF(BITWISE_AND('Raw Data'!M547, 4),"Input Ilim", IF(BITWISE_AND('Raw Data'!M547, 8), "Input UV", "none"))))</f>
        <v>none</v>
      </c>
    </row>
    <row r="547" spans="1:24" x14ac:dyDescent="0.2">
      <c r="A547" s="15">
        <f>A546+TIME(0,0,'Raw Data'!B547)</f>
        <v>0</v>
      </c>
      <c r="B547" s="4">
        <f>'Raw Data'!C548*0.025</f>
        <v>0</v>
      </c>
      <c r="C547" s="4">
        <f t="shared" si="27"/>
        <v>0</v>
      </c>
      <c r="D547" s="4">
        <f>'Raw Data'!D548*0.025</f>
        <v>0</v>
      </c>
      <c r="E547" s="4">
        <f t="shared" si="28"/>
        <v>0</v>
      </c>
      <c r="F547" s="4">
        <f>'Raw Data'!E548*0.001648</f>
        <v>0</v>
      </c>
      <c r="G547" s="4">
        <f>'Raw Data'!F548*0.001648</f>
        <v>0</v>
      </c>
      <c r="H547" s="4">
        <f>'Raw Data'!G548*6*0.000128176</f>
        <v>0</v>
      </c>
      <c r="I547" s="4">
        <f>'Raw Data'!H548*0.000732435</f>
        <v>0</v>
      </c>
      <c r="J547" s="4">
        <f t="shared" si="26"/>
        <v>0</v>
      </c>
      <c r="K547" s="36">
        <f>IF(('Raw Data'!I548-16384)/32768&lt;0,0,('Raw Data'!I548-16384)/32768)</f>
        <v>0</v>
      </c>
      <c r="L547" s="4">
        <f>IF(('Raw Data'!J548-12010)/45.6=-263.377192982456,0,('Raw Data'!J548-12010)/45.6)</f>
        <v>0</v>
      </c>
      <c r="M547" s="16">
        <f>'Raw Data'!N548*2^-8</f>
        <v>0</v>
      </c>
      <c r="N547" s="16">
        <f>'Raw Data'!O548*2^-8</f>
        <v>0</v>
      </c>
      <c r="O547" s="17" t="str">
        <f>IF(BITWISE_AND('Raw Data'!$K548, 8192),"X","")</f>
        <v/>
      </c>
      <c r="P547" s="17" t="str">
        <f>IF(BITWISE_AND('Raw Data'!$K548, 2048),"X","")</f>
        <v/>
      </c>
      <c r="Q547" s="17" t="str">
        <f>IF(BITWISE_AND('Raw Data'!$K548, 64),"X","")</f>
        <v/>
      </c>
      <c r="R547" s="18" t="str">
        <f>IF(BITWISE_AND('Raw Data'!$L548, 1024),"X","")</f>
        <v/>
      </c>
      <c r="S547" s="18" t="str">
        <f>IF(BITWISE_AND('Raw Data'!$L548, 512),"X","")</f>
        <v/>
      </c>
      <c r="T547" s="18" t="str">
        <f>IF(BITWISE_AND('Raw Data'!$L548, 256),"X","")</f>
        <v/>
      </c>
      <c r="U547" s="18" t="str">
        <f>IF(BITWISE_AND('Raw Data'!$L548, 64),"X","")</f>
        <v/>
      </c>
      <c r="V547" s="18" t="str">
        <f>IF(BITWISE_AND('Raw Data'!$L548, 2),"X","")</f>
        <v/>
      </c>
      <c r="W547" s="18" t="str">
        <f>IF(BITWISE_AND('Raw Data'!$L548, 1),"X","")</f>
        <v/>
      </c>
      <c r="X547" s="19" t="str">
        <f>IF(BITWISE_AND('Raw Data'!M548, 1),"Bat Voltage", IF(BITWISE_AND('Raw Data'!M548, 2), "Charge Current", IF(BITWISE_AND('Raw Data'!M548, 4),"Input Ilim", IF(BITWISE_AND('Raw Data'!M548, 8), "Input UV", "none"))))</f>
        <v>none</v>
      </c>
    </row>
    <row r="548" spans="1:24" x14ac:dyDescent="0.2">
      <c r="A548" s="15">
        <f>A547+TIME(0,0,'Raw Data'!B548)</f>
        <v>0</v>
      </c>
      <c r="B548" s="4">
        <f>'Raw Data'!C549*0.025</f>
        <v>0</v>
      </c>
      <c r="C548" s="4">
        <f t="shared" si="27"/>
        <v>0</v>
      </c>
      <c r="D548" s="4">
        <f>'Raw Data'!D549*0.025</f>
        <v>0</v>
      </c>
      <c r="E548" s="4">
        <f t="shared" si="28"/>
        <v>0</v>
      </c>
      <c r="F548" s="4">
        <f>'Raw Data'!E549*0.001648</f>
        <v>0</v>
      </c>
      <c r="G548" s="4">
        <f>'Raw Data'!F549*0.001648</f>
        <v>0</v>
      </c>
      <c r="H548" s="4">
        <f>'Raw Data'!G549*6*0.000128176</f>
        <v>0</v>
      </c>
      <c r="I548" s="4">
        <f>'Raw Data'!H549*0.000732435</f>
        <v>0</v>
      </c>
      <c r="J548" s="4">
        <f t="shared" si="26"/>
        <v>0</v>
      </c>
      <c r="K548" s="36">
        <f>IF(('Raw Data'!I549-16384)/32768&lt;0,0,('Raw Data'!I549-16384)/32768)</f>
        <v>0</v>
      </c>
      <c r="L548" s="4">
        <f>IF(('Raw Data'!J549-12010)/45.6=-263.377192982456,0,('Raw Data'!J549-12010)/45.6)</f>
        <v>0</v>
      </c>
      <c r="M548" s="16">
        <f>'Raw Data'!N549*2^-8</f>
        <v>0</v>
      </c>
      <c r="N548" s="16">
        <f>'Raw Data'!O549*2^-8</f>
        <v>0</v>
      </c>
      <c r="O548" s="17" t="str">
        <f>IF(BITWISE_AND('Raw Data'!$K549, 8192),"X","")</f>
        <v/>
      </c>
      <c r="P548" s="17" t="str">
        <f>IF(BITWISE_AND('Raw Data'!$K549, 2048),"X","")</f>
        <v/>
      </c>
      <c r="Q548" s="17" t="str">
        <f>IF(BITWISE_AND('Raw Data'!$K549, 64),"X","")</f>
        <v/>
      </c>
      <c r="R548" s="18" t="str">
        <f>IF(BITWISE_AND('Raw Data'!$L549, 1024),"X","")</f>
        <v/>
      </c>
      <c r="S548" s="18" t="str">
        <f>IF(BITWISE_AND('Raw Data'!$L549, 512),"X","")</f>
        <v/>
      </c>
      <c r="T548" s="18" t="str">
        <f>IF(BITWISE_AND('Raw Data'!$L549, 256),"X","")</f>
        <v/>
      </c>
      <c r="U548" s="18" t="str">
        <f>IF(BITWISE_AND('Raw Data'!$L549, 64),"X","")</f>
        <v/>
      </c>
      <c r="V548" s="18" t="str">
        <f>IF(BITWISE_AND('Raw Data'!$L549, 2),"X","")</f>
        <v/>
      </c>
      <c r="W548" s="18" t="str">
        <f>IF(BITWISE_AND('Raw Data'!$L549, 1),"X","")</f>
        <v/>
      </c>
      <c r="X548" s="19" t="str">
        <f>IF(BITWISE_AND('Raw Data'!M549, 1),"Bat Voltage", IF(BITWISE_AND('Raw Data'!M549, 2), "Charge Current", IF(BITWISE_AND('Raw Data'!M549, 4),"Input Ilim", IF(BITWISE_AND('Raw Data'!M549, 8), "Input UV", "none"))))</f>
        <v>none</v>
      </c>
    </row>
    <row r="549" spans="1:24" x14ac:dyDescent="0.2">
      <c r="A549" s="15">
        <f>A548+TIME(0,0,'Raw Data'!B549)</f>
        <v>0</v>
      </c>
      <c r="B549" s="4">
        <f>'Raw Data'!C550*0.025</f>
        <v>0</v>
      </c>
      <c r="C549" s="4">
        <f t="shared" si="27"/>
        <v>0</v>
      </c>
      <c r="D549" s="4">
        <f>'Raw Data'!D550*0.025</f>
        <v>0</v>
      </c>
      <c r="E549" s="4">
        <f t="shared" si="28"/>
        <v>0</v>
      </c>
      <c r="F549" s="4">
        <f>'Raw Data'!E550*0.001648</f>
        <v>0</v>
      </c>
      <c r="G549" s="4">
        <f>'Raw Data'!F550*0.001648</f>
        <v>0</v>
      </c>
      <c r="H549" s="4">
        <f>'Raw Data'!G550*6*0.000128176</f>
        <v>0</v>
      </c>
      <c r="I549" s="4">
        <f>'Raw Data'!H550*0.000732435</f>
        <v>0</v>
      </c>
      <c r="J549" s="4">
        <f t="shared" si="26"/>
        <v>0</v>
      </c>
      <c r="K549" s="36">
        <f>IF(('Raw Data'!I550-16384)/32768&lt;0,0,('Raw Data'!I550-16384)/32768)</f>
        <v>0</v>
      </c>
      <c r="L549" s="4">
        <f>IF(('Raw Data'!J550-12010)/45.6=-263.377192982456,0,('Raw Data'!J550-12010)/45.6)</f>
        <v>0</v>
      </c>
      <c r="M549" s="16">
        <f>'Raw Data'!N550*2^-8</f>
        <v>0</v>
      </c>
      <c r="N549" s="16">
        <f>'Raw Data'!O550*2^-8</f>
        <v>0</v>
      </c>
      <c r="O549" s="17" t="str">
        <f>IF(BITWISE_AND('Raw Data'!$K550, 8192),"X","")</f>
        <v/>
      </c>
      <c r="P549" s="17" t="str">
        <f>IF(BITWISE_AND('Raw Data'!$K550, 2048),"X","")</f>
        <v/>
      </c>
      <c r="Q549" s="17" t="str">
        <f>IF(BITWISE_AND('Raw Data'!$K550, 64),"X","")</f>
        <v/>
      </c>
      <c r="R549" s="18" t="str">
        <f>IF(BITWISE_AND('Raw Data'!$L550, 1024),"X","")</f>
        <v/>
      </c>
      <c r="S549" s="18" t="str">
        <f>IF(BITWISE_AND('Raw Data'!$L550, 512),"X","")</f>
        <v/>
      </c>
      <c r="T549" s="18" t="str">
        <f>IF(BITWISE_AND('Raw Data'!$L550, 256),"X","")</f>
        <v/>
      </c>
      <c r="U549" s="18" t="str">
        <f>IF(BITWISE_AND('Raw Data'!$L550, 64),"X","")</f>
        <v/>
      </c>
      <c r="V549" s="18" t="str">
        <f>IF(BITWISE_AND('Raw Data'!$L550, 2),"X","")</f>
        <v/>
      </c>
      <c r="W549" s="18" t="str">
        <f>IF(BITWISE_AND('Raw Data'!$L550, 1),"X","")</f>
        <v/>
      </c>
      <c r="X549" s="19" t="str">
        <f>IF(BITWISE_AND('Raw Data'!M550, 1),"Bat Voltage", IF(BITWISE_AND('Raw Data'!M550, 2), "Charge Current", IF(BITWISE_AND('Raw Data'!M550, 4),"Input Ilim", IF(BITWISE_AND('Raw Data'!M550, 8), "Input UV", "none"))))</f>
        <v>none</v>
      </c>
    </row>
    <row r="550" spans="1:24" x14ac:dyDescent="0.2">
      <c r="A550" s="15">
        <f>A549+TIME(0,0,'Raw Data'!B550)</f>
        <v>0</v>
      </c>
      <c r="B550" s="4">
        <f>'Raw Data'!C551*0.025</f>
        <v>0</v>
      </c>
      <c r="C550" s="4">
        <f t="shared" si="27"/>
        <v>0</v>
      </c>
      <c r="D550" s="4">
        <f>'Raw Data'!D551*0.025</f>
        <v>0</v>
      </c>
      <c r="E550" s="4">
        <f t="shared" si="28"/>
        <v>0</v>
      </c>
      <c r="F550" s="4">
        <f>'Raw Data'!E551*0.001648</f>
        <v>0</v>
      </c>
      <c r="G550" s="4">
        <f>'Raw Data'!F551*0.001648</f>
        <v>0</v>
      </c>
      <c r="H550" s="4">
        <f>'Raw Data'!G551*6*0.000128176</f>
        <v>0</v>
      </c>
      <c r="I550" s="4">
        <f>'Raw Data'!H551*0.000732435</f>
        <v>0</v>
      </c>
      <c r="J550" s="4">
        <f t="shared" si="26"/>
        <v>0</v>
      </c>
      <c r="K550" s="36">
        <f>IF(('Raw Data'!I551-16384)/32768&lt;0,0,('Raw Data'!I551-16384)/32768)</f>
        <v>0</v>
      </c>
      <c r="L550" s="4">
        <f>IF(('Raw Data'!J551-12010)/45.6=-263.377192982456,0,('Raw Data'!J551-12010)/45.6)</f>
        <v>0</v>
      </c>
      <c r="M550" s="16">
        <f>'Raw Data'!N551*2^-8</f>
        <v>0</v>
      </c>
      <c r="N550" s="16">
        <f>'Raw Data'!O551*2^-8</f>
        <v>0</v>
      </c>
      <c r="O550" s="17" t="str">
        <f>IF(BITWISE_AND('Raw Data'!$K551, 8192),"X","")</f>
        <v/>
      </c>
      <c r="P550" s="17" t="str">
        <f>IF(BITWISE_AND('Raw Data'!$K551, 2048),"X","")</f>
        <v/>
      </c>
      <c r="Q550" s="17" t="str">
        <f>IF(BITWISE_AND('Raw Data'!$K551, 64),"X","")</f>
        <v/>
      </c>
      <c r="R550" s="18" t="str">
        <f>IF(BITWISE_AND('Raw Data'!$L551, 1024),"X","")</f>
        <v/>
      </c>
      <c r="S550" s="18" t="str">
        <f>IF(BITWISE_AND('Raw Data'!$L551, 512),"X","")</f>
        <v/>
      </c>
      <c r="T550" s="18" t="str">
        <f>IF(BITWISE_AND('Raw Data'!$L551, 256),"X","")</f>
        <v/>
      </c>
      <c r="U550" s="18" t="str">
        <f>IF(BITWISE_AND('Raw Data'!$L551, 64),"X","")</f>
        <v/>
      </c>
      <c r="V550" s="18" t="str">
        <f>IF(BITWISE_AND('Raw Data'!$L551, 2),"X","")</f>
        <v/>
      </c>
      <c r="W550" s="18" t="str">
        <f>IF(BITWISE_AND('Raw Data'!$L551, 1),"X","")</f>
        <v/>
      </c>
      <c r="X550" s="19" t="str">
        <f>IF(BITWISE_AND('Raw Data'!M551, 1),"Bat Voltage", IF(BITWISE_AND('Raw Data'!M551, 2), "Charge Current", IF(BITWISE_AND('Raw Data'!M551, 4),"Input Ilim", IF(BITWISE_AND('Raw Data'!M551, 8), "Input UV", "none"))))</f>
        <v>none</v>
      </c>
    </row>
    <row r="551" spans="1:24" x14ac:dyDescent="0.2">
      <c r="A551" s="15">
        <f>A550+TIME(0,0,'Raw Data'!B551)</f>
        <v>0</v>
      </c>
      <c r="B551" s="4">
        <f>'Raw Data'!C552*0.025</f>
        <v>0</v>
      </c>
      <c r="C551" s="4">
        <f t="shared" si="27"/>
        <v>0</v>
      </c>
      <c r="D551" s="4">
        <f>'Raw Data'!D552*0.025</f>
        <v>0</v>
      </c>
      <c r="E551" s="4">
        <f t="shared" si="28"/>
        <v>0</v>
      </c>
      <c r="F551" s="4">
        <f>'Raw Data'!E552*0.001648</f>
        <v>0</v>
      </c>
      <c r="G551" s="4">
        <f>'Raw Data'!F552*0.001648</f>
        <v>0</v>
      </c>
      <c r="H551" s="4">
        <f>'Raw Data'!G552*6*0.000128176</f>
        <v>0</v>
      </c>
      <c r="I551" s="4">
        <f>'Raw Data'!H552*0.000732435</f>
        <v>0</v>
      </c>
      <c r="J551" s="4">
        <f t="shared" si="26"/>
        <v>0</v>
      </c>
      <c r="K551" s="36">
        <f>IF(('Raw Data'!I552-16384)/32768&lt;0,0,('Raw Data'!I552-16384)/32768)</f>
        <v>0</v>
      </c>
      <c r="L551" s="4">
        <f>IF(('Raw Data'!J552-12010)/45.6=-263.377192982456,0,('Raw Data'!J552-12010)/45.6)</f>
        <v>0</v>
      </c>
      <c r="M551" s="16">
        <f>'Raw Data'!N552*2^-8</f>
        <v>0</v>
      </c>
      <c r="N551" s="16">
        <f>'Raw Data'!O552*2^-8</f>
        <v>0</v>
      </c>
      <c r="O551" s="17" t="str">
        <f>IF(BITWISE_AND('Raw Data'!$K552, 8192),"X","")</f>
        <v/>
      </c>
      <c r="P551" s="17" t="str">
        <f>IF(BITWISE_AND('Raw Data'!$K552, 2048),"X","")</f>
        <v/>
      </c>
      <c r="Q551" s="17" t="str">
        <f>IF(BITWISE_AND('Raw Data'!$K552, 64),"X","")</f>
        <v/>
      </c>
      <c r="R551" s="18" t="str">
        <f>IF(BITWISE_AND('Raw Data'!$L552, 1024),"X","")</f>
        <v/>
      </c>
      <c r="S551" s="18" t="str">
        <f>IF(BITWISE_AND('Raw Data'!$L552, 512),"X","")</f>
        <v/>
      </c>
      <c r="T551" s="18" t="str">
        <f>IF(BITWISE_AND('Raw Data'!$L552, 256),"X","")</f>
        <v/>
      </c>
      <c r="U551" s="18" t="str">
        <f>IF(BITWISE_AND('Raw Data'!$L552, 64),"X","")</f>
        <v/>
      </c>
      <c r="V551" s="18" t="str">
        <f>IF(BITWISE_AND('Raw Data'!$L552, 2),"X","")</f>
        <v/>
      </c>
      <c r="W551" s="18" t="str">
        <f>IF(BITWISE_AND('Raw Data'!$L552, 1),"X","")</f>
        <v/>
      </c>
      <c r="X551" s="19" t="str">
        <f>IF(BITWISE_AND('Raw Data'!M552, 1),"Bat Voltage", IF(BITWISE_AND('Raw Data'!M552, 2), "Charge Current", IF(BITWISE_AND('Raw Data'!M552, 4),"Input Ilim", IF(BITWISE_AND('Raw Data'!M552, 8), "Input UV", "none"))))</f>
        <v>none</v>
      </c>
    </row>
    <row r="552" spans="1:24" x14ac:dyDescent="0.2">
      <c r="A552" s="15">
        <f>A551+TIME(0,0,'Raw Data'!B552)</f>
        <v>0</v>
      </c>
      <c r="B552" s="4">
        <f>'Raw Data'!C553*0.025</f>
        <v>0</v>
      </c>
      <c r="C552" s="4">
        <f t="shared" si="27"/>
        <v>0</v>
      </c>
      <c r="D552" s="4">
        <f>'Raw Data'!D553*0.025</f>
        <v>0</v>
      </c>
      <c r="E552" s="4">
        <f t="shared" si="28"/>
        <v>0</v>
      </c>
      <c r="F552" s="4">
        <f>'Raw Data'!E553*0.001648</f>
        <v>0</v>
      </c>
      <c r="G552" s="4">
        <f>'Raw Data'!F553*0.001648</f>
        <v>0</v>
      </c>
      <c r="H552" s="4">
        <f>'Raw Data'!G553*6*0.000128176</f>
        <v>0</v>
      </c>
      <c r="I552" s="4">
        <f>'Raw Data'!H553*0.000732435</f>
        <v>0</v>
      </c>
      <c r="J552" s="4">
        <f t="shared" si="26"/>
        <v>0</v>
      </c>
      <c r="K552" s="36">
        <f>IF(('Raw Data'!I553-16384)/32768&lt;0,0,('Raw Data'!I553-16384)/32768)</f>
        <v>0</v>
      </c>
      <c r="L552" s="4">
        <f>IF(('Raw Data'!J553-12010)/45.6=-263.377192982456,0,('Raw Data'!J553-12010)/45.6)</f>
        <v>0</v>
      </c>
      <c r="M552" s="16">
        <f>'Raw Data'!N553*2^-8</f>
        <v>0</v>
      </c>
      <c r="N552" s="16">
        <f>'Raw Data'!O553*2^-8</f>
        <v>0</v>
      </c>
      <c r="O552" s="17" t="str">
        <f>IF(BITWISE_AND('Raw Data'!$K553, 8192),"X","")</f>
        <v/>
      </c>
      <c r="P552" s="17" t="str">
        <f>IF(BITWISE_AND('Raw Data'!$K553, 2048),"X","")</f>
        <v/>
      </c>
      <c r="Q552" s="17" t="str">
        <f>IF(BITWISE_AND('Raw Data'!$K553, 64),"X","")</f>
        <v/>
      </c>
      <c r="R552" s="18" t="str">
        <f>IF(BITWISE_AND('Raw Data'!$L553, 1024),"X","")</f>
        <v/>
      </c>
      <c r="S552" s="18" t="str">
        <f>IF(BITWISE_AND('Raw Data'!$L553, 512),"X","")</f>
        <v/>
      </c>
      <c r="T552" s="18" t="str">
        <f>IF(BITWISE_AND('Raw Data'!$L553, 256),"X","")</f>
        <v/>
      </c>
      <c r="U552" s="18" t="str">
        <f>IF(BITWISE_AND('Raw Data'!$L553, 64),"X","")</f>
        <v/>
      </c>
      <c r="V552" s="18" t="str">
        <f>IF(BITWISE_AND('Raw Data'!$L553, 2),"X","")</f>
        <v/>
      </c>
      <c r="W552" s="18" t="str">
        <f>IF(BITWISE_AND('Raw Data'!$L553, 1),"X","")</f>
        <v/>
      </c>
      <c r="X552" s="19" t="str">
        <f>IF(BITWISE_AND('Raw Data'!M553, 1),"Bat Voltage", IF(BITWISE_AND('Raw Data'!M553, 2), "Charge Current", IF(BITWISE_AND('Raw Data'!M553, 4),"Input Ilim", IF(BITWISE_AND('Raw Data'!M553, 8), "Input UV", "none"))))</f>
        <v>none</v>
      </c>
    </row>
    <row r="553" spans="1:24" x14ac:dyDescent="0.2">
      <c r="A553" s="15">
        <f>A552+TIME(0,0,'Raw Data'!B553)</f>
        <v>0</v>
      </c>
      <c r="B553" s="4">
        <f>'Raw Data'!C554*0.025</f>
        <v>0</v>
      </c>
      <c r="C553" s="4">
        <f t="shared" si="27"/>
        <v>0</v>
      </c>
      <c r="D553" s="4">
        <f>'Raw Data'!D554*0.025</f>
        <v>0</v>
      </c>
      <c r="E553" s="4">
        <f t="shared" si="28"/>
        <v>0</v>
      </c>
      <c r="F553" s="4">
        <f>'Raw Data'!E554*0.001648</f>
        <v>0</v>
      </c>
      <c r="G553" s="4">
        <f>'Raw Data'!F554*0.001648</f>
        <v>0</v>
      </c>
      <c r="H553" s="4">
        <f>'Raw Data'!G554*6*0.000128176</f>
        <v>0</v>
      </c>
      <c r="I553" s="4">
        <f>'Raw Data'!H554*0.000732435</f>
        <v>0</v>
      </c>
      <c r="J553" s="4">
        <f t="shared" si="26"/>
        <v>0</v>
      </c>
      <c r="K553" s="36">
        <f>IF(('Raw Data'!I554-16384)/32768&lt;0,0,('Raw Data'!I554-16384)/32768)</f>
        <v>0</v>
      </c>
      <c r="L553" s="4">
        <f>IF(('Raw Data'!J554-12010)/45.6=-263.377192982456,0,('Raw Data'!J554-12010)/45.6)</f>
        <v>0</v>
      </c>
      <c r="M553" s="16">
        <f>'Raw Data'!N554*2^-8</f>
        <v>0</v>
      </c>
      <c r="N553" s="16">
        <f>'Raw Data'!O554*2^-8</f>
        <v>0</v>
      </c>
      <c r="O553" s="17" t="str">
        <f>IF(BITWISE_AND('Raw Data'!$K554, 8192),"X","")</f>
        <v/>
      </c>
      <c r="P553" s="17" t="str">
        <f>IF(BITWISE_AND('Raw Data'!$K554, 2048),"X","")</f>
        <v/>
      </c>
      <c r="Q553" s="17" t="str">
        <f>IF(BITWISE_AND('Raw Data'!$K554, 64),"X","")</f>
        <v/>
      </c>
      <c r="R553" s="18" t="str">
        <f>IF(BITWISE_AND('Raw Data'!$L554, 1024),"X","")</f>
        <v/>
      </c>
      <c r="S553" s="18" t="str">
        <f>IF(BITWISE_AND('Raw Data'!$L554, 512),"X","")</f>
        <v/>
      </c>
      <c r="T553" s="18" t="str">
        <f>IF(BITWISE_AND('Raw Data'!$L554, 256),"X","")</f>
        <v/>
      </c>
      <c r="U553" s="18" t="str">
        <f>IF(BITWISE_AND('Raw Data'!$L554, 64),"X","")</f>
        <v/>
      </c>
      <c r="V553" s="18" t="str">
        <f>IF(BITWISE_AND('Raw Data'!$L554, 2),"X","")</f>
        <v/>
      </c>
      <c r="W553" s="18" t="str">
        <f>IF(BITWISE_AND('Raw Data'!$L554, 1),"X","")</f>
        <v/>
      </c>
      <c r="X553" s="19" t="str">
        <f>IF(BITWISE_AND('Raw Data'!M554, 1),"Bat Voltage", IF(BITWISE_AND('Raw Data'!M554, 2), "Charge Current", IF(BITWISE_AND('Raw Data'!M554, 4),"Input Ilim", IF(BITWISE_AND('Raw Data'!M554, 8), "Input UV", "none"))))</f>
        <v>none</v>
      </c>
    </row>
    <row r="554" spans="1:24" x14ac:dyDescent="0.2">
      <c r="A554" s="15">
        <f>A553+TIME(0,0,'Raw Data'!B554)</f>
        <v>0</v>
      </c>
      <c r="B554" s="4">
        <f>'Raw Data'!C555*0.025</f>
        <v>0</v>
      </c>
      <c r="C554" s="4">
        <f t="shared" si="27"/>
        <v>0</v>
      </c>
      <c r="D554" s="4">
        <f>'Raw Data'!D555*0.025</f>
        <v>0</v>
      </c>
      <c r="E554" s="4">
        <f t="shared" si="28"/>
        <v>0</v>
      </c>
      <c r="F554" s="4">
        <f>'Raw Data'!E555*0.001648</f>
        <v>0</v>
      </c>
      <c r="G554" s="4">
        <f>'Raw Data'!F555*0.001648</f>
        <v>0</v>
      </c>
      <c r="H554" s="4">
        <f>'Raw Data'!G555*6*0.000128176</f>
        <v>0</v>
      </c>
      <c r="I554" s="4">
        <f>'Raw Data'!H555*0.000732435</f>
        <v>0</v>
      </c>
      <c r="J554" s="4">
        <f t="shared" si="26"/>
        <v>0</v>
      </c>
      <c r="K554" s="36">
        <f>IF(('Raw Data'!I555-16384)/32768&lt;0,0,('Raw Data'!I555-16384)/32768)</f>
        <v>0</v>
      </c>
      <c r="L554" s="4">
        <f>IF(('Raw Data'!J555-12010)/45.6=-263.377192982456,0,('Raw Data'!J555-12010)/45.6)</f>
        <v>0</v>
      </c>
      <c r="M554" s="16">
        <f>'Raw Data'!N555*2^-8</f>
        <v>0</v>
      </c>
      <c r="N554" s="16">
        <f>'Raw Data'!O555*2^-8</f>
        <v>0</v>
      </c>
      <c r="O554" s="17" t="str">
        <f>IF(BITWISE_AND('Raw Data'!$K555, 8192),"X","")</f>
        <v/>
      </c>
      <c r="P554" s="17" t="str">
        <f>IF(BITWISE_AND('Raw Data'!$K555, 2048),"X","")</f>
        <v/>
      </c>
      <c r="Q554" s="17" t="str">
        <f>IF(BITWISE_AND('Raw Data'!$K555, 64),"X","")</f>
        <v/>
      </c>
      <c r="R554" s="18" t="str">
        <f>IF(BITWISE_AND('Raw Data'!$L555, 1024),"X","")</f>
        <v/>
      </c>
      <c r="S554" s="18" t="str">
        <f>IF(BITWISE_AND('Raw Data'!$L555, 512),"X","")</f>
        <v/>
      </c>
      <c r="T554" s="18" t="str">
        <f>IF(BITWISE_AND('Raw Data'!$L555, 256),"X","")</f>
        <v/>
      </c>
      <c r="U554" s="18" t="str">
        <f>IF(BITWISE_AND('Raw Data'!$L555, 64),"X","")</f>
        <v/>
      </c>
      <c r="V554" s="18" t="str">
        <f>IF(BITWISE_AND('Raw Data'!$L555, 2),"X","")</f>
        <v/>
      </c>
      <c r="W554" s="18" t="str">
        <f>IF(BITWISE_AND('Raw Data'!$L555, 1),"X","")</f>
        <v/>
      </c>
      <c r="X554" s="19" t="str">
        <f>IF(BITWISE_AND('Raw Data'!M555, 1),"Bat Voltage", IF(BITWISE_AND('Raw Data'!M555, 2), "Charge Current", IF(BITWISE_AND('Raw Data'!M555, 4),"Input Ilim", IF(BITWISE_AND('Raw Data'!M555, 8), "Input UV", "none"))))</f>
        <v>none</v>
      </c>
    </row>
    <row r="555" spans="1:24" x14ac:dyDescent="0.2">
      <c r="A555" s="15">
        <f>A554+TIME(0,0,'Raw Data'!B555)</f>
        <v>0</v>
      </c>
      <c r="B555" s="4">
        <f>'Raw Data'!C556*0.025</f>
        <v>0</v>
      </c>
      <c r="C555" s="4">
        <f t="shared" si="27"/>
        <v>0</v>
      </c>
      <c r="D555" s="4">
        <f>'Raw Data'!D556*0.025</f>
        <v>0</v>
      </c>
      <c r="E555" s="4">
        <f t="shared" si="28"/>
        <v>0</v>
      </c>
      <c r="F555" s="4">
        <f>'Raw Data'!E556*0.001648</f>
        <v>0</v>
      </c>
      <c r="G555" s="4">
        <f>'Raw Data'!F556*0.001648</f>
        <v>0</v>
      </c>
      <c r="H555" s="4">
        <f>'Raw Data'!G556*6*0.000128176</f>
        <v>0</v>
      </c>
      <c r="I555" s="4">
        <f>'Raw Data'!H556*0.000732435</f>
        <v>0</v>
      </c>
      <c r="J555" s="4">
        <f t="shared" si="26"/>
        <v>0</v>
      </c>
      <c r="K555" s="36">
        <f>IF(('Raw Data'!I556-16384)/32768&lt;0,0,('Raw Data'!I556-16384)/32768)</f>
        <v>0</v>
      </c>
      <c r="L555" s="4">
        <f>IF(('Raw Data'!J556-12010)/45.6=-263.377192982456,0,('Raw Data'!J556-12010)/45.6)</f>
        <v>0</v>
      </c>
      <c r="M555" s="16">
        <f>'Raw Data'!N556*2^-8</f>
        <v>0</v>
      </c>
      <c r="N555" s="16">
        <f>'Raw Data'!O556*2^-8</f>
        <v>0</v>
      </c>
      <c r="O555" s="17" t="str">
        <f>IF(BITWISE_AND('Raw Data'!$K556, 8192),"X","")</f>
        <v/>
      </c>
      <c r="P555" s="17" t="str">
        <f>IF(BITWISE_AND('Raw Data'!$K556, 2048),"X","")</f>
        <v/>
      </c>
      <c r="Q555" s="17" t="str">
        <f>IF(BITWISE_AND('Raw Data'!$K556, 64),"X","")</f>
        <v/>
      </c>
      <c r="R555" s="18" t="str">
        <f>IF(BITWISE_AND('Raw Data'!$L556, 1024),"X","")</f>
        <v/>
      </c>
      <c r="S555" s="18" t="str">
        <f>IF(BITWISE_AND('Raw Data'!$L556, 512),"X","")</f>
        <v/>
      </c>
      <c r="T555" s="18" t="str">
        <f>IF(BITWISE_AND('Raw Data'!$L556, 256),"X","")</f>
        <v/>
      </c>
      <c r="U555" s="18" t="str">
        <f>IF(BITWISE_AND('Raw Data'!$L556, 64),"X","")</f>
        <v/>
      </c>
      <c r="V555" s="18" t="str">
        <f>IF(BITWISE_AND('Raw Data'!$L556, 2),"X","")</f>
        <v/>
      </c>
      <c r="W555" s="18" t="str">
        <f>IF(BITWISE_AND('Raw Data'!$L556, 1),"X","")</f>
        <v/>
      </c>
      <c r="X555" s="19" t="str">
        <f>IF(BITWISE_AND('Raw Data'!M556, 1),"Bat Voltage", IF(BITWISE_AND('Raw Data'!M556, 2), "Charge Current", IF(BITWISE_AND('Raw Data'!M556, 4),"Input Ilim", IF(BITWISE_AND('Raw Data'!M556, 8), "Input UV", "none"))))</f>
        <v>none</v>
      </c>
    </row>
    <row r="556" spans="1:24" x14ac:dyDescent="0.2">
      <c r="A556" s="15">
        <f>A555+TIME(0,0,'Raw Data'!B556)</f>
        <v>0</v>
      </c>
      <c r="B556" s="4">
        <f>'Raw Data'!C557*0.025</f>
        <v>0</v>
      </c>
      <c r="C556" s="4">
        <f t="shared" si="27"/>
        <v>0</v>
      </c>
      <c r="D556" s="4">
        <f>'Raw Data'!D557*0.025</f>
        <v>0</v>
      </c>
      <c r="E556" s="4">
        <f t="shared" si="28"/>
        <v>0</v>
      </c>
      <c r="F556" s="4">
        <f>'Raw Data'!E557*0.001648</f>
        <v>0</v>
      </c>
      <c r="G556" s="4">
        <f>'Raw Data'!F557*0.001648</f>
        <v>0</v>
      </c>
      <c r="H556" s="4">
        <f>'Raw Data'!G557*6*0.000128176</f>
        <v>0</v>
      </c>
      <c r="I556" s="4">
        <f>'Raw Data'!H557*0.000732435</f>
        <v>0</v>
      </c>
      <c r="J556" s="4">
        <f t="shared" si="26"/>
        <v>0</v>
      </c>
      <c r="K556" s="36">
        <f>IF(('Raw Data'!I557-16384)/32768&lt;0,0,('Raw Data'!I557-16384)/32768)</f>
        <v>0</v>
      </c>
      <c r="L556" s="4">
        <f>IF(('Raw Data'!J557-12010)/45.6=-263.377192982456,0,('Raw Data'!J557-12010)/45.6)</f>
        <v>0</v>
      </c>
      <c r="M556" s="16">
        <f>'Raw Data'!N557*2^-8</f>
        <v>0</v>
      </c>
      <c r="N556" s="16">
        <f>'Raw Data'!O557*2^-8</f>
        <v>0</v>
      </c>
      <c r="O556" s="17" t="str">
        <f>IF(BITWISE_AND('Raw Data'!$K557, 8192),"X","")</f>
        <v/>
      </c>
      <c r="P556" s="17" t="str">
        <f>IF(BITWISE_AND('Raw Data'!$K557, 2048),"X","")</f>
        <v/>
      </c>
      <c r="Q556" s="17" t="str">
        <f>IF(BITWISE_AND('Raw Data'!$K557, 64),"X","")</f>
        <v/>
      </c>
      <c r="R556" s="18" t="str">
        <f>IF(BITWISE_AND('Raw Data'!$L557, 1024),"X","")</f>
        <v/>
      </c>
      <c r="S556" s="18" t="str">
        <f>IF(BITWISE_AND('Raw Data'!$L557, 512),"X","")</f>
        <v/>
      </c>
      <c r="T556" s="18" t="str">
        <f>IF(BITWISE_AND('Raw Data'!$L557, 256),"X","")</f>
        <v/>
      </c>
      <c r="U556" s="18" t="str">
        <f>IF(BITWISE_AND('Raw Data'!$L557, 64),"X","")</f>
        <v/>
      </c>
      <c r="V556" s="18" t="str">
        <f>IF(BITWISE_AND('Raw Data'!$L557, 2),"X","")</f>
        <v/>
      </c>
      <c r="W556" s="18" t="str">
        <f>IF(BITWISE_AND('Raw Data'!$L557, 1),"X","")</f>
        <v/>
      </c>
      <c r="X556" s="19" t="str">
        <f>IF(BITWISE_AND('Raw Data'!M557, 1),"Bat Voltage", IF(BITWISE_AND('Raw Data'!M557, 2), "Charge Current", IF(BITWISE_AND('Raw Data'!M557, 4),"Input Ilim", IF(BITWISE_AND('Raw Data'!M557, 8), "Input UV", "none"))))</f>
        <v>none</v>
      </c>
    </row>
    <row r="557" spans="1:24" x14ac:dyDescent="0.2">
      <c r="A557" s="15">
        <f>A556+TIME(0,0,'Raw Data'!B557)</f>
        <v>0</v>
      </c>
      <c r="B557" s="4">
        <f>'Raw Data'!C558*0.025</f>
        <v>0</v>
      </c>
      <c r="C557" s="4">
        <f t="shared" si="27"/>
        <v>0</v>
      </c>
      <c r="D557" s="4">
        <f>'Raw Data'!D558*0.025</f>
        <v>0</v>
      </c>
      <c r="E557" s="4">
        <f t="shared" si="28"/>
        <v>0</v>
      </c>
      <c r="F557" s="4">
        <f>'Raw Data'!E558*0.001648</f>
        <v>0</v>
      </c>
      <c r="G557" s="4">
        <f>'Raw Data'!F558*0.001648</f>
        <v>0</v>
      </c>
      <c r="H557" s="4">
        <f>'Raw Data'!G558*6*0.000128176</f>
        <v>0</v>
      </c>
      <c r="I557" s="4">
        <f>'Raw Data'!H558*0.000732435</f>
        <v>0</v>
      </c>
      <c r="J557" s="4">
        <f t="shared" si="26"/>
        <v>0</v>
      </c>
      <c r="K557" s="36">
        <f>IF(('Raw Data'!I558-16384)/32768&lt;0,0,('Raw Data'!I558-16384)/32768)</f>
        <v>0</v>
      </c>
      <c r="L557" s="4">
        <f>IF(('Raw Data'!J558-12010)/45.6=-263.377192982456,0,('Raw Data'!J558-12010)/45.6)</f>
        <v>0</v>
      </c>
      <c r="M557" s="16">
        <f>'Raw Data'!N558*2^-8</f>
        <v>0</v>
      </c>
      <c r="N557" s="16">
        <f>'Raw Data'!O558*2^-8</f>
        <v>0</v>
      </c>
      <c r="O557" s="17" t="str">
        <f>IF(BITWISE_AND('Raw Data'!$K558, 8192),"X","")</f>
        <v/>
      </c>
      <c r="P557" s="17" t="str">
        <f>IF(BITWISE_AND('Raw Data'!$K558, 2048),"X","")</f>
        <v/>
      </c>
      <c r="Q557" s="17" t="str">
        <f>IF(BITWISE_AND('Raw Data'!$K558, 64),"X","")</f>
        <v/>
      </c>
      <c r="R557" s="18" t="str">
        <f>IF(BITWISE_AND('Raw Data'!$L558, 1024),"X","")</f>
        <v/>
      </c>
      <c r="S557" s="18" t="str">
        <f>IF(BITWISE_AND('Raw Data'!$L558, 512),"X","")</f>
        <v/>
      </c>
      <c r="T557" s="18" t="str">
        <f>IF(BITWISE_AND('Raw Data'!$L558, 256),"X","")</f>
        <v/>
      </c>
      <c r="U557" s="18" t="str">
        <f>IF(BITWISE_AND('Raw Data'!$L558, 64),"X","")</f>
        <v/>
      </c>
      <c r="V557" s="18" t="str">
        <f>IF(BITWISE_AND('Raw Data'!$L558, 2),"X","")</f>
        <v/>
      </c>
      <c r="W557" s="18" t="str">
        <f>IF(BITWISE_AND('Raw Data'!$L558, 1),"X","")</f>
        <v/>
      </c>
      <c r="X557" s="19" t="str">
        <f>IF(BITWISE_AND('Raw Data'!M558, 1),"Bat Voltage", IF(BITWISE_AND('Raw Data'!M558, 2), "Charge Current", IF(BITWISE_AND('Raw Data'!M558, 4),"Input Ilim", IF(BITWISE_AND('Raw Data'!M558, 8), "Input UV", "none"))))</f>
        <v>none</v>
      </c>
    </row>
    <row r="558" spans="1:24" x14ac:dyDescent="0.2">
      <c r="A558" s="15">
        <f>A557+TIME(0,0,'Raw Data'!B558)</f>
        <v>0</v>
      </c>
      <c r="B558" s="4">
        <f>'Raw Data'!C559*0.025</f>
        <v>0</v>
      </c>
      <c r="C558" s="4">
        <f t="shared" si="27"/>
        <v>0</v>
      </c>
      <c r="D558" s="4">
        <f>'Raw Data'!D559*0.025</f>
        <v>0</v>
      </c>
      <c r="E558" s="4">
        <f t="shared" si="28"/>
        <v>0</v>
      </c>
      <c r="F558" s="4">
        <f>'Raw Data'!E559*0.001648</f>
        <v>0</v>
      </c>
      <c r="G558" s="4">
        <f>'Raw Data'!F559*0.001648</f>
        <v>0</v>
      </c>
      <c r="H558" s="4">
        <f>'Raw Data'!G559*6*0.000128176</f>
        <v>0</v>
      </c>
      <c r="I558" s="4">
        <f>'Raw Data'!H559*0.000732435</f>
        <v>0</v>
      </c>
      <c r="J558" s="4">
        <f t="shared" si="26"/>
        <v>0</v>
      </c>
      <c r="K558" s="36">
        <f>IF(('Raw Data'!I559-16384)/32768&lt;0,0,('Raw Data'!I559-16384)/32768)</f>
        <v>0</v>
      </c>
      <c r="L558" s="4">
        <f>IF(('Raw Data'!J559-12010)/45.6=-263.377192982456,0,('Raw Data'!J559-12010)/45.6)</f>
        <v>0</v>
      </c>
      <c r="M558" s="16">
        <f>'Raw Data'!N559*2^-8</f>
        <v>0</v>
      </c>
      <c r="N558" s="16">
        <f>'Raw Data'!O559*2^-8</f>
        <v>0</v>
      </c>
      <c r="O558" s="17" t="str">
        <f>IF(BITWISE_AND('Raw Data'!$K559, 8192),"X","")</f>
        <v/>
      </c>
      <c r="P558" s="17" t="str">
        <f>IF(BITWISE_AND('Raw Data'!$K559, 2048),"X","")</f>
        <v/>
      </c>
      <c r="Q558" s="17" t="str">
        <f>IF(BITWISE_AND('Raw Data'!$K559, 64),"X","")</f>
        <v/>
      </c>
      <c r="R558" s="18" t="str">
        <f>IF(BITWISE_AND('Raw Data'!$L559, 1024),"X","")</f>
        <v/>
      </c>
      <c r="S558" s="18" t="str">
        <f>IF(BITWISE_AND('Raw Data'!$L559, 512),"X","")</f>
        <v/>
      </c>
      <c r="T558" s="18" t="str">
        <f>IF(BITWISE_AND('Raw Data'!$L559, 256),"X","")</f>
        <v/>
      </c>
      <c r="U558" s="18" t="str">
        <f>IF(BITWISE_AND('Raw Data'!$L559, 64),"X","")</f>
        <v/>
      </c>
      <c r="V558" s="18" t="str">
        <f>IF(BITWISE_AND('Raw Data'!$L559, 2),"X","")</f>
        <v/>
      </c>
      <c r="W558" s="18" t="str">
        <f>IF(BITWISE_AND('Raw Data'!$L559, 1),"X","")</f>
        <v/>
      </c>
      <c r="X558" s="19" t="str">
        <f>IF(BITWISE_AND('Raw Data'!M559, 1),"Bat Voltage", IF(BITWISE_AND('Raw Data'!M559, 2), "Charge Current", IF(BITWISE_AND('Raw Data'!M559, 4),"Input Ilim", IF(BITWISE_AND('Raw Data'!M559, 8), "Input UV", "none"))))</f>
        <v>none</v>
      </c>
    </row>
    <row r="559" spans="1:24" x14ac:dyDescent="0.2">
      <c r="A559" s="15">
        <f>A558+TIME(0,0,'Raw Data'!B559)</f>
        <v>0</v>
      </c>
      <c r="B559" s="4">
        <f>'Raw Data'!C560*0.025</f>
        <v>0</v>
      </c>
      <c r="C559" s="4">
        <f t="shared" si="27"/>
        <v>0</v>
      </c>
      <c r="D559" s="4">
        <f>'Raw Data'!D560*0.025</f>
        <v>0</v>
      </c>
      <c r="E559" s="4">
        <f t="shared" si="28"/>
        <v>0</v>
      </c>
      <c r="F559" s="4">
        <f>'Raw Data'!E560*0.001648</f>
        <v>0</v>
      </c>
      <c r="G559" s="4">
        <f>'Raw Data'!F560*0.001648</f>
        <v>0</v>
      </c>
      <c r="H559" s="4">
        <f>'Raw Data'!G560*6*0.000128176</f>
        <v>0</v>
      </c>
      <c r="I559" s="4">
        <f>'Raw Data'!H560*0.000732435</f>
        <v>0</v>
      </c>
      <c r="J559" s="4">
        <f t="shared" si="26"/>
        <v>0</v>
      </c>
      <c r="K559" s="36">
        <f>IF(('Raw Data'!I560-16384)/32768&lt;0,0,('Raw Data'!I560-16384)/32768)</f>
        <v>0</v>
      </c>
      <c r="L559" s="4">
        <f>IF(('Raw Data'!J560-12010)/45.6=-263.377192982456,0,('Raw Data'!J560-12010)/45.6)</f>
        <v>0</v>
      </c>
      <c r="M559" s="16">
        <f>'Raw Data'!N560*2^-8</f>
        <v>0</v>
      </c>
      <c r="N559" s="16">
        <f>'Raw Data'!O560*2^-8</f>
        <v>0</v>
      </c>
      <c r="O559" s="17" t="str">
        <f>IF(BITWISE_AND('Raw Data'!$K560, 8192),"X","")</f>
        <v/>
      </c>
      <c r="P559" s="17" t="str">
        <f>IF(BITWISE_AND('Raw Data'!$K560, 2048),"X","")</f>
        <v/>
      </c>
      <c r="Q559" s="17" t="str">
        <f>IF(BITWISE_AND('Raw Data'!$K560, 64),"X","")</f>
        <v/>
      </c>
      <c r="R559" s="18" t="str">
        <f>IF(BITWISE_AND('Raw Data'!$L560, 1024),"X","")</f>
        <v/>
      </c>
      <c r="S559" s="18" t="str">
        <f>IF(BITWISE_AND('Raw Data'!$L560, 512),"X","")</f>
        <v/>
      </c>
      <c r="T559" s="18" t="str">
        <f>IF(BITWISE_AND('Raw Data'!$L560, 256),"X","")</f>
        <v/>
      </c>
      <c r="U559" s="18" t="str">
        <f>IF(BITWISE_AND('Raw Data'!$L560, 64),"X","")</f>
        <v/>
      </c>
      <c r="V559" s="18" t="str">
        <f>IF(BITWISE_AND('Raw Data'!$L560, 2),"X","")</f>
        <v/>
      </c>
      <c r="W559" s="18" t="str">
        <f>IF(BITWISE_AND('Raw Data'!$L560, 1),"X","")</f>
        <v/>
      </c>
      <c r="X559" s="19" t="str">
        <f>IF(BITWISE_AND('Raw Data'!M560, 1),"Bat Voltage", IF(BITWISE_AND('Raw Data'!M560, 2), "Charge Current", IF(BITWISE_AND('Raw Data'!M560, 4),"Input Ilim", IF(BITWISE_AND('Raw Data'!M560, 8), "Input UV", "none"))))</f>
        <v>none</v>
      </c>
    </row>
    <row r="560" spans="1:24" x14ac:dyDescent="0.2">
      <c r="A560" s="15">
        <f>A559+TIME(0,0,'Raw Data'!B560)</f>
        <v>0</v>
      </c>
      <c r="B560" s="4">
        <f>'Raw Data'!C561*0.025</f>
        <v>0</v>
      </c>
      <c r="C560" s="4">
        <f t="shared" si="27"/>
        <v>0</v>
      </c>
      <c r="D560" s="4">
        <f>'Raw Data'!D561*0.025</f>
        <v>0</v>
      </c>
      <c r="E560" s="4">
        <f t="shared" si="28"/>
        <v>0</v>
      </c>
      <c r="F560" s="4">
        <f>'Raw Data'!E561*0.001648</f>
        <v>0</v>
      </c>
      <c r="G560" s="4">
        <f>'Raw Data'!F561*0.001648</f>
        <v>0</v>
      </c>
      <c r="H560" s="4">
        <f>'Raw Data'!G561*6*0.000128176</f>
        <v>0</v>
      </c>
      <c r="I560" s="4">
        <f>'Raw Data'!H561*0.000732435</f>
        <v>0</v>
      </c>
      <c r="J560" s="4">
        <f t="shared" si="26"/>
        <v>0</v>
      </c>
      <c r="K560" s="36">
        <f>IF(('Raw Data'!I561-16384)/32768&lt;0,0,('Raw Data'!I561-16384)/32768)</f>
        <v>0</v>
      </c>
      <c r="L560" s="4">
        <f>IF(('Raw Data'!J561-12010)/45.6=-263.377192982456,0,('Raw Data'!J561-12010)/45.6)</f>
        <v>0</v>
      </c>
      <c r="M560" s="16">
        <f>'Raw Data'!N561*2^-8</f>
        <v>0</v>
      </c>
      <c r="N560" s="16">
        <f>'Raw Data'!O561*2^-8</f>
        <v>0</v>
      </c>
      <c r="O560" s="17" t="str">
        <f>IF(BITWISE_AND('Raw Data'!$K561, 8192),"X","")</f>
        <v/>
      </c>
      <c r="P560" s="17" t="str">
        <f>IF(BITWISE_AND('Raw Data'!$K561, 2048),"X","")</f>
        <v/>
      </c>
      <c r="Q560" s="17" t="str">
        <f>IF(BITWISE_AND('Raw Data'!$K561, 64),"X","")</f>
        <v/>
      </c>
      <c r="R560" s="18" t="str">
        <f>IF(BITWISE_AND('Raw Data'!$L561, 1024),"X","")</f>
        <v/>
      </c>
      <c r="S560" s="18" t="str">
        <f>IF(BITWISE_AND('Raw Data'!$L561, 512),"X","")</f>
        <v/>
      </c>
      <c r="T560" s="18" t="str">
        <f>IF(BITWISE_AND('Raw Data'!$L561, 256),"X","")</f>
        <v/>
      </c>
      <c r="U560" s="18" t="str">
        <f>IF(BITWISE_AND('Raw Data'!$L561, 64),"X","")</f>
        <v/>
      </c>
      <c r="V560" s="18" t="str">
        <f>IF(BITWISE_AND('Raw Data'!$L561, 2),"X","")</f>
        <v/>
      </c>
      <c r="W560" s="18" t="str">
        <f>IF(BITWISE_AND('Raw Data'!$L561, 1),"X","")</f>
        <v/>
      </c>
      <c r="X560" s="19" t="str">
        <f>IF(BITWISE_AND('Raw Data'!M561, 1),"Bat Voltage", IF(BITWISE_AND('Raw Data'!M561, 2), "Charge Current", IF(BITWISE_AND('Raw Data'!M561, 4),"Input Ilim", IF(BITWISE_AND('Raw Data'!M561, 8), "Input UV", "none"))))</f>
        <v>none</v>
      </c>
    </row>
    <row r="561" spans="1:24" x14ac:dyDescent="0.2">
      <c r="A561" s="15">
        <f>A560+TIME(0,0,'Raw Data'!B561)</f>
        <v>0</v>
      </c>
      <c r="B561" s="4">
        <f>'Raw Data'!C562*0.025</f>
        <v>0</v>
      </c>
      <c r="C561" s="4">
        <f t="shared" si="27"/>
        <v>0</v>
      </c>
      <c r="D561" s="4">
        <f>'Raw Data'!D562*0.025</f>
        <v>0</v>
      </c>
      <c r="E561" s="4">
        <f t="shared" si="28"/>
        <v>0</v>
      </c>
      <c r="F561" s="4">
        <f>'Raw Data'!E562*0.001648</f>
        <v>0</v>
      </c>
      <c r="G561" s="4">
        <f>'Raw Data'!F562*0.001648</f>
        <v>0</v>
      </c>
      <c r="H561" s="4">
        <f>'Raw Data'!G562*6*0.000128176</f>
        <v>0</v>
      </c>
      <c r="I561" s="4">
        <f>'Raw Data'!H562*0.000732435</f>
        <v>0</v>
      </c>
      <c r="J561" s="4">
        <f t="shared" si="26"/>
        <v>0</v>
      </c>
      <c r="K561" s="36">
        <f>IF(('Raw Data'!I562-16384)/32768&lt;0,0,('Raw Data'!I562-16384)/32768)</f>
        <v>0</v>
      </c>
      <c r="L561" s="4">
        <f>IF(('Raw Data'!J562-12010)/45.6=-263.377192982456,0,('Raw Data'!J562-12010)/45.6)</f>
        <v>0</v>
      </c>
      <c r="M561" s="16">
        <f>'Raw Data'!N562*2^-8</f>
        <v>0</v>
      </c>
      <c r="N561" s="16">
        <f>'Raw Data'!O562*2^-8</f>
        <v>0</v>
      </c>
      <c r="O561" s="17" t="str">
        <f>IF(BITWISE_AND('Raw Data'!$K562, 8192),"X","")</f>
        <v/>
      </c>
      <c r="P561" s="17" t="str">
        <f>IF(BITWISE_AND('Raw Data'!$K562, 2048),"X","")</f>
        <v/>
      </c>
      <c r="Q561" s="17" t="str">
        <f>IF(BITWISE_AND('Raw Data'!$K562, 64),"X","")</f>
        <v/>
      </c>
      <c r="R561" s="18" t="str">
        <f>IF(BITWISE_AND('Raw Data'!$L562, 1024),"X","")</f>
        <v/>
      </c>
      <c r="S561" s="18" t="str">
        <f>IF(BITWISE_AND('Raw Data'!$L562, 512),"X","")</f>
        <v/>
      </c>
      <c r="T561" s="18" t="str">
        <f>IF(BITWISE_AND('Raw Data'!$L562, 256),"X","")</f>
        <v/>
      </c>
      <c r="U561" s="18" t="str">
        <f>IF(BITWISE_AND('Raw Data'!$L562, 64),"X","")</f>
        <v/>
      </c>
      <c r="V561" s="18" t="str">
        <f>IF(BITWISE_AND('Raw Data'!$L562, 2),"X","")</f>
        <v/>
      </c>
      <c r="W561" s="18" t="str">
        <f>IF(BITWISE_AND('Raw Data'!$L562, 1),"X","")</f>
        <v/>
      </c>
      <c r="X561" s="19" t="str">
        <f>IF(BITWISE_AND('Raw Data'!M562, 1),"Bat Voltage", IF(BITWISE_AND('Raw Data'!M562, 2), "Charge Current", IF(BITWISE_AND('Raw Data'!M562, 4),"Input Ilim", IF(BITWISE_AND('Raw Data'!M562, 8), "Input UV", "none"))))</f>
        <v>none</v>
      </c>
    </row>
    <row r="562" spans="1:24" x14ac:dyDescent="0.2">
      <c r="A562" s="15">
        <f>A561+TIME(0,0,'Raw Data'!B562)</f>
        <v>0</v>
      </c>
      <c r="B562" s="4">
        <f>'Raw Data'!C563*0.025</f>
        <v>0</v>
      </c>
      <c r="C562" s="4">
        <f t="shared" si="27"/>
        <v>0</v>
      </c>
      <c r="D562" s="4">
        <f>'Raw Data'!D563*0.025</f>
        <v>0</v>
      </c>
      <c r="E562" s="4">
        <f t="shared" si="28"/>
        <v>0</v>
      </c>
      <c r="F562" s="4">
        <f>'Raw Data'!E563*0.001648</f>
        <v>0</v>
      </c>
      <c r="G562" s="4">
        <f>'Raw Data'!F563*0.001648</f>
        <v>0</v>
      </c>
      <c r="H562" s="4">
        <f>'Raw Data'!G563*6*0.000128176</f>
        <v>0</v>
      </c>
      <c r="I562" s="4">
        <f>'Raw Data'!H563*0.000732435</f>
        <v>0</v>
      </c>
      <c r="J562" s="4">
        <f t="shared" si="26"/>
        <v>0</v>
      </c>
      <c r="K562" s="36">
        <f>IF(('Raw Data'!I563-16384)/32768&lt;0,0,('Raw Data'!I563-16384)/32768)</f>
        <v>0</v>
      </c>
      <c r="L562" s="4">
        <f>IF(('Raw Data'!J563-12010)/45.6=-263.377192982456,0,('Raw Data'!J563-12010)/45.6)</f>
        <v>0</v>
      </c>
      <c r="M562" s="16">
        <f>'Raw Data'!N563*2^-8</f>
        <v>0</v>
      </c>
      <c r="N562" s="16">
        <f>'Raw Data'!O563*2^-8</f>
        <v>0</v>
      </c>
      <c r="O562" s="17" t="str">
        <f>IF(BITWISE_AND('Raw Data'!$K563, 8192),"X","")</f>
        <v/>
      </c>
      <c r="P562" s="17" t="str">
        <f>IF(BITWISE_AND('Raw Data'!$K563, 2048),"X","")</f>
        <v/>
      </c>
      <c r="Q562" s="17" t="str">
        <f>IF(BITWISE_AND('Raw Data'!$K563, 64),"X","")</f>
        <v/>
      </c>
      <c r="R562" s="18" t="str">
        <f>IF(BITWISE_AND('Raw Data'!$L563, 1024),"X","")</f>
        <v/>
      </c>
      <c r="S562" s="18" t="str">
        <f>IF(BITWISE_AND('Raw Data'!$L563, 512),"X","")</f>
        <v/>
      </c>
      <c r="T562" s="18" t="str">
        <f>IF(BITWISE_AND('Raw Data'!$L563, 256),"X","")</f>
        <v/>
      </c>
      <c r="U562" s="18" t="str">
        <f>IF(BITWISE_AND('Raw Data'!$L563, 64),"X","")</f>
        <v/>
      </c>
      <c r="V562" s="18" t="str">
        <f>IF(BITWISE_AND('Raw Data'!$L563, 2),"X","")</f>
        <v/>
      </c>
      <c r="W562" s="18" t="str">
        <f>IF(BITWISE_AND('Raw Data'!$L563, 1),"X","")</f>
        <v/>
      </c>
      <c r="X562" s="19" t="str">
        <f>IF(BITWISE_AND('Raw Data'!M563, 1),"Bat Voltage", IF(BITWISE_AND('Raw Data'!M563, 2), "Charge Current", IF(BITWISE_AND('Raw Data'!M563, 4),"Input Ilim", IF(BITWISE_AND('Raw Data'!M563, 8), "Input UV", "none"))))</f>
        <v>none</v>
      </c>
    </row>
    <row r="563" spans="1:24" x14ac:dyDescent="0.2">
      <c r="A563" s="15">
        <f>A562+TIME(0,0,'Raw Data'!B563)</f>
        <v>0</v>
      </c>
      <c r="B563" s="4">
        <f>'Raw Data'!C564*0.025</f>
        <v>0</v>
      </c>
      <c r="C563" s="4">
        <f t="shared" si="27"/>
        <v>0</v>
      </c>
      <c r="D563" s="4">
        <f>'Raw Data'!D564*0.025</f>
        <v>0</v>
      </c>
      <c r="E563" s="4">
        <f t="shared" si="28"/>
        <v>0</v>
      </c>
      <c r="F563" s="4">
        <f>'Raw Data'!E564*0.001648</f>
        <v>0</v>
      </c>
      <c r="G563" s="4">
        <f>'Raw Data'!F564*0.001648</f>
        <v>0</v>
      </c>
      <c r="H563" s="4">
        <f>'Raw Data'!G564*6*0.000128176</f>
        <v>0</v>
      </c>
      <c r="I563" s="4">
        <f>'Raw Data'!H564*0.000732435</f>
        <v>0</v>
      </c>
      <c r="J563" s="4">
        <f t="shared" si="26"/>
        <v>0</v>
      </c>
      <c r="K563" s="36">
        <f>IF(('Raw Data'!I564-16384)/32768&lt;0,0,('Raw Data'!I564-16384)/32768)</f>
        <v>0</v>
      </c>
      <c r="L563" s="4">
        <f>IF(('Raw Data'!J564-12010)/45.6=-263.377192982456,0,('Raw Data'!J564-12010)/45.6)</f>
        <v>0</v>
      </c>
      <c r="M563" s="16">
        <f>'Raw Data'!N564*2^-8</f>
        <v>0</v>
      </c>
      <c r="N563" s="16">
        <f>'Raw Data'!O564*2^-8</f>
        <v>0</v>
      </c>
      <c r="O563" s="17" t="str">
        <f>IF(BITWISE_AND('Raw Data'!$K564, 8192),"X","")</f>
        <v/>
      </c>
      <c r="P563" s="17" t="str">
        <f>IF(BITWISE_AND('Raw Data'!$K564, 2048),"X","")</f>
        <v/>
      </c>
      <c r="Q563" s="17" t="str">
        <f>IF(BITWISE_AND('Raw Data'!$K564, 64),"X","")</f>
        <v/>
      </c>
      <c r="R563" s="18" t="str">
        <f>IF(BITWISE_AND('Raw Data'!$L564, 1024),"X","")</f>
        <v/>
      </c>
      <c r="S563" s="18" t="str">
        <f>IF(BITWISE_AND('Raw Data'!$L564, 512),"X","")</f>
        <v/>
      </c>
      <c r="T563" s="18" t="str">
        <f>IF(BITWISE_AND('Raw Data'!$L564, 256),"X","")</f>
        <v/>
      </c>
      <c r="U563" s="18" t="str">
        <f>IF(BITWISE_AND('Raw Data'!$L564, 64),"X","")</f>
        <v/>
      </c>
      <c r="V563" s="18" t="str">
        <f>IF(BITWISE_AND('Raw Data'!$L564, 2),"X","")</f>
        <v/>
      </c>
      <c r="W563" s="18" t="str">
        <f>IF(BITWISE_AND('Raw Data'!$L564, 1),"X","")</f>
        <v/>
      </c>
      <c r="X563" s="19" t="str">
        <f>IF(BITWISE_AND('Raw Data'!M564, 1),"Bat Voltage", IF(BITWISE_AND('Raw Data'!M564, 2), "Charge Current", IF(BITWISE_AND('Raw Data'!M564, 4),"Input Ilim", IF(BITWISE_AND('Raw Data'!M564, 8), "Input UV", "none"))))</f>
        <v>none</v>
      </c>
    </row>
    <row r="564" spans="1:24" x14ac:dyDescent="0.2">
      <c r="A564" s="15">
        <f>A563+TIME(0,0,'Raw Data'!B564)</f>
        <v>0</v>
      </c>
      <c r="B564" s="4">
        <f>'Raw Data'!C565*0.025</f>
        <v>0</v>
      </c>
      <c r="C564" s="4">
        <f t="shared" si="27"/>
        <v>0</v>
      </c>
      <c r="D564" s="4">
        <f>'Raw Data'!D565*0.025</f>
        <v>0</v>
      </c>
      <c r="E564" s="4">
        <f t="shared" si="28"/>
        <v>0</v>
      </c>
      <c r="F564" s="4">
        <f>'Raw Data'!E565*0.001648</f>
        <v>0</v>
      </c>
      <c r="G564" s="4">
        <f>'Raw Data'!F565*0.001648</f>
        <v>0</v>
      </c>
      <c r="H564" s="4">
        <f>'Raw Data'!G565*6*0.000128176</f>
        <v>0</v>
      </c>
      <c r="I564" s="4">
        <f>'Raw Data'!H565*0.000732435</f>
        <v>0</v>
      </c>
      <c r="J564" s="4">
        <f t="shared" si="26"/>
        <v>0</v>
      </c>
      <c r="K564" s="36">
        <f>IF(('Raw Data'!I565-16384)/32768&lt;0,0,('Raw Data'!I565-16384)/32768)</f>
        <v>0</v>
      </c>
      <c r="L564" s="4">
        <f>IF(('Raw Data'!J565-12010)/45.6=-263.377192982456,0,('Raw Data'!J565-12010)/45.6)</f>
        <v>0</v>
      </c>
      <c r="M564" s="16">
        <f>'Raw Data'!N565*2^-8</f>
        <v>0</v>
      </c>
      <c r="N564" s="16">
        <f>'Raw Data'!O565*2^-8</f>
        <v>0</v>
      </c>
      <c r="O564" s="17" t="str">
        <f>IF(BITWISE_AND('Raw Data'!$K565, 8192),"X","")</f>
        <v/>
      </c>
      <c r="P564" s="17" t="str">
        <f>IF(BITWISE_AND('Raw Data'!$K565, 2048),"X","")</f>
        <v/>
      </c>
      <c r="Q564" s="17" t="str">
        <f>IF(BITWISE_AND('Raw Data'!$K565, 64),"X","")</f>
        <v/>
      </c>
      <c r="R564" s="18" t="str">
        <f>IF(BITWISE_AND('Raw Data'!$L565, 1024),"X","")</f>
        <v/>
      </c>
      <c r="S564" s="18" t="str">
        <f>IF(BITWISE_AND('Raw Data'!$L565, 512),"X","")</f>
        <v/>
      </c>
      <c r="T564" s="18" t="str">
        <f>IF(BITWISE_AND('Raw Data'!$L565, 256),"X","")</f>
        <v/>
      </c>
      <c r="U564" s="18" t="str">
        <f>IF(BITWISE_AND('Raw Data'!$L565, 64),"X","")</f>
        <v/>
      </c>
      <c r="V564" s="18" t="str">
        <f>IF(BITWISE_AND('Raw Data'!$L565, 2),"X","")</f>
        <v/>
      </c>
      <c r="W564" s="18" t="str">
        <f>IF(BITWISE_AND('Raw Data'!$L565, 1),"X","")</f>
        <v/>
      </c>
      <c r="X564" s="19" t="str">
        <f>IF(BITWISE_AND('Raw Data'!M565, 1),"Bat Voltage", IF(BITWISE_AND('Raw Data'!M565, 2), "Charge Current", IF(BITWISE_AND('Raw Data'!M565, 4),"Input Ilim", IF(BITWISE_AND('Raw Data'!M565, 8), "Input UV", "none"))))</f>
        <v>none</v>
      </c>
    </row>
    <row r="565" spans="1:24" x14ac:dyDescent="0.2">
      <c r="A565" s="15">
        <f>A564+TIME(0,0,'Raw Data'!B565)</f>
        <v>0</v>
      </c>
      <c r="B565" s="4">
        <f>'Raw Data'!C566*0.025</f>
        <v>0</v>
      </c>
      <c r="C565" s="4">
        <f t="shared" si="27"/>
        <v>0</v>
      </c>
      <c r="D565" s="4">
        <f>'Raw Data'!D566*0.025</f>
        <v>0</v>
      </c>
      <c r="E565" s="4">
        <f t="shared" si="28"/>
        <v>0</v>
      </c>
      <c r="F565" s="4">
        <f>'Raw Data'!E566*0.001648</f>
        <v>0</v>
      </c>
      <c r="G565" s="4">
        <f>'Raw Data'!F566*0.001648</f>
        <v>0</v>
      </c>
      <c r="H565" s="4">
        <f>'Raw Data'!G566*6*0.000128176</f>
        <v>0</v>
      </c>
      <c r="I565" s="4">
        <f>'Raw Data'!H566*0.000732435</f>
        <v>0</v>
      </c>
      <c r="J565" s="4">
        <f t="shared" si="26"/>
        <v>0</v>
      </c>
      <c r="K565" s="36">
        <f>IF(('Raw Data'!I566-16384)/32768&lt;0,0,('Raw Data'!I566-16384)/32768)</f>
        <v>0</v>
      </c>
      <c r="L565" s="4">
        <f>IF(('Raw Data'!J566-12010)/45.6=-263.377192982456,0,('Raw Data'!J566-12010)/45.6)</f>
        <v>0</v>
      </c>
      <c r="M565" s="16">
        <f>'Raw Data'!N566*2^-8</f>
        <v>0</v>
      </c>
      <c r="N565" s="16">
        <f>'Raw Data'!O566*2^-8</f>
        <v>0</v>
      </c>
      <c r="O565" s="17" t="str">
        <f>IF(BITWISE_AND('Raw Data'!$K566, 8192),"X","")</f>
        <v/>
      </c>
      <c r="P565" s="17" t="str">
        <f>IF(BITWISE_AND('Raw Data'!$K566, 2048),"X","")</f>
        <v/>
      </c>
      <c r="Q565" s="17" t="str">
        <f>IF(BITWISE_AND('Raw Data'!$K566, 64),"X","")</f>
        <v/>
      </c>
      <c r="R565" s="18" t="str">
        <f>IF(BITWISE_AND('Raw Data'!$L566, 1024),"X","")</f>
        <v/>
      </c>
      <c r="S565" s="18" t="str">
        <f>IF(BITWISE_AND('Raw Data'!$L566, 512),"X","")</f>
        <v/>
      </c>
      <c r="T565" s="18" t="str">
        <f>IF(BITWISE_AND('Raw Data'!$L566, 256),"X","")</f>
        <v/>
      </c>
      <c r="U565" s="18" t="str">
        <f>IF(BITWISE_AND('Raw Data'!$L566, 64),"X","")</f>
        <v/>
      </c>
      <c r="V565" s="18" t="str">
        <f>IF(BITWISE_AND('Raw Data'!$L566, 2),"X","")</f>
        <v/>
      </c>
      <c r="W565" s="18" t="str">
        <f>IF(BITWISE_AND('Raw Data'!$L566, 1),"X","")</f>
        <v/>
      </c>
      <c r="X565" s="19" t="str">
        <f>IF(BITWISE_AND('Raw Data'!M566, 1),"Bat Voltage", IF(BITWISE_AND('Raw Data'!M566, 2), "Charge Current", IF(BITWISE_AND('Raw Data'!M566, 4),"Input Ilim", IF(BITWISE_AND('Raw Data'!M566, 8), "Input UV", "none"))))</f>
        <v>none</v>
      </c>
    </row>
    <row r="566" spans="1:24" x14ac:dyDescent="0.2">
      <c r="A566" s="15">
        <f>A565+TIME(0,0,'Raw Data'!B566)</f>
        <v>0</v>
      </c>
      <c r="B566" s="4">
        <f>'Raw Data'!C567*0.025</f>
        <v>0</v>
      </c>
      <c r="C566" s="4">
        <f t="shared" si="27"/>
        <v>0</v>
      </c>
      <c r="D566" s="4">
        <f>'Raw Data'!D567*0.025</f>
        <v>0</v>
      </c>
      <c r="E566" s="4">
        <f t="shared" si="28"/>
        <v>0</v>
      </c>
      <c r="F566" s="4">
        <f>'Raw Data'!E567*0.001648</f>
        <v>0</v>
      </c>
      <c r="G566" s="4">
        <f>'Raw Data'!F567*0.001648</f>
        <v>0</v>
      </c>
      <c r="H566" s="4">
        <f>'Raw Data'!G567*6*0.000128176</f>
        <v>0</v>
      </c>
      <c r="I566" s="4">
        <f>'Raw Data'!H567*0.000732435</f>
        <v>0</v>
      </c>
      <c r="J566" s="4">
        <f t="shared" si="26"/>
        <v>0</v>
      </c>
      <c r="K566" s="36">
        <f>IF(('Raw Data'!I567-16384)/32768&lt;0,0,('Raw Data'!I567-16384)/32768)</f>
        <v>0</v>
      </c>
      <c r="L566" s="4">
        <f>IF(('Raw Data'!J567-12010)/45.6=-263.377192982456,0,('Raw Data'!J567-12010)/45.6)</f>
        <v>0</v>
      </c>
      <c r="M566" s="16">
        <f>'Raw Data'!N567*2^-8</f>
        <v>0</v>
      </c>
      <c r="N566" s="16">
        <f>'Raw Data'!O567*2^-8</f>
        <v>0</v>
      </c>
      <c r="O566" s="17" t="str">
        <f>IF(BITWISE_AND('Raw Data'!$K567, 8192),"X","")</f>
        <v/>
      </c>
      <c r="P566" s="17" t="str">
        <f>IF(BITWISE_AND('Raw Data'!$K567, 2048),"X","")</f>
        <v/>
      </c>
      <c r="Q566" s="17" t="str">
        <f>IF(BITWISE_AND('Raw Data'!$K567, 64),"X","")</f>
        <v/>
      </c>
      <c r="R566" s="18" t="str">
        <f>IF(BITWISE_AND('Raw Data'!$L567, 1024),"X","")</f>
        <v/>
      </c>
      <c r="S566" s="18" t="str">
        <f>IF(BITWISE_AND('Raw Data'!$L567, 512),"X","")</f>
        <v/>
      </c>
      <c r="T566" s="18" t="str">
        <f>IF(BITWISE_AND('Raw Data'!$L567, 256),"X","")</f>
        <v/>
      </c>
      <c r="U566" s="18" t="str">
        <f>IF(BITWISE_AND('Raw Data'!$L567, 64),"X","")</f>
        <v/>
      </c>
      <c r="V566" s="18" t="str">
        <f>IF(BITWISE_AND('Raw Data'!$L567, 2),"X","")</f>
        <v/>
      </c>
      <c r="W566" s="18" t="str">
        <f>IF(BITWISE_AND('Raw Data'!$L567, 1),"X","")</f>
        <v/>
      </c>
      <c r="X566" s="19" t="str">
        <f>IF(BITWISE_AND('Raw Data'!M567, 1),"Bat Voltage", IF(BITWISE_AND('Raw Data'!M567, 2), "Charge Current", IF(BITWISE_AND('Raw Data'!M567, 4),"Input Ilim", IF(BITWISE_AND('Raw Data'!M567, 8), "Input UV", "none"))))</f>
        <v>none</v>
      </c>
    </row>
    <row r="567" spans="1:24" x14ac:dyDescent="0.2">
      <c r="A567" s="15">
        <f>A566+TIME(0,0,'Raw Data'!B567)</f>
        <v>0</v>
      </c>
      <c r="B567" s="4">
        <f>'Raw Data'!C568*0.025</f>
        <v>0</v>
      </c>
      <c r="C567" s="4">
        <f t="shared" si="27"/>
        <v>0</v>
      </c>
      <c r="D567" s="4">
        <f>'Raw Data'!D568*0.025</f>
        <v>0</v>
      </c>
      <c r="E567" s="4">
        <f t="shared" si="28"/>
        <v>0</v>
      </c>
      <c r="F567" s="4">
        <f>'Raw Data'!E568*0.001648</f>
        <v>0</v>
      </c>
      <c r="G567" s="4">
        <f>'Raw Data'!F568*0.001648</f>
        <v>0</v>
      </c>
      <c r="H567" s="4">
        <f>'Raw Data'!G568*6*0.000128176</f>
        <v>0</v>
      </c>
      <c r="I567" s="4">
        <f>'Raw Data'!H568*0.000732435</f>
        <v>0</v>
      </c>
      <c r="J567" s="4">
        <f t="shared" si="26"/>
        <v>0</v>
      </c>
      <c r="K567" s="36">
        <f>IF(('Raw Data'!I568-16384)/32768&lt;0,0,('Raw Data'!I568-16384)/32768)</f>
        <v>0</v>
      </c>
      <c r="L567" s="4">
        <f>IF(('Raw Data'!J568-12010)/45.6=-263.377192982456,0,('Raw Data'!J568-12010)/45.6)</f>
        <v>0</v>
      </c>
      <c r="M567" s="16">
        <f>'Raw Data'!N568*2^-8</f>
        <v>0</v>
      </c>
      <c r="N567" s="16">
        <f>'Raw Data'!O568*2^-8</f>
        <v>0</v>
      </c>
      <c r="O567" s="17" t="str">
        <f>IF(BITWISE_AND('Raw Data'!$K568, 8192),"X","")</f>
        <v/>
      </c>
      <c r="P567" s="17" t="str">
        <f>IF(BITWISE_AND('Raw Data'!$K568, 2048),"X","")</f>
        <v/>
      </c>
      <c r="Q567" s="17" t="str">
        <f>IF(BITWISE_AND('Raw Data'!$K568, 64),"X","")</f>
        <v/>
      </c>
      <c r="R567" s="18" t="str">
        <f>IF(BITWISE_AND('Raw Data'!$L568, 1024),"X","")</f>
        <v/>
      </c>
      <c r="S567" s="18" t="str">
        <f>IF(BITWISE_AND('Raw Data'!$L568, 512),"X","")</f>
        <v/>
      </c>
      <c r="T567" s="18" t="str">
        <f>IF(BITWISE_AND('Raw Data'!$L568, 256),"X","")</f>
        <v/>
      </c>
      <c r="U567" s="18" t="str">
        <f>IF(BITWISE_AND('Raw Data'!$L568, 64),"X","")</f>
        <v/>
      </c>
      <c r="V567" s="18" t="str">
        <f>IF(BITWISE_AND('Raw Data'!$L568, 2),"X","")</f>
        <v/>
      </c>
      <c r="W567" s="18" t="str">
        <f>IF(BITWISE_AND('Raw Data'!$L568, 1),"X","")</f>
        <v/>
      </c>
      <c r="X567" s="19" t="str">
        <f>IF(BITWISE_AND('Raw Data'!M568, 1),"Bat Voltage", IF(BITWISE_AND('Raw Data'!M568, 2), "Charge Current", IF(BITWISE_AND('Raw Data'!M568, 4),"Input Ilim", IF(BITWISE_AND('Raw Data'!M568, 8), "Input UV", "none"))))</f>
        <v>none</v>
      </c>
    </row>
    <row r="568" spans="1:24" x14ac:dyDescent="0.2">
      <c r="A568" s="15">
        <f>A567+TIME(0,0,'Raw Data'!B568)</f>
        <v>0</v>
      </c>
      <c r="B568" s="4">
        <f>'Raw Data'!C569*0.025</f>
        <v>0</v>
      </c>
      <c r="C568" s="4">
        <f t="shared" si="27"/>
        <v>0</v>
      </c>
      <c r="D568" s="4">
        <f>'Raw Data'!D569*0.025</f>
        <v>0</v>
      </c>
      <c r="E568" s="4">
        <f t="shared" si="28"/>
        <v>0</v>
      </c>
      <c r="F568" s="4">
        <f>'Raw Data'!E569*0.001648</f>
        <v>0</v>
      </c>
      <c r="G568" s="4">
        <f>'Raw Data'!F569*0.001648</f>
        <v>0</v>
      </c>
      <c r="H568" s="4">
        <f>'Raw Data'!G569*6*0.000128176</f>
        <v>0</v>
      </c>
      <c r="I568" s="4">
        <f>'Raw Data'!H569*0.000732435</f>
        <v>0</v>
      </c>
      <c r="J568" s="4">
        <f t="shared" si="26"/>
        <v>0</v>
      </c>
      <c r="K568" s="36">
        <f>IF(('Raw Data'!I569-16384)/32768&lt;0,0,('Raw Data'!I569-16384)/32768)</f>
        <v>0</v>
      </c>
      <c r="L568" s="4">
        <f>IF(('Raw Data'!J569-12010)/45.6=-263.377192982456,0,('Raw Data'!J569-12010)/45.6)</f>
        <v>0</v>
      </c>
      <c r="M568" s="16">
        <f>'Raw Data'!N569*2^-8</f>
        <v>0</v>
      </c>
      <c r="N568" s="16">
        <f>'Raw Data'!O569*2^-8</f>
        <v>0</v>
      </c>
      <c r="O568" s="17" t="str">
        <f>IF(BITWISE_AND('Raw Data'!$K569, 8192),"X","")</f>
        <v/>
      </c>
      <c r="P568" s="17" t="str">
        <f>IF(BITWISE_AND('Raw Data'!$K569, 2048),"X","")</f>
        <v/>
      </c>
      <c r="Q568" s="17" t="str">
        <f>IF(BITWISE_AND('Raw Data'!$K569, 64),"X","")</f>
        <v/>
      </c>
      <c r="R568" s="18" t="str">
        <f>IF(BITWISE_AND('Raw Data'!$L569, 1024),"X","")</f>
        <v/>
      </c>
      <c r="S568" s="18" t="str">
        <f>IF(BITWISE_AND('Raw Data'!$L569, 512),"X","")</f>
        <v/>
      </c>
      <c r="T568" s="18" t="str">
        <f>IF(BITWISE_AND('Raw Data'!$L569, 256),"X","")</f>
        <v/>
      </c>
      <c r="U568" s="18" t="str">
        <f>IF(BITWISE_AND('Raw Data'!$L569, 64),"X","")</f>
        <v/>
      </c>
      <c r="V568" s="18" t="str">
        <f>IF(BITWISE_AND('Raw Data'!$L569, 2),"X","")</f>
        <v/>
      </c>
      <c r="W568" s="18" t="str">
        <f>IF(BITWISE_AND('Raw Data'!$L569, 1),"X","")</f>
        <v/>
      </c>
      <c r="X568" s="19" t="str">
        <f>IF(BITWISE_AND('Raw Data'!M569, 1),"Bat Voltage", IF(BITWISE_AND('Raw Data'!M569, 2), "Charge Current", IF(BITWISE_AND('Raw Data'!M569, 4),"Input Ilim", IF(BITWISE_AND('Raw Data'!M569, 8), "Input UV", "none"))))</f>
        <v>none</v>
      </c>
    </row>
    <row r="569" spans="1:24" x14ac:dyDescent="0.2">
      <c r="A569" s="15">
        <f>A568+TIME(0,0,'Raw Data'!B569)</f>
        <v>0</v>
      </c>
      <c r="B569" s="4">
        <f>'Raw Data'!C570*0.025</f>
        <v>0</v>
      </c>
      <c r="C569" s="4">
        <f t="shared" si="27"/>
        <v>0</v>
      </c>
      <c r="D569" s="4">
        <f>'Raw Data'!D570*0.025</f>
        <v>0</v>
      </c>
      <c r="E569" s="4">
        <f t="shared" si="28"/>
        <v>0</v>
      </c>
      <c r="F569" s="4">
        <f>'Raw Data'!E570*0.001648</f>
        <v>0</v>
      </c>
      <c r="G569" s="4">
        <f>'Raw Data'!F570*0.001648</f>
        <v>0</v>
      </c>
      <c r="H569" s="4">
        <f>'Raw Data'!G570*6*0.000128176</f>
        <v>0</v>
      </c>
      <c r="I569" s="4">
        <f>'Raw Data'!H570*0.000732435</f>
        <v>0</v>
      </c>
      <c r="J569" s="4">
        <f t="shared" si="26"/>
        <v>0</v>
      </c>
      <c r="K569" s="36">
        <f>IF(('Raw Data'!I570-16384)/32768&lt;0,0,('Raw Data'!I570-16384)/32768)</f>
        <v>0</v>
      </c>
      <c r="L569" s="4">
        <f>IF(('Raw Data'!J570-12010)/45.6=-263.377192982456,0,('Raw Data'!J570-12010)/45.6)</f>
        <v>0</v>
      </c>
      <c r="M569" s="16">
        <f>'Raw Data'!N570*2^-8</f>
        <v>0</v>
      </c>
      <c r="N569" s="16">
        <f>'Raw Data'!O570*2^-8</f>
        <v>0</v>
      </c>
      <c r="O569" s="17" t="str">
        <f>IF(BITWISE_AND('Raw Data'!$K570, 8192),"X","")</f>
        <v/>
      </c>
      <c r="P569" s="17" t="str">
        <f>IF(BITWISE_AND('Raw Data'!$K570, 2048),"X","")</f>
        <v/>
      </c>
      <c r="Q569" s="17" t="str">
        <f>IF(BITWISE_AND('Raw Data'!$K570, 64),"X","")</f>
        <v/>
      </c>
      <c r="R569" s="18" t="str">
        <f>IF(BITWISE_AND('Raw Data'!$L570, 1024),"X","")</f>
        <v/>
      </c>
      <c r="S569" s="18" t="str">
        <f>IF(BITWISE_AND('Raw Data'!$L570, 512),"X","")</f>
        <v/>
      </c>
      <c r="T569" s="18" t="str">
        <f>IF(BITWISE_AND('Raw Data'!$L570, 256),"X","")</f>
        <v/>
      </c>
      <c r="U569" s="18" t="str">
        <f>IF(BITWISE_AND('Raw Data'!$L570, 64),"X","")</f>
        <v/>
      </c>
      <c r="V569" s="18" t="str">
        <f>IF(BITWISE_AND('Raw Data'!$L570, 2),"X","")</f>
        <v/>
      </c>
      <c r="W569" s="18" t="str">
        <f>IF(BITWISE_AND('Raw Data'!$L570, 1),"X","")</f>
        <v/>
      </c>
      <c r="X569" s="19" t="str">
        <f>IF(BITWISE_AND('Raw Data'!M570, 1),"Bat Voltage", IF(BITWISE_AND('Raw Data'!M570, 2), "Charge Current", IF(BITWISE_AND('Raw Data'!M570, 4),"Input Ilim", IF(BITWISE_AND('Raw Data'!M570, 8), "Input UV", "none"))))</f>
        <v>none</v>
      </c>
    </row>
    <row r="570" spans="1:24" x14ac:dyDescent="0.2">
      <c r="A570" s="15">
        <f>A569+TIME(0,0,'Raw Data'!B570)</f>
        <v>0</v>
      </c>
      <c r="B570" s="4">
        <f>'Raw Data'!C571*0.025</f>
        <v>0</v>
      </c>
      <c r="C570" s="4">
        <f t="shared" si="27"/>
        <v>0</v>
      </c>
      <c r="D570" s="4">
        <f>'Raw Data'!D571*0.025</f>
        <v>0</v>
      </c>
      <c r="E570" s="4">
        <f t="shared" si="28"/>
        <v>0</v>
      </c>
      <c r="F570" s="4">
        <f>'Raw Data'!E571*0.001648</f>
        <v>0</v>
      </c>
      <c r="G570" s="4">
        <f>'Raw Data'!F571*0.001648</f>
        <v>0</v>
      </c>
      <c r="H570" s="4">
        <f>'Raw Data'!G571*6*0.000128176</f>
        <v>0</v>
      </c>
      <c r="I570" s="4">
        <f>'Raw Data'!H571*0.000732435</f>
        <v>0</v>
      </c>
      <c r="J570" s="4">
        <f t="shared" si="26"/>
        <v>0</v>
      </c>
      <c r="K570" s="36">
        <f>IF(('Raw Data'!I571-16384)/32768&lt;0,0,('Raw Data'!I571-16384)/32768)</f>
        <v>0</v>
      </c>
      <c r="L570" s="4">
        <f>IF(('Raw Data'!J571-12010)/45.6=-263.377192982456,0,('Raw Data'!J571-12010)/45.6)</f>
        <v>0</v>
      </c>
      <c r="M570" s="16">
        <f>'Raw Data'!N571*2^-8</f>
        <v>0</v>
      </c>
      <c r="N570" s="16">
        <f>'Raw Data'!O571*2^-8</f>
        <v>0</v>
      </c>
      <c r="O570" s="17" t="str">
        <f>IF(BITWISE_AND('Raw Data'!$K571, 8192),"X","")</f>
        <v/>
      </c>
      <c r="P570" s="17" t="str">
        <f>IF(BITWISE_AND('Raw Data'!$K571, 2048),"X","")</f>
        <v/>
      </c>
      <c r="Q570" s="17" t="str">
        <f>IF(BITWISE_AND('Raw Data'!$K571, 64),"X","")</f>
        <v/>
      </c>
      <c r="R570" s="18" t="str">
        <f>IF(BITWISE_AND('Raw Data'!$L571, 1024),"X","")</f>
        <v/>
      </c>
      <c r="S570" s="18" t="str">
        <f>IF(BITWISE_AND('Raw Data'!$L571, 512),"X","")</f>
        <v/>
      </c>
      <c r="T570" s="18" t="str">
        <f>IF(BITWISE_AND('Raw Data'!$L571, 256),"X","")</f>
        <v/>
      </c>
      <c r="U570" s="18" t="str">
        <f>IF(BITWISE_AND('Raw Data'!$L571, 64),"X","")</f>
        <v/>
      </c>
      <c r="V570" s="18" t="str">
        <f>IF(BITWISE_AND('Raw Data'!$L571, 2),"X","")</f>
        <v/>
      </c>
      <c r="W570" s="18" t="str">
        <f>IF(BITWISE_AND('Raw Data'!$L571, 1),"X","")</f>
        <v/>
      </c>
      <c r="X570" s="19" t="str">
        <f>IF(BITWISE_AND('Raw Data'!M571, 1),"Bat Voltage", IF(BITWISE_AND('Raw Data'!M571, 2), "Charge Current", IF(BITWISE_AND('Raw Data'!M571, 4),"Input Ilim", IF(BITWISE_AND('Raw Data'!M571, 8), "Input UV", "none"))))</f>
        <v>none</v>
      </c>
    </row>
    <row r="571" spans="1:24" x14ac:dyDescent="0.2">
      <c r="A571" s="15">
        <f>A570+TIME(0,0,'Raw Data'!B571)</f>
        <v>0</v>
      </c>
      <c r="B571" s="4">
        <f>'Raw Data'!C572*0.025</f>
        <v>0</v>
      </c>
      <c r="C571" s="4">
        <f t="shared" si="27"/>
        <v>0</v>
      </c>
      <c r="D571" s="4">
        <f>'Raw Data'!D572*0.025</f>
        <v>0</v>
      </c>
      <c r="E571" s="4">
        <f t="shared" si="28"/>
        <v>0</v>
      </c>
      <c r="F571" s="4">
        <f>'Raw Data'!E572*0.001648</f>
        <v>0</v>
      </c>
      <c r="G571" s="4">
        <f>'Raw Data'!F572*0.001648</f>
        <v>0</v>
      </c>
      <c r="H571" s="4">
        <f>'Raw Data'!G572*6*0.000128176</f>
        <v>0</v>
      </c>
      <c r="I571" s="4">
        <f>'Raw Data'!H572*0.000732435</f>
        <v>0</v>
      </c>
      <c r="J571" s="4">
        <f t="shared" si="26"/>
        <v>0</v>
      </c>
      <c r="K571" s="36">
        <f>IF(('Raw Data'!I572-16384)/32768&lt;0,0,('Raw Data'!I572-16384)/32768)</f>
        <v>0</v>
      </c>
      <c r="L571" s="4">
        <f>IF(('Raw Data'!J572-12010)/45.6=-263.377192982456,0,('Raw Data'!J572-12010)/45.6)</f>
        <v>0</v>
      </c>
      <c r="M571" s="16">
        <f>'Raw Data'!N572*2^-8</f>
        <v>0</v>
      </c>
      <c r="N571" s="16">
        <f>'Raw Data'!O572*2^-8</f>
        <v>0</v>
      </c>
      <c r="O571" s="17" t="str">
        <f>IF(BITWISE_AND('Raw Data'!$K572, 8192),"X","")</f>
        <v/>
      </c>
      <c r="P571" s="17" t="str">
        <f>IF(BITWISE_AND('Raw Data'!$K572, 2048),"X","")</f>
        <v/>
      </c>
      <c r="Q571" s="17" t="str">
        <f>IF(BITWISE_AND('Raw Data'!$K572, 64),"X","")</f>
        <v/>
      </c>
      <c r="R571" s="18" t="str">
        <f>IF(BITWISE_AND('Raw Data'!$L572, 1024),"X","")</f>
        <v/>
      </c>
      <c r="S571" s="18" t="str">
        <f>IF(BITWISE_AND('Raw Data'!$L572, 512),"X","")</f>
        <v/>
      </c>
      <c r="T571" s="18" t="str">
        <f>IF(BITWISE_AND('Raw Data'!$L572, 256),"X","")</f>
        <v/>
      </c>
      <c r="U571" s="18" t="str">
        <f>IF(BITWISE_AND('Raw Data'!$L572, 64),"X","")</f>
        <v/>
      </c>
      <c r="V571" s="18" t="str">
        <f>IF(BITWISE_AND('Raw Data'!$L572, 2),"X","")</f>
        <v/>
      </c>
      <c r="W571" s="18" t="str">
        <f>IF(BITWISE_AND('Raw Data'!$L572, 1),"X","")</f>
        <v/>
      </c>
      <c r="X571" s="19" t="str">
        <f>IF(BITWISE_AND('Raw Data'!M572, 1),"Bat Voltage", IF(BITWISE_AND('Raw Data'!M572, 2), "Charge Current", IF(BITWISE_AND('Raw Data'!M572, 4),"Input Ilim", IF(BITWISE_AND('Raw Data'!M572, 8), "Input UV", "none"))))</f>
        <v>none</v>
      </c>
    </row>
    <row r="572" spans="1:24" x14ac:dyDescent="0.2">
      <c r="A572" s="15">
        <f>A571+TIME(0,0,'Raw Data'!B572)</f>
        <v>0</v>
      </c>
      <c r="B572" s="4">
        <f>'Raw Data'!C573*0.025</f>
        <v>0</v>
      </c>
      <c r="C572" s="4">
        <f t="shared" si="27"/>
        <v>0</v>
      </c>
      <c r="D572" s="4">
        <f>'Raw Data'!D573*0.025</f>
        <v>0</v>
      </c>
      <c r="E572" s="4">
        <f t="shared" si="28"/>
        <v>0</v>
      </c>
      <c r="F572" s="4">
        <f>'Raw Data'!E573*0.001648</f>
        <v>0</v>
      </c>
      <c r="G572" s="4">
        <f>'Raw Data'!F573*0.001648</f>
        <v>0</v>
      </c>
      <c r="H572" s="4">
        <f>'Raw Data'!G573*6*0.000128176</f>
        <v>0</v>
      </c>
      <c r="I572" s="4">
        <f>'Raw Data'!H573*0.000732435</f>
        <v>0</v>
      </c>
      <c r="J572" s="4">
        <f t="shared" si="26"/>
        <v>0</v>
      </c>
      <c r="K572" s="36">
        <f>IF(('Raw Data'!I573-16384)/32768&lt;0,0,('Raw Data'!I573-16384)/32768)</f>
        <v>0</v>
      </c>
      <c r="L572" s="4">
        <f>IF(('Raw Data'!J573-12010)/45.6=-263.377192982456,0,('Raw Data'!J573-12010)/45.6)</f>
        <v>0</v>
      </c>
      <c r="M572" s="16">
        <f>'Raw Data'!N573*2^-8</f>
        <v>0</v>
      </c>
      <c r="N572" s="16">
        <f>'Raw Data'!O573*2^-8</f>
        <v>0</v>
      </c>
      <c r="O572" s="17" t="str">
        <f>IF(BITWISE_AND('Raw Data'!$K573, 8192),"X","")</f>
        <v/>
      </c>
      <c r="P572" s="17" t="str">
        <f>IF(BITWISE_AND('Raw Data'!$K573, 2048),"X","")</f>
        <v/>
      </c>
      <c r="Q572" s="17" t="str">
        <f>IF(BITWISE_AND('Raw Data'!$K573, 64),"X","")</f>
        <v/>
      </c>
      <c r="R572" s="18" t="str">
        <f>IF(BITWISE_AND('Raw Data'!$L573, 1024),"X","")</f>
        <v/>
      </c>
      <c r="S572" s="18" t="str">
        <f>IF(BITWISE_AND('Raw Data'!$L573, 512),"X","")</f>
        <v/>
      </c>
      <c r="T572" s="18" t="str">
        <f>IF(BITWISE_AND('Raw Data'!$L573, 256),"X","")</f>
        <v/>
      </c>
      <c r="U572" s="18" t="str">
        <f>IF(BITWISE_AND('Raw Data'!$L573, 64),"X","")</f>
        <v/>
      </c>
      <c r="V572" s="18" t="str">
        <f>IF(BITWISE_AND('Raw Data'!$L573, 2),"X","")</f>
        <v/>
      </c>
      <c r="W572" s="18" t="str">
        <f>IF(BITWISE_AND('Raw Data'!$L573, 1),"X","")</f>
        <v/>
      </c>
      <c r="X572" s="19" t="str">
        <f>IF(BITWISE_AND('Raw Data'!M573, 1),"Bat Voltage", IF(BITWISE_AND('Raw Data'!M573, 2), "Charge Current", IF(BITWISE_AND('Raw Data'!M573, 4),"Input Ilim", IF(BITWISE_AND('Raw Data'!M573, 8), "Input UV", "none"))))</f>
        <v>none</v>
      </c>
    </row>
    <row r="573" spans="1:24" x14ac:dyDescent="0.2">
      <c r="A573" s="15">
        <f>A572+TIME(0,0,'Raw Data'!B573)</f>
        <v>0</v>
      </c>
      <c r="B573" s="4">
        <f>'Raw Data'!C574*0.025</f>
        <v>0</v>
      </c>
      <c r="C573" s="4">
        <f t="shared" si="27"/>
        <v>0</v>
      </c>
      <c r="D573" s="4">
        <f>'Raw Data'!D574*0.025</f>
        <v>0</v>
      </c>
      <c r="E573" s="4">
        <f t="shared" si="28"/>
        <v>0</v>
      </c>
      <c r="F573" s="4">
        <f>'Raw Data'!E574*0.001648</f>
        <v>0</v>
      </c>
      <c r="G573" s="4">
        <f>'Raw Data'!F574*0.001648</f>
        <v>0</v>
      </c>
      <c r="H573" s="4">
        <f>'Raw Data'!G574*6*0.000128176</f>
        <v>0</v>
      </c>
      <c r="I573" s="4">
        <f>'Raw Data'!H574*0.000732435</f>
        <v>0</v>
      </c>
      <c r="J573" s="4">
        <f t="shared" si="26"/>
        <v>0</v>
      </c>
      <c r="K573" s="36">
        <f>IF(('Raw Data'!I574-16384)/32768&lt;0,0,('Raw Data'!I574-16384)/32768)</f>
        <v>0</v>
      </c>
      <c r="L573" s="4">
        <f>IF(('Raw Data'!J574-12010)/45.6=-263.377192982456,0,('Raw Data'!J574-12010)/45.6)</f>
        <v>0</v>
      </c>
      <c r="M573" s="16">
        <f>'Raw Data'!N574*2^-8</f>
        <v>0</v>
      </c>
      <c r="N573" s="16">
        <f>'Raw Data'!O574*2^-8</f>
        <v>0</v>
      </c>
      <c r="O573" s="17" t="str">
        <f>IF(BITWISE_AND('Raw Data'!$K574, 8192),"X","")</f>
        <v/>
      </c>
      <c r="P573" s="17" t="str">
        <f>IF(BITWISE_AND('Raw Data'!$K574, 2048),"X","")</f>
        <v/>
      </c>
      <c r="Q573" s="17" t="str">
        <f>IF(BITWISE_AND('Raw Data'!$K574, 64),"X","")</f>
        <v/>
      </c>
      <c r="R573" s="18" t="str">
        <f>IF(BITWISE_AND('Raw Data'!$L574, 1024),"X","")</f>
        <v/>
      </c>
      <c r="S573" s="18" t="str">
        <f>IF(BITWISE_AND('Raw Data'!$L574, 512),"X","")</f>
        <v/>
      </c>
      <c r="T573" s="18" t="str">
        <f>IF(BITWISE_AND('Raw Data'!$L574, 256),"X","")</f>
        <v/>
      </c>
      <c r="U573" s="18" t="str">
        <f>IF(BITWISE_AND('Raw Data'!$L574, 64),"X","")</f>
        <v/>
      </c>
      <c r="V573" s="18" t="str">
        <f>IF(BITWISE_AND('Raw Data'!$L574, 2),"X","")</f>
        <v/>
      </c>
      <c r="W573" s="18" t="str">
        <f>IF(BITWISE_AND('Raw Data'!$L574, 1),"X","")</f>
        <v/>
      </c>
      <c r="X573" s="19" t="str">
        <f>IF(BITWISE_AND('Raw Data'!M574, 1),"Bat Voltage", IF(BITWISE_AND('Raw Data'!M574, 2), "Charge Current", IF(BITWISE_AND('Raw Data'!M574, 4),"Input Ilim", IF(BITWISE_AND('Raw Data'!M574, 8), "Input UV", "none"))))</f>
        <v>none</v>
      </c>
    </row>
    <row r="574" spans="1:24" x14ac:dyDescent="0.2">
      <c r="A574" s="15">
        <f>A573+TIME(0,0,'Raw Data'!B574)</f>
        <v>0</v>
      </c>
      <c r="B574" s="4">
        <f>'Raw Data'!C575*0.025</f>
        <v>0</v>
      </c>
      <c r="C574" s="4">
        <f t="shared" si="27"/>
        <v>0</v>
      </c>
      <c r="D574" s="4">
        <f>'Raw Data'!D575*0.025</f>
        <v>0</v>
      </c>
      <c r="E574" s="4">
        <f t="shared" si="28"/>
        <v>0</v>
      </c>
      <c r="F574" s="4">
        <f>'Raw Data'!E575*0.001648</f>
        <v>0</v>
      </c>
      <c r="G574" s="4">
        <f>'Raw Data'!F575*0.001648</f>
        <v>0</v>
      </c>
      <c r="H574" s="4">
        <f>'Raw Data'!G575*6*0.000128176</f>
        <v>0</v>
      </c>
      <c r="I574" s="4">
        <f>'Raw Data'!H575*0.000732435</f>
        <v>0</v>
      </c>
      <c r="J574" s="4">
        <f t="shared" si="26"/>
        <v>0</v>
      </c>
      <c r="K574" s="36">
        <f>IF(('Raw Data'!I575-16384)/32768&lt;0,0,('Raw Data'!I575-16384)/32768)</f>
        <v>0</v>
      </c>
      <c r="L574" s="4">
        <f>IF(('Raw Data'!J575-12010)/45.6=-263.377192982456,0,('Raw Data'!J575-12010)/45.6)</f>
        <v>0</v>
      </c>
      <c r="M574" s="16">
        <f>'Raw Data'!N575*2^-8</f>
        <v>0</v>
      </c>
      <c r="N574" s="16">
        <f>'Raw Data'!O575*2^-8</f>
        <v>0</v>
      </c>
      <c r="O574" s="17" t="str">
        <f>IF(BITWISE_AND('Raw Data'!$K575, 8192),"X","")</f>
        <v/>
      </c>
      <c r="P574" s="17" t="str">
        <f>IF(BITWISE_AND('Raw Data'!$K575, 2048),"X","")</f>
        <v/>
      </c>
      <c r="Q574" s="17" t="str">
        <f>IF(BITWISE_AND('Raw Data'!$K575, 64),"X","")</f>
        <v/>
      </c>
      <c r="R574" s="18" t="str">
        <f>IF(BITWISE_AND('Raw Data'!$L575, 1024),"X","")</f>
        <v/>
      </c>
      <c r="S574" s="18" t="str">
        <f>IF(BITWISE_AND('Raw Data'!$L575, 512),"X","")</f>
        <v/>
      </c>
      <c r="T574" s="18" t="str">
        <f>IF(BITWISE_AND('Raw Data'!$L575, 256),"X","")</f>
        <v/>
      </c>
      <c r="U574" s="18" t="str">
        <f>IF(BITWISE_AND('Raw Data'!$L575, 64),"X","")</f>
        <v/>
      </c>
      <c r="V574" s="18" t="str">
        <f>IF(BITWISE_AND('Raw Data'!$L575, 2),"X","")</f>
        <v/>
      </c>
      <c r="W574" s="18" t="str">
        <f>IF(BITWISE_AND('Raw Data'!$L575, 1),"X","")</f>
        <v/>
      </c>
      <c r="X574" s="19" t="str">
        <f>IF(BITWISE_AND('Raw Data'!M575, 1),"Bat Voltage", IF(BITWISE_AND('Raw Data'!M575, 2), "Charge Current", IF(BITWISE_AND('Raw Data'!M575, 4),"Input Ilim", IF(BITWISE_AND('Raw Data'!M575, 8), "Input UV", "none"))))</f>
        <v>none</v>
      </c>
    </row>
    <row r="575" spans="1:24" x14ac:dyDescent="0.2">
      <c r="A575" s="15">
        <f>A574+TIME(0,0,'Raw Data'!B575)</f>
        <v>0</v>
      </c>
      <c r="B575" s="4">
        <f>'Raw Data'!C576*0.025</f>
        <v>0</v>
      </c>
      <c r="C575" s="4">
        <f t="shared" si="27"/>
        <v>0</v>
      </c>
      <c r="D575" s="4">
        <f>'Raw Data'!D576*0.025</f>
        <v>0</v>
      </c>
      <c r="E575" s="4">
        <f t="shared" si="28"/>
        <v>0</v>
      </c>
      <c r="F575" s="4">
        <f>'Raw Data'!E576*0.001648</f>
        <v>0</v>
      </c>
      <c r="G575" s="4">
        <f>'Raw Data'!F576*0.001648</f>
        <v>0</v>
      </c>
      <c r="H575" s="4">
        <f>'Raw Data'!G576*6*0.000128176</f>
        <v>0</v>
      </c>
      <c r="I575" s="4">
        <f>'Raw Data'!H576*0.000732435</f>
        <v>0</v>
      </c>
      <c r="J575" s="4">
        <f t="shared" si="26"/>
        <v>0</v>
      </c>
      <c r="K575" s="36">
        <f>IF(('Raw Data'!I576-16384)/32768&lt;0,0,('Raw Data'!I576-16384)/32768)</f>
        <v>0</v>
      </c>
      <c r="L575" s="4">
        <f>IF(('Raw Data'!J576-12010)/45.6=-263.377192982456,0,('Raw Data'!J576-12010)/45.6)</f>
        <v>0</v>
      </c>
      <c r="M575" s="16">
        <f>'Raw Data'!N576*2^-8</f>
        <v>0</v>
      </c>
      <c r="N575" s="16">
        <f>'Raw Data'!O576*2^-8</f>
        <v>0</v>
      </c>
      <c r="O575" s="17" t="str">
        <f>IF(BITWISE_AND('Raw Data'!$K576, 8192),"X","")</f>
        <v/>
      </c>
      <c r="P575" s="17" t="str">
        <f>IF(BITWISE_AND('Raw Data'!$K576, 2048),"X","")</f>
        <v/>
      </c>
      <c r="Q575" s="17" t="str">
        <f>IF(BITWISE_AND('Raw Data'!$K576, 64),"X","")</f>
        <v/>
      </c>
      <c r="R575" s="18" t="str">
        <f>IF(BITWISE_AND('Raw Data'!$L576, 1024),"X","")</f>
        <v/>
      </c>
      <c r="S575" s="18" t="str">
        <f>IF(BITWISE_AND('Raw Data'!$L576, 512),"X","")</f>
        <v/>
      </c>
      <c r="T575" s="18" t="str">
        <f>IF(BITWISE_AND('Raw Data'!$L576, 256),"X","")</f>
        <v/>
      </c>
      <c r="U575" s="18" t="str">
        <f>IF(BITWISE_AND('Raw Data'!$L576, 64),"X","")</f>
        <v/>
      </c>
      <c r="V575" s="18" t="str">
        <f>IF(BITWISE_AND('Raw Data'!$L576, 2),"X","")</f>
        <v/>
      </c>
      <c r="W575" s="18" t="str">
        <f>IF(BITWISE_AND('Raw Data'!$L576, 1),"X","")</f>
        <v/>
      </c>
      <c r="X575" s="19" t="str">
        <f>IF(BITWISE_AND('Raw Data'!M576, 1),"Bat Voltage", IF(BITWISE_AND('Raw Data'!M576, 2), "Charge Current", IF(BITWISE_AND('Raw Data'!M576, 4),"Input Ilim", IF(BITWISE_AND('Raw Data'!M576, 8), "Input UV", "none"))))</f>
        <v>none</v>
      </c>
    </row>
    <row r="576" spans="1:24" x14ac:dyDescent="0.2">
      <c r="A576" s="15">
        <f>A575+TIME(0,0,'Raw Data'!B576)</f>
        <v>0</v>
      </c>
      <c r="B576" s="4">
        <f>'Raw Data'!C577*0.025</f>
        <v>0</v>
      </c>
      <c r="C576" s="4">
        <f t="shared" si="27"/>
        <v>0</v>
      </c>
      <c r="D576" s="4">
        <f>'Raw Data'!D577*0.025</f>
        <v>0</v>
      </c>
      <c r="E576" s="4">
        <f t="shared" si="28"/>
        <v>0</v>
      </c>
      <c r="F576" s="4">
        <f>'Raw Data'!E577*0.001648</f>
        <v>0</v>
      </c>
      <c r="G576" s="4">
        <f>'Raw Data'!F577*0.001648</f>
        <v>0</v>
      </c>
      <c r="H576" s="4">
        <f>'Raw Data'!G577*6*0.000128176</f>
        <v>0</v>
      </c>
      <c r="I576" s="4">
        <f>'Raw Data'!H577*0.000732435</f>
        <v>0</v>
      </c>
      <c r="J576" s="4">
        <f t="shared" si="26"/>
        <v>0</v>
      </c>
      <c r="K576" s="36">
        <f>IF(('Raw Data'!I577-16384)/32768&lt;0,0,('Raw Data'!I577-16384)/32768)</f>
        <v>0</v>
      </c>
      <c r="L576" s="4">
        <f>IF(('Raw Data'!J577-12010)/45.6=-263.377192982456,0,('Raw Data'!J577-12010)/45.6)</f>
        <v>0</v>
      </c>
      <c r="M576" s="16">
        <f>'Raw Data'!N577*2^-8</f>
        <v>0</v>
      </c>
      <c r="N576" s="16">
        <f>'Raw Data'!O577*2^-8</f>
        <v>0</v>
      </c>
      <c r="O576" s="17" t="str">
        <f>IF(BITWISE_AND('Raw Data'!$K577, 8192),"X","")</f>
        <v/>
      </c>
      <c r="P576" s="17" t="str">
        <f>IF(BITWISE_AND('Raw Data'!$K577, 2048),"X","")</f>
        <v/>
      </c>
      <c r="Q576" s="17" t="str">
        <f>IF(BITWISE_AND('Raw Data'!$K577, 64),"X","")</f>
        <v/>
      </c>
      <c r="R576" s="18" t="str">
        <f>IF(BITWISE_AND('Raw Data'!$L577, 1024),"X","")</f>
        <v/>
      </c>
      <c r="S576" s="18" t="str">
        <f>IF(BITWISE_AND('Raw Data'!$L577, 512),"X","")</f>
        <v/>
      </c>
      <c r="T576" s="18" t="str">
        <f>IF(BITWISE_AND('Raw Data'!$L577, 256),"X","")</f>
        <v/>
      </c>
      <c r="U576" s="18" t="str">
        <f>IF(BITWISE_AND('Raw Data'!$L577, 64),"X","")</f>
        <v/>
      </c>
      <c r="V576" s="18" t="str">
        <f>IF(BITWISE_AND('Raw Data'!$L577, 2),"X","")</f>
        <v/>
      </c>
      <c r="W576" s="18" t="str">
        <f>IF(BITWISE_AND('Raw Data'!$L577, 1),"X","")</f>
        <v/>
      </c>
      <c r="X576" s="19" t="str">
        <f>IF(BITWISE_AND('Raw Data'!M577, 1),"Bat Voltage", IF(BITWISE_AND('Raw Data'!M577, 2), "Charge Current", IF(BITWISE_AND('Raw Data'!M577, 4),"Input Ilim", IF(BITWISE_AND('Raw Data'!M577, 8), "Input UV", "none"))))</f>
        <v>none</v>
      </c>
    </row>
    <row r="577" spans="1:24" x14ac:dyDescent="0.2">
      <c r="A577" s="15">
        <f>A576+TIME(0,0,'Raw Data'!B577)</f>
        <v>0</v>
      </c>
      <c r="B577" s="4">
        <f>'Raw Data'!C578*0.025</f>
        <v>0</v>
      </c>
      <c r="C577" s="4">
        <f t="shared" si="27"/>
        <v>0</v>
      </c>
      <c r="D577" s="4">
        <f>'Raw Data'!D578*0.025</f>
        <v>0</v>
      </c>
      <c r="E577" s="4">
        <f t="shared" si="28"/>
        <v>0</v>
      </c>
      <c r="F577" s="4">
        <f>'Raw Data'!E578*0.001648</f>
        <v>0</v>
      </c>
      <c r="G577" s="4">
        <f>'Raw Data'!F578*0.001648</f>
        <v>0</v>
      </c>
      <c r="H577" s="4">
        <f>'Raw Data'!G578*6*0.000128176</f>
        <v>0</v>
      </c>
      <c r="I577" s="4">
        <f>'Raw Data'!H578*0.000732435</f>
        <v>0</v>
      </c>
      <c r="J577" s="4">
        <f t="shared" si="26"/>
        <v>0</v>
      </c>
      <c r="K577" s="36">
        <f>IF(('Raw Data'!I578-16384)/32768&lt;0,0,('Raw Data'!I578-16384)/32768)</f>
        <v>0</v>
      </c>
      <c r="L577" s="4">
        <f>IF(('Raw Data'!J578-12010)/45.6=-263.377192982456,0,('Raw Data'!J578-12010)/45.6)</f>
        <v>0</v>
      </c>
      <c r="M577" s="16">
        <f>'Raw Data'!N578*2^-8</f>
        <v>0</v>
      </c>
      <c r="N577" s="16">
        <f>'Raw Data'!O578*2^-8</f>
        <v>0</v>
      </c>
      <c r="O577" s="17" t="str">
        <f>IF(BITWISE_AND('Raw Data'!$K578, 8192),"X","")</f>
        <v/>
      </c>
      <c r="P577" s="17" t="str">
        <f>IF(BITWISE_AND('Raw Data'!$K578, 2048),"X","")</f>
        <v/>
      </c>
      <c r="Q577" s="17" t="str">
        <f>IF(BITWISE_AND('Raw Data'!$K578, 64),"X","")</f>
        <v/>
      </c>
      <c r="R577" s="18" t="str">
        <f>IF(BITWISE_AND('Raw Data'!$L578, 1024),"X","")</f>
        <v/>
      </c>
      <c r="S577" s="18" t="str">
        <f>IF(BITWISE_AND('Raw Data'!$L578, 512),"X","")</f>
        <v/>
      </c>
      <c r="T577" s="18" t="str">
        <f>IF(BITWISE_AND('Raw Data'!$L578, 256),"X","")</f>
        <v/>
      </c>
      <c r="U577" s="18" t="str">
        <f>IF(BITWISE_AND('Raw Data'!$L578, 64),"X","")</f>
        <v/>
      </c>
      <c r="V577" s="18" t="str">
        <f>IF(BITWISE_AND('Raw Data'!$L578, 2),"X","")</f>
        <v/>
      </c>
      <c r="W577" s="18" t="str">
        <f>IF(BITWISE_AND('Raw Data'!$L578, 1),"X","")</f>
        <v/>
      </c>
      <c r="X577" s="19" t="str">
        <f>IF(BITWISE_AND('Raw Data'!M578, 1),"Bat Voltage", IF(BITWISE_AND('Raw Data'!M578, 2), "Charge Current", IF(BITWISE_AND('Raw Data'!M578, 4),"Input Ilim", IF(BITWISE_AND('Raw Data'!M578, 8), "Input UV", "none"))))</f>
        <v>none</v>
      </c>
    </row>
    <row r="578" spans="1:24" x14ac:dyDescent="0.2">
      <c r="A578" s="15">
        <f>A577+TIME(0,0,'Raw Data'!B578)</f>
        <v>0</v>
      </c>
      <c r="B578" s="4">
        <f>'Raw Data'!C579*0.025</f>
        <v>0</v>
      </c>
      <c r="C578" s="4">
        <f t="shared" si="27"/>
        <v>0</v>
      </c>
      <c r="D578" s="4">
        <f>'Raw Data'!D579*0.025</f>
        <v>0</v>
      </c>
      <c r="E578" s="4">
        <f t="shared" si="28"/>
        <v>0</v>
      </c>
      <c r="F578" s="4">
        <f>'Raw Data'!E579*0.001648</f>
        <v>0</v>
      </c>
      <c r="G578" s="4">
        <f>'Raw Data'!F579*0.001648</f>
        <v>0</v>
      </c>
      <c r="H578" s="4">
        <f>'Raw Data'!G579*6*0.000128176</f>
        <v>0</v>
      </c>
      <c r="I578" s="4">
        <f>'Raw Data'!H579*0.000732435</f>
        <v>0</v>
      </c>
      <c r="J578" s="4">
        <f t="shared" si="26"/>
        <v>0</v>
      </c>
      <c r="K578" s="36">
        <f>IF(('Raw Data'!I579-16384)/32768&lt;0,0,('Raw Data'!I579-16384)/32768)</f>
        <v>0</v>
      </c>
      <c r="L578" s="4">
        <f>IF(('Raw Data'!J579-12010)/45.6=-263.377192982456,0,('Raw Data'!J579-12010)/45.6)</f>
        <v>0</v>
      </c>
      <c r="M578" s="16">
        <f>'Raw Data'!N579*2^-8</f>
        <v>0</v>
      </c>
      <c r="N578" s="16">
        <f>'Raw Data'!O579*2^-8</f>
        <v>0</v>
      </c>
      <c r="O578" s="17" t="str">
        <f>IF(BITWISE_AND('Raw Data'!$K579, 8192),"X","")</f>
        <v/>
      </c>
      <c r="P578" s="17" t="str">
        <f>IF(BITWISE_AND('Raw Data'!$K579, 2048),"X","")</f>
        <v/>
      </c>
      <c r="Q578" s="17" t="str">
        <f>IF(BITWISE_AND('Raw Data'!$K579, 64),"X","")</f>
        <v/>
      </c>
      <c r="R578" s="18" t="str">
        <f>IF(BITWISE_AND('Raw Data'!$L579, 1024),"X","")</f>
        <v/>
      </c>
      <c r="S578" s="18" t="str">
        <f>IF(BITWISE_AND('Raw Data'!$L579, 512),"X","")</f>
        <v/>
      </c>
      <c r="T578" s="18" t="str">
        <f>IF(BITWISE_AND('Raw Data'!$L579, 256),"X","")</f>
        <v/>
      </c>
      <c r="U578" s="18" t="str">
        <f>IF(BITWISE_AND('Raw Data'!$L579, 64),"X","")</f>
        <v/>
      </c>
      <c r="V578" s="18" t="str">
        <f>IF(BITWISE_AND('Raw Data'!$L579, 2),"X","")</f>
        <v/>
      </c>
      <c r="W578" s="18" t="str">
        <f>IF(BITWISE_AND('Raw Data'!$L579, 1),"X","")</f>
        <v/>
      </c>
      <c r="X578" s="19" t="str">
        <f>IF(BITWISE_AND('Raw Data'!M579, 1),"Bat Voltage", IF(BITWISE_AND('Raw Data'!M579, 2), "Charge Current", IF(BITWISE_AND('Raw Data'!M579, 4),"Input Ilim", IF(BITWISE_AND('Raw Data'!M579, 8), "Input UV", "none"))))</f>
        <v>none</v>
      </c>
    </row>
    <row r="579" spans="1:24" x14ac:dyDescent="0.2">
      <c r="A579" s="15">
        <f>A578+TIME(0,0,'Raw Data'!B579)</f>
        <v>0</v>
      </c>
      <c r="B579" s="4">
        <f>'Raw Data'!C580*0.025</f>
        <v>0</v>
      </c>
      <c r="C579" s="4">
        <f t="shared" si="27"/>
        <v>0</v>
      </c>
      <c r="D579" s="4">
        <f>'Raw Data'!D580*0.025</f>
        <v>0</v>
      </c>
      <c r="E579" s="4">
        <f t="shared" si="28"/>
        <v>0</v>
      </c>
      <c r="F579" s="4">
        <f>'Raw Data'!E580*0.001648</f>
        <v>0</v>
      </c>
      <c r="G579" s="4">
        <f>'Raw Data'!F580*0.001648</f>
        <v>0</v>
      </c>
      <c r="H579" s="4">
        <f>'Raw Data'!G580*6*0.000128176</f>
        <v>0</v>
      </c>
      <c r="I579" s="4">
        <f>'Raw Data'!H580*0.000732435</f>
        <v>0</v>
      </c>
      <c r="J579" s="4">
        <f t="shared" ref="J579:J642" si="29">H579*I579</f>
        <v>0</v>
      </c>
      <c r="K579" s="36">
        <f>IF(('Raw Data'!I580-16384)/32768&lt;0,0,('Raw Data'!I580-16384)/32768)</f>
        <v>0</v>
      </c>
      <c r="L579" s="4">
        <f>IF(('Raw Data'!J580-12010)/45.6=-263.377192982456,0,('Raw Data'!J580-12010)/45.6)</f>
        <v>0</v>
      </c>
      <c r="M579" s="16">
        <f>'Raw Data'!N580*2^-8</f>
        <v>0</v>
      </c>
      <c r="N579" s="16">
        <f>'Raw Data'!O580*2^-8</f>
        <v>0</v>
      </c>
      <c r="O579" s="17" t="str">
        <f>IF(BITWISE_AND('Raw Data'!$K580, 8192),"X","")</f>
        <v/>
      </c>
      <c r="P579" s="17" t="str">
        <f>IF(BITWISE_AND('Raw Data'!$K580, 2048),"X","")</f>
        <v/>
      </c>
      <c r="Q579" s="17" t="str">
        <f>IF(BITWISE_AND('Raw Data'!$K580, 64),"X","")</f>
        <v/>
      </c>
      <c r="R579" s="18" t="str">
        <f>IF(BITWISE_AND('Raw Data'!$L580, 1024),"X","")</f>
        <v/>
      </c>
      <c r="S579" s="18" t="str">
        <f>IF(BITWISE_AND('Raw Data'!$L580, 512),"X","")</f>
        <v/>
      </c>
      <c r="T579" s="18" t="str">
        <f>IF(BITWISE_AND('Raw Data'!$L580, 256),"X","")</f>
        <v/>
      </c>
      <c r="U579" s="18" t="str">
        <f>IF(BITWISE_AND('Raw Data'!$L580, 64),"X","")</f>
        <v/>
      </c>
      <c r="V579" s="18" t="str">
        <f>IF(BITWISE_AND('Raw Data'!$L580, 2),"X","")</f>
        <v/>
      </c>
      <c r="W579" s="18" t="str">
        <f>IF(BITWISE_AND('Raw Data'!$L580, 1),"X","")</f>
        <v/>
      </c>
      <c r="X579" s="19" t="str">
        <f>IF(BITWISE_AND('Raw Data'!M580, 1),"Bat Voltage", IF(BITWISE_AND('Raw Data'!M580, 2), "Charge Current", IF(BITWISE_AND('Raw Data'!M580, 4),"Input Ilim", IF(BITWISE_AND('Raw Data'!M580, 8), "Input UV", "none"))))</f>
        <v>none</v>
      </c>
    </row>
    <row r="580" spans="1:24" x14ac:dyDescent="0.2">
      <c r="A580" s="15">
        <f>A579+TIME(0,0,'Raw Data'!B580)</f>
        <v>0</v>
      </c>
      <c r="B580" s="4">
        <f>'Raw Data'!C581*0.025</f>
        <v>0</v>
      </c>
      <c r="C580" s="4">
        <f t="shared" si="27"/>
        <v>0</v>
      </c>
      <c r="D580" s="4">
        <f>'Raw Data'!D581*0.025</f>
        <v>0</v>
      </c>
      <c r="E580" s="4">
        <f t="shared" si="28"/>
        <v>0</v>
      </c>
      <c r="F580" s="4">
        <f>'Raw Data'!E581*0.001648</f>
        <v>0</v>
      </c>
      <c r="G580" s="4">
        <f>'Raw Data'!F581*0.001648</f>
        <v>0</v>
      </c>
      <c r="H580" s="4">
        <f>'Raw Data'!G581*6*0.000128176</f>
        <v>0</v>
      </c>
      <c r="I580" s="4">
        <f>'Raw Data'!H581*0.000732435</f>
        <v>0</v>
      </c>
      <c r="J580" s="4">
        <f t="shared" si="29"/>
        <v>0</v>
      </c>
      <c r="K580" s="36">
        <f>IF(('Raw Data'!I581-16384)/32768&lt;0,0,('Raw Data'!I581-16384)/32768)</f>
        <v>0</v>
      </c>
      <c r="L580" s="4">
        <f>IF(('Raw Data'!J581-12010)/45.6=-263.377192982456,0,('Raw Data'!J581-12010)/45.6)</f>
        <v>0</v>
      </c>
      <c r="M580" s="16">
        <f>'Raw Data'!N581*2^-8</f>
        <v>0</v>
      </c>
      <c r="N580" s="16">
        <f>'Raw Data'!O581*2^-8</f>
        <v>0</v>
      </c>
      <c r="O580" s="17" t="str">
        <f>IF(BITWISE_AND('Raw Data'!$K581, 8192),"X","")</f>
        <v/>
      </c>
      <c r="P580" s="17" t="str">
        <f>IF(BITWISE_AND('Raw Data'!$K581, 2048),"X","")</f>
        <v/>
      </c>
      <c r="Q580" s="17" t="str">
        <f>IF(BITWISE_AND('Raw Data'!$K581, 64),"X","")</f>
        <v/>
      </c>
      <c r="R580" s="18" t="str">
        <f>IF(BITWISE_AND('Raw Data'!$L581, 1024),"X","")</f>
        <v/>
      </c>
      <c r="S580" s="18" t="str">
        <f>IF(BITWISE_AND('Raw Data'!$L581, 512),"X","")</f>
        <v/>
      </c>
      <c r="T580" s="18" t="str">
        <f>IF(BITWISE_AND('Raw Data'!$L581, 256),"X","")</f>
        <v/>
      </c>
      <c r="U580" s="18" t="str">
        <f>IF(BITWISE_AND('Raw Data'!$L581, 64),"X","")</f>
        <v/>
      </c>
      <c r="V580" s="18" t="str">
        <f>IF(BITWISE_AND('Raw Data'!$L581, 2),"X","")</f>
        <v/>
      </c>
      <c r="W580" s="18" t="str">
        <f>IF(BITWISE_AND('Raw Data'!$L581, 1),"X","")</f>
        <v/>
      </c>
      <c r="X580" s="19" t="str">
        <f>IF(BITWISE_AND('Raw Data'!M581, 1),"Bat Voltage", IF(BITWISE_AND('Raw Data'!M581, 2), "Charge Current", IF(BITWISE_AND('Raw Data'!M581, 4),"Input Ilim", IF(BITWISE_AND('Raw Data'!M581, 8), "Input UV", "none"))))</f>
        <v>none</v>
      </c>
    </row>
    <row r="581" spans="1:24" x14ac:dyDescent="0.2">
      <c r="A581" s="15">
        <f>A580+TIME(0,0,'Raw Data'!B581)</f>
        <v>0</v>
      </c>
      <c r="B581" s="4">
        <f>'Raw Data'!C582*0.025</f>
        <v>0</v>
      </c>
      <c r="C581" s="4">
        <f t="shared" si="27"/>
        <v>0</v>
      </c>
      <c r="D581" s="4">
        <f>'Raw Data'!D582*0.025</f>
        <v>0</v>
      </c>
      <c r="E581" s="4">
        <f t="shared" si="28"/>
        <v>0</v>
      </c>
      <c r="F581" s="4">
        <f>'Raw Data'!E582*0.001648</f>
        <v>0</v>
      </c>
      <c r="G581" s="4">
        <f>'Raw Data'!F582*0.001648</f>
        <v>0</v>
      </c>
      <c r="H581" s="4">
        <f>'Raw Data'!G582*6*0.000128176</f>
        <v>0</v>
      </c>
      <c r="I581" s="4">
        <f>'Raw Data'!H582*0.000732435</f>
        <v>0</v>
      </c>
      <c r="J581" s="4">
        <f t="shared" si="29"/>
        <v>0</v>
      </c>
      <c r="K581" s="36">
        <f>IF(('Raw Data'!I582-16384)/32768&lt;0,0,('Raw Data'!I582-16384)/32768)</f>
        <v>0</v>
      </c>
      <c r="L581" s="4">
        <f>IF(('Raw Data'!J582-12010)/45.6=-263.377192982456,0,('Raw Data'!J582-12010)/45.6)</f>
        <v>0</v>
      </c>
      <c r="M581" s="16">
        <f>'Raw Data'!N582*2^-8</f>
        <v>0</v>
      </c>
      <c r="N581" s="16">
        <f>'Raw Data'!O582*2^-8</f>
        <v>0</v>
      </c>
      <c r="O581" s="17" t="str">
        <f>IF(BITWISE_AND('Raw Data'!$K582, 8192),"X","")</f>
        <v/>
      </c>
      <c r="P581" s="17" t="str">
        <f>IF(BITWISE_AND('Raw Data'!$K582, 2048),"X","")</f>
        <v/>
      </c>
      <c r="Q581" s="17" t="str">
        <f>IF(BITWISE_AND('Raw Data'!$K582, 64),"X","")</f>
        <v/>
      </c>
      <c r="R581" s="18" t="str">
        <f>IF(BITWISE_AND('Raw Data'!$L582, 1024),"X","")</f>
        <v/>
      </c>
      <c r="S581" s="18" t="str">
        <f>IF(BITWISE_AND('Raw Data'!$L582, 512),"X","")</f>
        <v/>
      </c>
      <c r="T581" s="18" t="str">
        <f>IF(BITWISE_AND('Raw Data'!$L582, 256),"X","")</f>
        <v/>
      </c>
      <c r="U581" s="18" t="str">
        <f>IF(BITWISE_AND('Raw Data'!$L582, 64),"X","")</f>
        <v/>
      </c>
      <c r="V581" s="18" t="str">
        <f>IF(BITWISE_AND('Raw Data'!$L582, 2),"X","")</f>
        <v/>
      </c>
      <c r="W581" s="18" t="str">
        <f>IF(BITWISE_AND('Raw Data'!$L582, 1),"X","")</f>
        <v/>
      </c>
      <c r="X581" s="19" t="str">
        <f>IF(BITWISE_AND('Raw Data'!M582, 1),"Bat Voltage", IF(BITWISE_AND('Raw Data'!M582, 2), "Charge Current", IF(BITWISE_AND('Raw Data'!M582, 4),"Input Ilim", IF(BITWISE_AND('Raw Data'!M582, 8), "Input UV", "none"))))</f>
        <v>none</v>
      </c>
    </row>
    <row r="582" spans="1:24" x14ac:dyDescent="0.2">
      <c r="A582" s="15">
        <f>A581+TIME(0,0,'Raw Data'!B582)</f>
        <v>0</v>
      </c>
      <c r="B582" s="4">
        <f>'Raw Data'!C583*0.025</f>
        <v>0</v>
      </c>
      <c r="C582" s="4">
        <f t="shared" si="27"/>
        <v>0</v>
      </c>
      <c r="D582" s="4">
        <f>'Raw Data'!D583*0.025</f>
        <v>0</v>
      </c>
      <c r="E582" s="4">
        <f t="shared" si="28"/>
        <v>0</v>
      </c>
      <c r="F582" s="4">
        <f>'Raw Data'!E583*0.001648</f>
        <v>0</v>
      </c>
      <c r="G582" s="4">
        <f>'Raw Data'!F583*0.001648</f>
        <v>0</v>
      </c>
      <c r="H582" s="4">
        <f>'Raw Data'!G583*6*0.000128176</f>
        <v>0</v>
      </c>
      <c r="I582" s="4">
        <f>'Raw Data'!H583*0.000732435</f>
        <v>0</v>
      </c>
      <c r="J582" s="4">
        <f t="shared" si="29"/>
        <v>0</v>
      </c>
      <c r="K582" s="36">
        <f>IF(('Raw Data'!I583-16384)/32768&lt;0,0,('Raw Data'!I583-16384)/32768)</f>
        <v>0</v>
      </c>
      <c r="L582" s="4">
        <f>IF(('Raw Data'!J583-12010)/45.6=-263.377192982456,0,('Raw Data'!J583-12010)/45.6)</f>
        <v>0</v>
      </c>
      <c r="M582" s="16">
        <f>'Raw Data'!N583*2^-8</f>
        <v>0</v>
      </c>
      <c r="N582" s="16">
        <f>'Raw Data'!O583*2^-8</f>
        <v>0</v>
      </c>
      <c r="O582" s="17" t="str">
        <f>IF(BITWISE_AND('Raw Data'!$K583, 8192),"X","")</f>
        <v/>
      </c>
      <c r="P582" s="17" t="str">
        <f>IF(BITWISE_AND('Raw Data'!$K583, 2048),"X","")</f>
        <v/>
      </c>
      <c r="Q582" s="17" t="str">
        <f>IF(BITWISE_AND('Raw Data'!$K583, 64),"X","")</f>
        <v/>
      </c>
      <c r="R582" s="18" t="str">
        <f>IF(BITWISE_AND('Raw Data'!$L583, 1024),"X","")</f>
        <v/>
      </c>
      <c r="S582" s="18" t="str">
        <f>IF(BITWISE_AND('Raw Data'!$L583, 512),"X","")</f>
        <v/>
      </c>
      <c r="T582" s="18" t="str">
        <f>IF(BITWISE_AND('Raw Data'!$L583, 256),"X","")</f>
        <v/>
      </c>
      <c r="U582" s="18" t="str">
        <f>IF(BITWISE_AND('Raw Data'!$L583, 64),"X","")</f>
        <v/>
      </c>
      <c r="V582" s="18" t="str">
        <f>IF(BITWISE_AND('Raw Data'!$L583, 2),"X","")</f>
        <v/>
      </c>
      <c r="W582" s="18" t="str">
        <f>IF(BITWISE_AND('Raw Data'!$L583, 1),"X","")</f>
        <v/>
      </c>
      <c r="X582" s="19" t="str">
        <f>IF(BITWISE_AND('Raw Data'!M583, 1),"Bat Voltage", IF(BITWISE_AND('Raw Data'!M583, 2), "Charge Current", IF(BITWISE_AND('Raw Data'!M583, 4),"Input Ilim", IF(BITWISE_AND('Raw Data'!M583, 8), "Input UV", "none"))))</f>
        <v>none</v>
      </c>
    </row>
    <row r="583" spans="1:24" x14ac:dyDescent="0.2">
      <c r="A583" s="15">
        <f>A582+TIME(0,0,'Raw Data'!B583)</f>
        <v>0</v>
      </c>
      <c r="B583" s="4">
        <f>'Raw Data'!C584*0.025</f>
        <v>0</v>
      </c>
      <c r="C583" s="4">
        <f t="shared" si="27"/>
        <v>0</v>
      </c>
      <c r="D583" s="4">
        <f>'Raw Data'!D584*0.025</f>
        <v>0</v>
      </c>
      <c r="E583" s="4">
        <f t="shared" si="28"/>
        <v>0</v>
      </c>
      <c r="F583" s="4">
        <f>'Raw Data'!E584*0.001648</f>
        <v>0</v>
      </c>
      <c r="G583" s="4">
        <f>'Raw Data'!F584*0.001648</f>
        <v>0</v>
      </c>
      <c r="H583" s="4">
        <f>'Raw Data'!G584*6*0.000128176</f>
        <v>0</v>
      </c>
      <c r="I583" s="4">
        <f>'Raw Data'!H584*0.000732435</f>
        <v>0</v>
      </c>
      <c r="J583" s="4">
        <f t="shared" si="29"/>
        <v>0</v>
      </c>
      <c r="K583" s="36">
        <f>IF(('Raw Data'!I584-16384)/32768&lt;0,0,('Raw Data'!I584-16384)/32768)</f>
        <v>0</v>
      </c>
      <c r="L583" s="4">
        <f>IF(('Raw Data'!J584-12010)/45.6=-263.377192982456,0,('Raw Data'!J584-12010)/45.6)</f>
        <v>0</v>
      </c>
      <c r="M583" s="16">
        <f>'Raw Data'!N584*2^-8</f>
        <v>0</v>
      </c>
      <c r="N583" s="16">
        <f>'Raw Data'!O584*2^-8</f>
        <v>0</v>
      </c>
      <c r="O583" s="17" t="str">
        <f>IF(BITWISE_AND('Raw Data'!$K584, 8192),"X","")</f>
        <v/>
      </c>
      <c r="P583" s="17" t="str">
        <f>IF(BITWISE_AND('Raw Data'!$K584, 2048),"X","")</f>
        <v/>
      </c>
      <c r="Q583" s="17" t="str">
        <f>IF(BITWISE_AND('Raw Data'!$K584, 64),"X","")</f>
        <v/>
      </c>
      <c r="R583" s="18" t="str">
        <f>IF(BITWISE_AND('Raw Data'!$L584, 1024),"X","")</f>
        <v/>
      </c>
      <c r="S583" s="18" t="str">
        <f>IF(BITWISE_AND('Raw Data'!$L584, 512),"X","")</f>
        <v/>
      </c>
      <c r="T583" s="18" t="str">
        <f>IF(BITWISE_AND('Raw Data'!$L584, 256),"X","")</f>
        <v/>
      </c>
      <c r="U583" s="18" t="str">
        <f>IF(BITWISE_AND('Raw Data'!$L584, 64),"X","")</f>
        <v/>
      </c>
      <c r="V583" s="18" t="str">
        <f>IF(BITWISE_AND('Raw Data'!$L584, 2),"X","")</f>
        <v/>
      </c>
      <c r="W583" s="18" t="str">
        <f>IF(BITWISE_AND('Raw Data'!$L584, 1),"X","")</f>
        <v/>
      </c>
      <c r="X583" s="19" t="str">
        <f>IF(BITWISE_AND('Raw Data'!M584, 1),"Bat Voltage", IF(BITWISE_AND('Raw Data'!M584, 2), "Charge Current", IF(BITWISE_AND('Raw Data'!M584, 4),"Input Ilim", IF(BITWISE_AND('Raw Data'!M584, 8), "Input UV", "none"))))</f>
        <v>none</v>
      </c>
    </row>
    <row r="584" spans="1:24" x14ac:dyDescent="0.2">
      <c r="A584" s="15">
        <f>A583+TIME(0,0,'Raw Data'!B584)</f>
        <v>0</v>
      </c>
      <c r="B584" s="4">
        <f>'Raw Data'!C585*0.025</f>
        <v>0</v>
      </c>
      <c r="C584" s="4">
        <f t="shared" si="27"/>
        <v>0</v>
      </c>
      <c r="D584" s="4">
        <f>'Raw Data'!D585*0.025</f>
        <v>0</v>
      </c>
      <c r="E584" s="4">
        <f t="shared" si="28"/>
        <v>0</v>
      </c>
      <c r="F584" s="4">
        <f>'Raw Data'!E585*0.001648</f>
        <v>0</v>
      </c>
      <c r="G584" s="4">
        <f>'Raw Data'!F585*0.001648</f>
        <v>0</v>
      </c>
      <c r="H584" s="4">
        <f>'Raw Data'!G585*6*0.000128176</f>
        <v>0</v>
      </c>
      <c r="I584" s="4">
        <f>'Raw Data'!H585*0.000732435</f>
        <v>0</v>
      </c>
      <c r="J584" s="4">
        <f t="shared" si="29"/>
        <v>0</v>
      </c>
      <c r="K584" s="36">
        <f>IF(('Raw Data'!I585-16384)/32768&lt;0,0,('Raw Data'!I585-16384)/32768)</f>
        <v>0</v>
      </c>
      <c r="L584" s="4">
        <f>IF(('Raw Data'!J585-12010)/45.6=-263.377192982456,0,('Raw Data'!J585-12010)/45.6)</f>
        <v>0</v>
      </c>
      <c r="M584" s="16">
        <f>'Raw Data'!N585*2^-8</f>
        <v>0</v>
      </c>
      <c r="N584" s="16">
        <f>'Raw Data'!O585*2^-8</f>
        <v>0</v>
      </c>
      <c r="O584" s="17" t="str">
        <f>IF(BITWISE_AND('Raw Data'!$K585, 8192),"X","")</f>
        <v/>
      </c>
      <c r="P584" s="17" t="str">
        <f>IF(BITWISE_AND('Raw Data'!$K585, 2048),"X","")</f>
        <v/>
      </c>
      <c r="Q584" s="17" t="str">
        <f>IF(BITWISE_AND('Raw Data'!$K585, 64),"X","")</f>
        <v/>
      </c>
      <c r="R584" s="18" t="str">
        <f>IF(BITWISE_AND('Raw Data'!$L585, 1024),"X","")</f>
        <v/>
      </c>
      <c r="S584" s="18" t="str">
        <f>IF(BITWISE_AND('Raw Data'!$L585, 512),"X","")</f>
        <v/>
      </c>
      <c r="T584" s="18" t="str">
        <f>IF(BITWISE_AND('Raw Data'!$L585, 256),"X","")</f>
        <v/>
      </c>
      <c r="U584" s="18" t="str">
        <f>IF(BITWISE_AND('Raw Data'!$L585, 64),"X","")</f>
        <v/>
      </c>
      <c r="V584" s="18" t="str">
        <f>IF(BITWISE_AND('Raw Data'!$L585, 2),"X","")</f>
        <v/>
      </c>
      <c r="W584" s="18" t="str">
        <f>IF(BITWISE_AND('Raw Data'!$L585, 1),"X","")</f>
        <v/>
      </c>
      <c r="X584" s="19" t="str">
        <f>IF(BITWISE_AND('Raw Data'!M585, 1),"Bat Voltage", IF(BITWISE_AND('Raw Data'!M585, 2), "Charge Current", IF(BITWISE_AND('Raw Data'!M585, 4),"Input Ilim", IF(BITWISE_AND('Raw Data'!M585, 8), "Input UV", "none"))))</f>
        <v>none</v>
      </c>
    </row>
    <row r="585" spans="1:24" x14ac:dyDescent="0.2">
      <c r="A585" s="15">
        <f>A584+TIME(0,0,'Raw Data'!B585)</f>
        <v>0</v>
      </c>
      <c r="B585" s="4">
        <f>'Raw Data'!C586*0.025</f>
        <v>0</v>
      </c>
      <c r="C585" s="4">
        <f t="shared" si="27"/>
        <v>0</v>
      </c>
      <c r="D585" s="4">
        <f>'Raw Data'!D586*0.025</f>
        <v>0</v>
      </c>
      <c r="E585" s="4">
        <f t="shared" si="28"/>
        <v>0</v>
      </c>
      <c r="F585" s="4">
        <f>'Raw Data'!E586*0.001648</f>
        <v>0</v>
      </c>
      <c r="G585" s="4">
        <f>'Raw Data'!F586*0.001648</f>
        <v>0</v>
      </c>
      <c r="H585" s="4">
        <f>'Raw Data'!G586*6*0.000128176</f>
        <v>0</v>
      </c>
      <c r="I585" s="4">
        <f>'Raw Data'!H586*0.000732435</f>
        <v>0</v>
      </c>
      <c r="J585" s="4">
        <f t="shared" si="29"/>
        <v>0</v>
      </c>
      <c r="K585" s="36">
        <f>IF(('Raw Data'!I586-16384)/32768&lt;0,0,('Raw Data'!I586-16384)/32768)</f>
        <v>0</v>
      </c>
      <c r="L585" s="4">
        <f>IF(('Raw Data'!J586-12010)/45.6=-263.377192982456,0,('Raw Data'!J586-12010)/45.6)</f>
        <v>0</v>
      </c>
      <c r="M585" s="16">
        <f>'Raw Data'!N586*2^-8</f>
        <v>0</v>
      </c>
      <c r="N585" s="16">
        <f>'Raw Data'!O586*2^-8</f>
        <v>0</v>
      </c>
      <c r="O585" s="17" t="str">
        <f>IF(BITWISE_AND('Raw Data'!$K586, 8192),"X","")</f>
        <v/>
      </c>
      <c r="P585" s="17" t="str">
        <f>IF(BITWISE_AND('Raw Data'!$K586, 2048),"X","")</f>
        <v/>
      </c>
      <c r="Q585" s="17" t="str">
        <f>IF(BITWISE_AND('Raw Data'!$K586, 64),"X","")</f>
        <v/>
      </c>
      <c r="R585" s="18" t="str">
        <f>IF(BITWISE_AND('Raw Data'!$L586, 1024),"X","")</f>
        <v/>
      </c>
      <c r="S585" s="18" t="str">
        <f>IF(BITWISE_AND('Raw Data'!$L586, 512),"X","")</f>
        <v/>
      </c>
      <c r="T585" s="18" t="str">
        <f>IF(BITWISE_AND('Raw Data'!$L586, 256),"X","")</f>
        <v/>
      </c>
      <c r="U585" s="18" t="str">
        <f>IF(BITWISE_AND('Raw Data'!$L586, 64),"X","")</f>
        <v/>
      </c>
      <c r="V585" s="18" t="str">
        <f>IF(BITWISE_AND('Raw Data'!$L586, 2),"X","")</f>
        <v/>
      </c>
      <c r="W585" s="18" t="str">
        <f>IF(BITWISE_AND('Raw Data'!$L586, 1),"X","")</f>
        <v/>
      </c>
      <c r="X585" s="19" t="str">
        <f>IF(BITWISE_AND('Raw Data'!M586, 1),"Bat Voltage", IF(BITWISE_AND('Raw Data'!M586, 2), "Charge Current", IF(BITWISE_AND('Raw Data'!M586, 4),"Input Ilim", IF(BITWISE_AND('Raw Data'!M586, 8), "Input UV", "none"))))</f>
        <v>none</v>
      </c>
    </row>
    <row r="586" spans="1:24" x14ac:dyDescent="0.2">
      <c r="A586" s="15">
        <f>A585+TIME(0,0,'Raw Data'!B586)</f>
        <v>0</v>
      </c>
      <c r="B586" s="4">
        <f>'Raw Data'!C587*0.025</f>
        <v>0</v>
      </c>
      <c r="C586" s="4">
        <f t="shared" si="27"/>
        <v>0</v>
      </c>
      <c r="D586" s="4">
        <f>'Raw Data'!D587*0.025</f>
        <v>0</v>
      </c>
      <c r="E586" s="4">
        <f t="shared" si="28"/>
        <v>0</v>
      </c>
      <c r="F586" s="4">
        <f>'Raw Data'!E587*0.001648</f>
        <v>0</v>
      </c>
      <c r="G586" s="4">
        <f>'Raw Data'!F587*0.001648</f>
        <v>0</v>
      </c>
      <c r="H586" s="4">
        <f>'Raw Data'!G587*6*0.000128176</f>
        <v>0</v>
      </c>
      <c r="I586" s="4">
        <f>'Raw Data'!H587*0.000732435</f>
        <v>0</v>
      </c>
      <c r="J586" s="4">
        <f t="shared" si="29"/>
        <v>0</v>
      </c>
      <c r="K586" s="36">
        <f>IF(('Raw Data'!I587-16384)/32768&lt;0,0,('Raw Data'!I587-16384)/32768)</f>
        <v>0</v>
      </c>
      <c r="L586" s="4">
        <f>IF(('Raw Data'!J587-12010)/45.6=-263.377192982456,0,('Raw Data'!J587-12010)/45.6)</f>
        <v>0</v>
      </c>
      <c r="M586" s="16">
        <f>'Raw Data'!N587*2^-8</f>
        <v>0</v>
      </c>
      <c r="N586" s="16">
        <f>'Raw Data'!O587*2^-8</f>
        <v>0</v>
      </c>
      <c r="O586" s="17" t="str">
        <f>IF(BITWISE_AND('Raw Data'!$K587, 8192),"X","")</f>
        <v/>
      </c>
      <c r="P586" s="17" t="str">
        <f>IF(BITWISE_AND('Raw Data'!$K587, 2048),"X","")</f>
        <v/>
      </c>
      <c r="Q586" s="17" t="str">
        <f>IF(BITWISE_AND('Raw Data'!$K587, 64),"X","")</f>
        <v/>
      </c>
      <c r="R586" s="18" t="str">
        <f>IF(BITWISE_AND('Raw Data'!$L587, 1024),"X","")</f>
        <v/>
      </c>
      <c r="S586" s="18" t="str">
        <f>IF(BITWISE_AND('Raw Data'!$L587, 512),"X","")</f>
        <v/>
      </c>
      <c r="T586" s="18" t="str">
        <f>IF(BITWISE_AND('Raw Data'!$L587, 256),"X","")</f>
        <v/>
      </c>
      <c r="U586" s="18" t="str">
        <f>IF(BITWISE_AND('Raw Data'!$L587, 64),"X","")</f>
        <v/>
      </c>
      <c r="V586" s="18" t="str">
        <f>IF(BITWISE_AND('Raw Data'!$L587, 2),"X","")</f>
        <v/>
      </c>
      <c r="W586" s="18" t="str">
        <f>IF(BITWISE_AND('Raw Data'!$L587, 1),"X","")</f>
        <v/>
      </c>
      <c r="X586" s="19" t="str">
        <f>IF(BITWISE_AND('Raw Data'!M587, 1),"Bat Voltage", IF(BITWISE_AND('Raw Data'!M587, 2), "Charge Current", IF(BITWISE_AND('Raw Data'!M587, 4),"Input Ilim", IF(BITWISE_AND('Raw Data'!M587, 8), "Input UV", "none"))))</f>
        <v>none</v>
      </c>
    </row>
    <row r="587" spans="1:24" x14ac:dyDescent="0.2">
      <c r="A587" s="15">
        <f>A586+TIME(0,0,'Raw Data'!B587)</f>
        <v>0</v>
      </c>
      <c r="B587" s="4">
        <f>'Raw Data'!C588*0.025</f>
        <v>0</v>
      </c>
      <c r="C587" s="4">
        <f t="shared" si="27"/>
        <v>0</v>
      </c>
      <c r="D587" s="4">
        <f>'Raw Data'!D588*0.025</f>
        <v>0</v>
      </c>
      <c r="E587" s="4">
        <f t="shared" si="28"/>
        <v>0</v>
      </c>
      <c r="F587" s="4">
        <f>'Raw Data'!E588*0.001648</f>
        <v>0</v>
      </c>
      <c r="G587" s="4">
        <f>'Raw Data'!F588*0.001648</f>
        <v>0</v>
      </c>
      <c r="H587" s="4">
        <f>'Raw Data'!G588*6*0.000128176</f>
        <v>0</v>
      </c>
      <c r="I587" s="4">
        <f>'Raw Data'!H588*0.000732435</f>
        <v>0</v>
      </c>
      <c r="J587" s="4">
        <f t="shared" si="29"/>
        <v>0</v>
      </c>
      <c r="K587" s="36">
        <f>IF(('Raw Data'!I588-16384)/32768&lt;0,0,('Raw Data'!I588-16384)/32768)</f>
        <v>0</v>
      </c>
      <c r="L587" s="4">
        <f>IF(('Raw Data'!J588-12010)/45.6=-263.377192982456,0,('Raw Data'!J588-12010)/45.6)</f>
        <v>0</v>
      </c>
      <c r="M587" s="16">
        <f>'Raw Data'!N588*2^-8</f>
        <v>0</v>
      </c>
      <c r="N587" s="16">
        <f>'Raw Data'!O588*2^-8</f>
        <v>0</v>
      </c>
      <c r="O587" s="17" t="str">
        <f>IF(BITWISE_AND('Raw Data'!$K588, 8192),"X","")</f>
        <v/>
      </c>
      <c r="P587" s="17" t="str">
        <f>IF(BITWISE_AND('Raw Data'!$K588, 2048),"X","")</f>
        <v/>
      </c>
      <c r="Q587" s="17" t="str">
        <f>IF(BITWISE_AND('Raw Data'!$K588, 64),"X","")</f>
        <v/>
      </c>
      <c r="R587" s="18" t="str">
        <f>IF(BITWISE_AND('Raw Data'!$L588, 1024),"X","")</f>
        <v/>
      </c>
      <c r="S587" s="18" t="str">
        <f>IF(BITWISE_AND('Raw Data'!$L588, 512),"X","")</f>
        <v/>
      </c>
      <c r="T587" s="18" t="str">
        <f>IF(BITWISE_AND('Raw Data'!$L588, 256),"X","")</f>
        <v/>
      </c>
      <c r="U587" s="18" t="str">
        <f>IF(BITWISE_AND('Raw Data'!$L588, 64),"X","")</f>
        <v/>
      </c>
      <c r="V587" s="18" t="str">
        <f>IF(BITWISE_AND('Raw Data'!$L588, 2),"X","")</f>
        <v/>
      </c>
      <c r="W587" s="18" t="str">
        <f>IF(BITWISE_AND('Raw Data'!$L588, 1),"X","")</f>
        <v/>
      </c>
      <c r="X587" s="19" t="str">
        <f>IF(BITWISE_AND('Raw Data'!M588, 1),"Bat Voltage", IF(BITWISE_AND('Raw Data'!M588, 2), "Charge Current", IF(BITWISE_AND('Raw Data'!M588, 4),"Input Ilim", IF(BITWISE_AND('Raw Data'!M588, 8), "Input UV", "none"))))</f>
        <v>none</v>
      </c>
    </row>
    <row r="588" spans="1:24" x14ac:dyDescent="0.2">
      <c r="A588" s="15">
        <f>A587+TIME(0,0,'Raw Data'!B588)</f>
        <v>0</v>
      </c>
      <c r="B588" s="4">
        <f>'Raw Data'!C589*0.025</f>
        <v>0</v>
      </c>
      <c r="C588" s="4">
        <f t="shared" si="27"/>
        <v>0</v>
      </c>
      <c r="D588" s="4">
        <f>'Raw Data'!D589*0.025</f>
        <v>0</v>
      </c>
      <c r="E588" s="4">
        <f t="shared" si="28"/>
        <v>0</v>
      </c>
      <c r="F588" s="4">
        <f>'Raw Data'!E589*0.001648</f>
        <v>0</v>
      </c>
      <c r="G588" s="4">
        <f>'Raw Data'!F589*0.001648</f>
        <v>0</v>
      </c>
      <c r="H588" s="4">
        <f>'Raw Data'!G589*6*0.000128176</f>
        <v>0</v>
      </c>
      <c r="I588" s="4">
        <f>'Raw Data'!H589*0.000732435</f>
        <v>0</v>
      </c>
      <c r="J588" s="4">
        <f t="shared" si="29"/>
        <v>0</v>
      </c>
      <c r="K588" s="36">
        <f>IF(('Raw Data'!I589-16384)/32768&lt;0,0,('Raw Data'!I589-16384)/32768)</f>
        <v>0</v>
      </c>
      <c r="L588" s="4">
        <f>IF(('Raw Data'!J589-12010)/45.6=-263.377192982456,0,('Raw Data'!J589-12010)/45.6)</f>
        <v>0</v>
      </c>
      <c r="M588" s="16">
        <f>'Raw Data'!N589*2^-8</f>
        <v>0</v>
      </c>
      <c r="N588" s="16">
        <f>'Raw Data'!O589*2^-8</f>
        <v>0</v>
      </c>
      <c r="O588" s="17" t="str">
        <f>IF(BITWISE_AND('Raw Data'!$K589, 8192),"X","")</f>
        <v/>
      </c>
      <c r="P588" s="17" t="str">
        <f>IF(BITWISE_AND('Raw Data'!$K589, 2048),"X","")</f>
        <v/>
      </c>
      <c r="Q588" s="17" t="str">
        <f>IF(BITWISE_AND('Raw Data'!$K589, 64),"X","")</f>
        <v/>
      </c>
      <c r="R588" s="18" t="str">
        <f>IF(BITWISE_AND('Raw Data'!$L589, 1024),"X","")</f>
        <v/>
      </c>
      <c r="S588" s="18" t="str">
        <f>IF(BITWISE_AND('Raw Data'!$L589, 512),"X","")</f>
        <v/>
      </c>
      <c r="T588" s="18" t="str">
        <f>IF(BITWISE_AND('Raw Data'!$L589, 256),"X","")</f>
        <v/>
      </c>
      <c r="U588" s="18" t="str">
        <f>IF(BITWISE_AND('Raw Data'!$L589, 64),"X","")</f>
        <v/>
      </c>
      <c r="V588" s="18" t="str">
        <f>IF(BITWISE_AND('Raw Data'!$L589, 2),"X","")</f>
        <v/>
      </c>
      <c r="W588" s="18" t="str">
        <f>IF(BITWISE_AND('Raw Data'!$L589, 1),"X","")</f>
        <v/>
      </c>
      <c r="X588" s="19" t="str">
        <f>IF(BITWISE_AND('Raw Data'!M589, 1),"Bat Voltage", IF(BITWISE_AND('Raw Data'!M589, 2), "Charge Current", IF(BITWISE_AND('Raw Data'!M589, 4),"Input Ilim", IF(BITWISE_AND('Raw Data'!M589, 8), "Input UV", "none"))))</f>
        <v>none</v>
      </c>
    </row>
    <row r="589" spans="1:24" x14ac:dyDescent="0.2">
      <c r="A589" s="15">
        <f>A588+TIME(0,0,'Raw Data'!B589)</f>
        <v>0</v>
      </c>
      <c r="B589" s="4">
        <f>'Raw Data'!C590*0.025</f>
        <v>0</v>
      </c>
      <c r="C589" s="4">
        <f t="shared" si="27"/>
        <v>0</v>
      </c>
      <c r="D589" s="4">
        <f>'Raw Data'!D590*0.025</f>
        <v>0</v>
      </c>
      <c r="E589" s="4">
        <f t="shared" si="28"/>
        <v>0</v>
      </c>
      <c r="F589" s="4">
        <f>'Raw Data'!E590*0.001648</f>
        <v>0</v>
      </c>
      <c r="G589" s="4">
        <f>'Raw Data'!F590*0.001648</f>
        <v>0</v>
      </c>
      <c r="H589" s="4">
        <f>'Raw Data'!G590*6*0.000128176</f>
        <v>0</v>
      </c>
      <c r="I589" s="4">
        <f>'Raw Data'!H590*0.000732435</f>
        <v>0</v>
      </c>
      <c r="J589" s="4">
        <f t="shared" si="29"/>
        <v>0</v>
      </c>
      <c r="K589" s="36">
        <f>IF(('Raw Data'!I590-16384)/32768&lt;0,0,('Raw Data'!I590-16384)/32768)</f>
        <v>0</v>
      </c>
      <c r="L589" s="4">
        <f>IF(('Raw Data'!J590-12010)/45.6=-263.377192982456,0,('Raw Data'!J590-12010)/45.6)</f>
        <v>0</v>
      </c>
      <c r="M589" s="16">
        <f>'Raw Data'!N590*2^-8</f>
        <v>0</v>
      </c>
      <c r="N589" s="16">
        <f>'Raw Data'!O590*2^-8</f>
        <v>0</v>
      </c>
      <c r="O589" s="17" t="str">
        <f>IF(BITWISE_AND('Raw Data'!$K590, 8192),"X","")</f>
        <v/>
      </c>
      <c r="P589" s="17" t="str">
        <f>IF(BITWISE_AND('Raw Data'!$K590, 2048),"X","")</f>
        <v/>
      </c>
      <c r="Q589" s="17" t="str">
        <f>IF(BITWISE_AND('Raw Data'!$K590, 64),"X","")</f>
        <v/>
      </c>
      <c r="R589" s="18" t="str">
        <f>IF(BITWISE_AND('Raw Data'!$L590, 1024),"X","")</f>
        <v/>
      </c>
      <c r="S589" s="18" t="str">
        <f>IF(BITWISE_AND('Raw Data'!$L590, 512),"X","")</f>
        <v/>
      </c>
      <c r="T589" s="18" t="str">
        <f>IF(BITWISE_AND('Raw Data'!$L590, 256),"X","")</f>
        <v/>
      </c>
      <c r="U589" s="18" t="str">
        <f>IF(BITWISE_AND('Raw Data'!$L590, 64),"X","")</f>
        <v/>
      </c>
      <c r="V589" s="18" t="str">
        <f>IF(BITWISE_AND('Raw Data'!$L590, 2),"X","")</f>
        <v/>
      </c>
      <c r="W589" s="18" t="str">
        <f>IF(BITWISE_AND('Raw Data'!$L590, 1),"X","")</f>
        <v/>
      </c>
      <c r="X589" s="19" t="str">
        <f>IF(BITWISE_AND('Raw Data'!M590, 1),"Bat Voltage", IF(BITWISE_AND('Raw Data'!M590, 2), "Charge Current", IF(BITWISE_AND('Raw Data'!M590, 4),"Input Ilim", IF(BITWISE_AND('Raw Data'!M590, 8), "Input UV", "none"))))</f>
        <v>none</v>
      </c>
    </row>
    <row r="590" spans="1:24" x14ac:dyDescent="0.2">
      <c r="A590" s="15">
        <f>A589+TIME(0,0,'Raw Data'!B590)</f>
        <v>0</v>
      </c>
      <c r="B590" s="4">
        <f>'Raw Data'!C591*0.025</f>
        <v>0</v>
      </c>
      <c r="C590" s="4">
        <f t="shared" si="27"/>
        <v>0</v>
      </c>
      <c r="D590" s="4">
        <f>'Raw Data'!D591*0.025</f>
        <v>0</v>
      </c>
      <c r="E590" s="4">
        <f t="shared" si="28"/>
        <v>0</v>
      </c>
      <c r="F590" s="4">
        <f>'Raw Data'!E591*0.001648</f>
        <v>0</v>
      </c>
      <c r="G590" s="4">
        <f>'Raw Data'!F591*0.001648</f>
        <v>0</v>
      </c>
      <c r="H590" s="4">
        <f>'Raw Data'!G591*6*0.000128176</f>
        <v>0</v>
      </c>
      <c r="I590" s="4">
        <f>'Raw Data'!H591*0.000732435</f>
        <v>0</v>
      </c>
      <c r="J590" s="4">
        <f t="shared" si="29"/>
        <v>0</v>
      </c>
      <c r="K590" s="36">
        <f>IF(('Raw Data'!I591-16384)/32768&lt;0,0,('Raw Data'!I591-16384)/32768)</f>
        <v>0</v>
      </c>
      <c r="L590" s="4">
        <f>IF(('Raw Data'!J591-12010)/45.6=-263.377192982456,0,('Raw Data'!J591-12010)/45.6)</f>
        <v>0</v>
      </c>
      <c r="M590" s="16">
        <f>'Raw Data'!N591*2^-8</f>
        <v>0</v>
      </c>
      <c r="N590" s="16">
        <f>'Raw Data'!O591*2^-8</f>
        <v>0</v>
      </c>
      <c r="O590" s="17" t="str">
        <f>IF(BITWISE_AND('Raw Data'!$K591, 8192),"X","")</f>
        <v/>
      </c>
      <c r="P590" s="17" t="str">
        <f>IF(BITWISE_AND('Raw Data'!$K591, 2048),"X","")</f>
        <v/>
      </c>
      <c r="Q590" s="17" t="str">
        <f>IF(BITWISE_AND('Raw Data'!$K591, 64),"X","")</f>
        <v/>
      </c>
      <c r="R590" s="18" t="str">
        <f>IF(BITWISE_AND('Raw Data'!$L591, 1024),"X","")</f>
        <v/>
      </c>
      <c r="S590" s="18" t="str">
        <f>IF(BITWISE_AND('Raw Data'!$L591, 512),"X","")</f>
        <v/>
      </c>
      <c r="T590" s="18" t="str">
        <f>IF(BITWISE_AND('Raw Data'!$L591, 256),"X","")</f>
        <v/>
      </c>
      <c r="U590" s="18" t="str">
        <f>IF(BITWISE_AND('Raw Data'!$L591, 64),"X","")</f>
        <v/>
      </c>
      <c r="V590" s="18" t="str">
        <f>IF(BITWISE_AND('Raw Data'!$L591, 2),"X","")</f>
        <v/>
      </c>
      <c r="W590" s="18" t="str">
        <f>IF(BITWISE_AND('Raw Data'!$L591, 1),"X","")</f>
        <v/>
      </c>
      <c r="X590" s="19" t="str">
        <f>IF(BITWISE_AND('Raw Data'!M591, 1),"Bat Voltage", IF(BITWISE_AND('Raw Data'!M591, 2), "Charge Current", IF(BITWISE_AND('Raw Data'!M591, 4),"Input Ilim", IF(BITWISE_AND('Raw Data'!M591, 8), "Input UV", "none"))))</f>
        <v>none</v>
      </c>
    </row>
    <row r="591" spans="1:24" x14ac:dyDescent="0.2">
      <c r="A591" s="15">
        <f>A590+TIME(0,0,'Raw Data'!B591)</f>
        <v>0</v>
      </c>
      <c r="B591" s="4">
        <f>'Raw Data'!C592*0.025</f>
        <v>0</v>
      </c>
      <c r="C591" s="4">
        <f t="shared" si="27"/>
        <v>0</v>
      </c>
      <c r="D591" s="4">
        <f>'Raw Data'!D592*0.025</f>
        <v>0</v>
      </c>
      <c r="E591" s="4">
        <f t="shared" si="28"/>
        <v>0</v>
      </c>
      <c r="F591" s="4">
        <f>'Raw Data'!E592*0.001648</f>
        <v>0</v>
      </c>
      <c r="G591" s="4">
        <f>'Raw Data'!F592*0.001648</f>
        <v>0</v>
      </c>
      <c r="H591" s="4">
        <f>'Raw Data'!G592*6*0.000128176</f>
        <v>0</v>
      </c>
      <c r="I591" s="4">
        <f>'Raw Data'!H592*0.000732435</f>
        <v>0</v>
      </c>
      <c r="J591" s="4">
        <f t="shared" si="29"/>
        <v>0</v>
      </c>
      <c r="K591" s="36">
        <f>IF(('Raw Data'!I592-16384)/32768&lt;0,0,('Raw Data'!I592-16384)/32768)</f>
        <v>0</v>
      </c>
      <c r="L591" s="4">
        <f>IF(('Raw Data'!J592-12010)/45.6=-263.377192982456,0,('Raw Data'!J592-12010)/45.6)</f>
        <v>0</v>
      </c>
      <c r="M591" s="16">
        <f>'Raw Data'!N592*2^-8</f>
        <v>0</v>
      </c>
      <c r="N591" s="16">
        <f>'Raw Data'!O592*2^-8</f>
        <v>0</v>
      </c>
      <c r="O591" s="17" t="str">
        <f>IF(BITWISE_AND('Raw Data'!$K592, 8192),"X","")</f>
        <v/>
      </c>
      <c r="P591" s="17" t="str">
        <f>IF(BITWISE_AND('Raw Data'!$K592, 2048),"X","")</f>
        <v/>
      </c>
      <c r="Q591" s="17" t="str">
        <f>IF(BITWISE_AND('Raw Data'!$K592, 64),"X","")</f>
        <v/>
      </c>
      <c r="R591" s="18" t="str">
        <f>IF(BITWISE_AND('Raw Data'!$L592, 1024),"X","")</f>
        <v/>
      </c>
      <c r="S591" s="18" t="str">
        <f>IF(BITWISE_AND('Raw Data'!$L592, 512),"X","")</f>
        <v/>
      </c>
      <c r="T591" s="18" t="str">
        <f>IF(BITWISE_AND('Raw Data'!$L592, 256),"X","")</f>
        <v/>
      </c>
      <c r="U591" s="18" t="str">
        <f>IF(BITWISE_AND('Raw Data'!$L592, 64),"X","")</f>
        <v/>
      </c>
      <c r="V591" s="18" t="str">
        <f>IF(BITWISE_AND('Raw Data'!$L592, 2),"X","")</f>
        <v/>
      </c>
      <c r="W591" s="18" t="str">
        <f>IF(BITWISE_AND('Raw Data'!$L592, 1),"X","")</f>
        <v/>
      </c>
      <c r="X591" s="19" t="str">
        <f>IF(BITWISE_AND('Raw Data'!M592, 1),"Bat Voltage", IF(BITWISE_AND('Raw Data'!M592, 2), "Charge Current", IF(BITWISE_AND('Raw Data'!M592, 4),"Input Ilim", IF(BITWISE_AND('Raw Data'!M592, 8), "Input UV", "none"))))</f>
        <v>none</v>
      </c>
    </row>
    <row r="592" spans="1:24" x14ac:dyDescent="0.2">
      <c r="A592" s="15">
        <f>A591+TIME(0,0,'Raw Data'!B592)</f>
        <v>0</v>
      </c>
      <c r="B592" s="4">
        <f>'Raw Data'!C593*0.025</f>
        <v>0</v>
      </c>
      <c r="C592" s="4">
        <f t="shared" si="27"/>
        <v>0</v>
      </c>
      <c r="D592" s="4">
        <f>'Raw Data'!D593*0.025</f>
        <v>0</v>
      </c>
      <c r="E592" s="4">
        <f t="shared" si="28"/>
        <v>0</v>
      </c>
      <c r="F592" s="4">
        <f>'Raw Data'!E593*0.001648</f>
        <v>0</v>
      </c>
      <c r="G592" s="4">
        <f>'Raw Data'!F593*0.001648</f>
        <v>0</v>
      </c>
      <c r="H592" s="4">
        <f>'Raw Data'!G593*6*0.000128176</f>
        <v>0</v>
      </c>
      <c r="I592" s="4">
        <f>'Raw Data'!H593*0.000732435</f>
        <v>0</v>
      </c>
      <c r="J592" s="4">
        <f t="shared" si="29"/>
        <v>0</v>
      </c>
      <c r="K592" s="36">
        <f>IF(('Raw Data'!I593-16384)/32768&lt;0,0,('Raw Data'!I593-16384)/32768)</f>
        <v>0</v>
      </c>
      <c r="L592" s="4">
        <f>IF(('Raw Data'!J593-12010)/45.6=-263.377192982456,0,('Raw Data'!J593-12010)/45.6)</f>
        <v>0</v>
      </c>
      <c r="M592" s="16">
        <f>'Raw Data'!N593*2^-8</f>
        <v>0</v>
      </c>
      <c r="N592" s="16">
        <f>'Raw Data'!O593*2^-8</f>
        <v>0</v>
      </c>
      <c r="O592" s="17" t="str">
        <f>IF(BITWISE_AND('Raw Data'!$K593, 8192),"X","")</f>
        <v/>
      </c>
      <c r="P592" s="17" t="str">
        <f>IF(BITWISE_AND('Raw Data'!$K593, 2048),"X","")</f>
        <v/>
      </c>
      <c r="Q592" s="17" t="str">
        <f>IF(BITWISE_AND('Raw Data'!$K593, 64),"X","")</f>
        <v/>
      </c>
      <c r="R592" s="18" t="str">
        <f>IF(BITWISE_AND('Raw Data'!$L593, 1024),"X","")</f>
        <v/>
      </c>
      <c r="S592" s="18" t="str">
        <f>IF(BITWISE_AND('Raw Data'!$L593, 512),"X","")</f>
        <v/>
      </c>
      <c r="T592" s="18" t="str">
        <f>IF(BITWISE_AND('Raw Data'!$L593, 256),"X","")</f>
        <v/>
      </c>
      <c r="U592" s="18" t="str">
        <f>IF(BITWISE_AND('Raw Data'!$L593, 64),"X","")</f>
        <v/>
      </c>
      <c r="V592" s="18" t="str">
        <f>IF(BITWISE_AND('Raw Data'!$L593, 2),"X","")</f>
        <v/>
      </c>
      <c r="W592" s="18" t="str">
        <f>IF(BITWISE_AND('Raw Data'!$L593, 1),"X","")</f>
        <v/>
      </c>
      <c r="X592" s="19" t="str">
        <f>IF(BITWISE_AND('Raw Data'!M593, 1),"Bat Voltage", IF(BITWISE_AND('Raw Data'!M593, 2), "Charge Current", IF(BITWISE_AND('Raw Data'!M593, 4),"Input Ilim", IF(BITWISE_AND('Raw Data'!M593, 8), "Input UV", "none"))))</f>
        <v>none</v>
      </c>
    </row>
    <row r="593" spans="1:24" x14ac:dyDescent="0.2">
      <c r="A593" s="15">
        <f>A592+TIME(0,0,'Raw Data'!B593)</f>
        <v>0</v>
      </c>
      <c r="B593" s="4">
        <f>'Raw Data'!C594*0.025</f>
        <v>0</v>
      </c>
      <c r="C593" s="4">
        <f t="shared" si="27"/>
        <v>0</v>
      </c>
      <c r="D593" s="4">
        <f>'Raw Data'!D594*0.025</f>
        <v>0</v>
      </c>
      <c r="E593" s="4">
        <f t="shared" si="28"/>
        <v>0</v>
      </c>
      <c r="F593" s="4">
        <f>'Raw Data'!E594*0.001648</f>
        <v>0</v>
      </c>
      <c r="G593" s="4">
        <f>'Raw Data'!F594*0.001648</f>
        <v>0</v>
      </c>
      <c r="H593" s="4">
        <f>'Raw Data'!G594*6*0.000128176</f>
        <v>0</v>
      </c>
      <c r="I593" s="4">
        <f>'Raw Data'!H594*0.000732435</f>
        <v>0</v>
      </c>
      <c r="J593" s="4">
        <f t="shared" si="29"/>
        <v>0</v>
      </c>
      <c r="K593" s="36">
        <f>IF(('Raw Data'!I594-16384)/32768&lt;0,0,('Raw Data'!I594-16384)/32768)</f>
        <v>0</v>
      </c>
      <c r="L593" s="4">
        <f>IF(('Raw Data'!J594-12010)/45.6=-263.377192982456,0,('Raw Data'!J594-12010)/45.6)</f>
        <v>0</v>
      </c>
      <c r="M593" s="16">
        <f>'Raw Data'!N594*2^-8</f>
        <v>0</v>
      </c>
      <c r="N593" s="16">
        <f>'Raw Data'!O594*2^-8</f>
        <v>0</v>
      </c>
      <c r="O593" s="17" t="str">
        <f>IF(BITWISE_AND('Raw Data'!$K594, 8192),"X","")</f>
        <v/>
      </c>
      <c r="P593" s="17" t="str">
        <f>IF(BITWISE_AND('Raw Data'!$K594, 2048),"X","")</f>
        <v/>
      </c>
      <c r="Q593" s="17" t="str">
        <f>IF(BITWISE_AND('Raw Data'!$K594, 64),"X","")</f>
        <v/>
      </c>
      <c r="R593" s="18" t="str">
        <f>IF(BITWISE_AND('Raw Data'!$L594, 1024),"X","")</f>
        <v/>
      </c>
      <c r="S593" s="18" t="str">
        <f>IF(BITWISE_AND('Raw Data'!$L594, 512),"X","")</f>
        <v/>
      </c>
      <c r="T593" s="18" t="str">
        <f>IF(BITWISE_AND('Raw Data'!$L594, 256),"X","")</f>
        <v/>
      </c>
      <c r="U593" s="18" t="str">
        <f>IF(BITWISE_AND('Raw Data'!$L594, 64),"X","")</f>
        <v/>
      </c>
      <c r="V593" s="18" t="str">
        <f>IF(BITWISE_AND('Raw Data'!$L594, 2),"X","")</f>
        <v/>
      </c>
      <c r="W593" s="18" t="str">
        <f>IF(BITWISE_AND('Raw Data'!$L594, 1),"X","")</f>
        <v/>
      </c>
      <c r="X593" s="19" t="str">
        <f>IF(BITWISE_AND('Raw Data'!M594, 1),"Bat Voltage", IF(BITWISE_AND('Raw Data'!M594, 2), "Charge Current", IF(BITWISE_AND('Raw Data'!M594, 4),"Input Ilim", IF(BITWISE_AND('Raw Data'!M594, 8), "Input UV", "none"))))</f>
        <v>none</v>
      </c>
    </row>
    <row r="594" spans="1:24" x14ac:dyDescent="0.2">
      <c r="A594" s="15">
        <f>A593+TIME(0,0,'Raw Data'!B594)</f>
        <v>0</v>
      </c>
      <c r="B594" s="4">
        <f>'Raw Data'!C595*0.025</f>
        <v>0</v>
      </c>
      <c r="C594" s="4">
        <f t="shared" si="27"/>
        <v>0</v>
      </c>
      <c r="D594" s="4">
        <f>'Raw Data'!D595*0.025</f>
        <v>0</v>
      </c>
      <c r="E594" s="4">
        <f t="shared" si="28"/>
        <v>0</v>
      </c>
      <c r="F594" s="4">
        <f>'Raw Data'!E595*0.001648</f>
        <v>0</v>
      </c>
      <c r="G594" s="4">
        <f>'Raw Data'!F595*0.001648</f>
        <v>0</v>
      </c>
      <c r="H594" s="4">
        <f>'Raw Data'!G595*6*0.000128176</f>
        <v>0</v>
      </c>
      <c r="I594" s="4">
        <f>'Raw Data'!H595*0.000732435</f>
        <v>0</v>
      </c>
      <c r="J594" s="4">
        <f t="shared" si="29"/>
        <v>0</v>
      </c>
      <c r="K594" s="36">
        <f>IF(('Raw Data'!I595-16384)/32768&lt;0,0,('Raw Data'!I595-16384)/32768)</f>
        <v>0</v>
      </c>
      <c r="L594" s="4">
        <f>IF(('Raw Data'!J595-12010)/45.6=-263.377192982456,0,('Raw Data'!J595-12010)/45.6)</f>
        <v>0</v>
      </c>
      <c r="M594" s="16">
        <f>'Raw Data'!N595*2^-8</f>
        <v>0</v>
      </c>
      <c r="N594" s="16">
        <f>'Raw Data'!O595*2^-8</f>
        <v>0</v>
      </c>
      <c r="O594" s="17" t="str">
        <f>IF(BITWISE_AND('Raw Data'!$K595, 8192),"X","")</f>
        <v/>
      </c>
      <c r="P594" s="17" t="str">
        <f>IF(BITWISE_AND('Raw Data'!$K595, 2048),"X","")</f>
        <v/>
      </c>
      <c r="Q594" s="17" t="str">
        <f>IF(BITWISE_AND('Raw Data'!$K595, 64),"X","")</f>
        <v/>
      </c>
      <c r="R594" s="18" t="str">
        <f>IF(BITWISE_AND('Raw Data'!$L595, 1024),"X","")</f>
        <v/>
      </c>
      <c r="S594" s="18" t="str">
        <f>IF(BITWISE_AND('Raw Data'!$L595, 512),"X","")</f>
        <v/>
      </c>
      <c r="T594" s="18" t="str">
        <f>IF(BITWISE_AND('Raw Data'!$L595, 256),"X","")</f>
        <v/>
      </c>
      <c r="U594" s="18" t="str">
        <f>IF(BITWISE_AND('Raw Data'!$L595, 64),"X","")</f>
        <v/>
      </c>
      <c r="V594" s="18" t="str">
        <f>IF(BITWISE_AND('Raw Data'!$L595, 2),"X","")</f>
        <v/>
      </c>
      <c r="W594" s="18" t="str">
        <f>IF(BITWISE_AND('Raw Data'!$L595, 1),"X","")</f>
        <v/>
      </c>
      <c r="X594" s="19" t="str">
        <f>IF(BITWISE_AND('Raw Data'!M595, 1),"Bat Voltage", IF(BITWISE_AND('Raw Data'!M595, 2), "Charge Current", IF(BITWISE_AND('Raw Data'!M595, 4),"Input Ilim", IF(BITWISE_AND('Raw Data'!M595, 8), "Input UV", "none"))))</f>
        <v>none</v>
      </c>
    </row>
    <row r="595" spans="1:24" x14ac:dyDescent="0.2">
      <c r="A595" s="15">
        <f>A594+TIME(0,0,'Raw Data'!B595)</f>
        <v>0</v>
      </c>
      <c r="B595" s="4">
        <f>'Raw Data'!C596*0.025</f>
        <v>0</v>
      </c>
      <c r="C595" s="4">
        <f t="shared" si="27"/>
        <v>0</v>
      </c>
      <c r="D595" s="4">
        <f>'Raw Data'!D596*0.025</f>
        <v>0</v>
      </c>
      <c r="E595" s="4">
        <f t="shared" si="28"/>
        <v>0</v>
      </c>
      <c r="F595" s="4">
        <f>'Raw Data'!E596*0.001648</f>
        <v>0</v>
      </c>
      <c r="G595" s="4">
        <f>'Raw Data'!F596*0.001648</f>
        <v>0</v>
      </c>
      <c r="H595" s="4">
        <f>'Raw Data'!G596*6*0.000128176</f>
        <v>0</v>
      </c>
      <c r="I595" s="4">
        <f>'Raw Data'!H596*0.000732435</f>
        <v>0</v>
      </c>
      <c r="J595" s="4">
        <f t="shared" si="29"/>
        <v>0</v>
      </c>
      <c r="K595" s="36">
        <f>IF(('Raw Data'!I596-16384)/32768&lt;0,0,('Raw Data'!I596-16384)/32768)</f>
        <v>0</v>
      </c>
      <c r="L595" s="4">
        <f>IF(('Raw Data'!J596-12010)/45.6=-263.377192982456,0,('Raw Data'!J596-12010)/45.6)</f>
        <v>0</v>
      </c>
      <c r="M595" s="16">
        <f>'Raw Data'!N596*2^-8</f>
        <v>0</v>
      </c>
      <c r="N595" s="16">
        <f>'Raw Data'!O596*2^-8</f>
        <v>0</v>
      </c>
      <c r="O595" s="17" t="str">
        <f>IF(BITWISE_AND('Raw Data'!$K596, 8192),"X","")</f>
        <v/>
      </c>
      <c r="P595" s="17" t="str">
        <f>IF(BITWISE_AND('Raw Data'!$K596, 2048),"X","")</f>
        <v/>
      </c>
      <c r="Q595" s="17" t="str">
        <f>IF(BITWISE_AND('Raw Data'!$K596, 64),"X","")</f>
        <v/>
      </c>
      <c r="R595" s="18" t="str">
        <f>IF(BITWISE_AND('Raw Data'!$L596, 1024),"X","")</f>
        <v/>
      </c>
      <c r="S595" s="18" t="str">
        <f>IF(BITWISE_AND('Raw Data'!$L596, 512),"X","")</f>
        <v/>
      </c>
      <c r="T595" s="18" t="str">
        <f>IF(BITWISE_AND('Raw Data'!$L596, 256),"X","")</f>
        <v/>
      </c>
      <c r="U595" s="18" t="str">
        <f>IF(BITWISE_AND('Raw Data'!$L596, 64),"X","")</f>
        <v/>
      </c>
      <c r="V595" s="18" t="str">
        <f>IF(BITWISE_AND('Raw Data'!$L596, 2),"X","")</f>
        <v/>
      </c>
      <c r="W595" s="18" t="str">
        <f>IF(BITWISE_AND('Raw Data'!$L596, 1),"X","")</f>
        <v/>
      </c>
      <c r="X595" s="19" t="str">
        <f>IF(BITWISE_AND('Raw Data'!M596, 1),"Bat Voltage", IF(BITWISE_AND('Raw Data'!M596, 2), "Charge Current", IF(BITWISE_AND('Raw Data'!M596, 4),"Input Ilim", IF(BITWISE_AND('Raw Data'!M596, 8), "Input UV", "none"))))</f>
        <v>none</v>
      </c>
    </row>
    <row r="596" spans="1:24" x14ac:dyDescent="0.2">
      <c r="A596" s="15">
        <f>A595+TIME(0,0,'Raw Data'!B596)</f>
        <v>0</v>
      </c>
      <c r="B596" s="4">
        <f>'Raw Data'!C597*0.025</f>
        <v>0</v>
      </c>
      <c r="C596" s="4">
        <f t="shared" si="27"/>
        <v>0</v>
      </c>
      <c r="D596" s="4">
        <f>'Raw Data'!D597*0.025</f>
        <v>0</v>
      </c>
      <c r="E596" s="4">
        <f t="shared" si="28"/>
        <v>0</v>
      </c>
      <c r="F596" s="4">
        <f>'Raw Data'!E597*0.001648</f>
        <v>0</v>
      </c>
      <c r="G596" s="4">
        <f>'Raw Data'!F597*0.001648</f>
        <v>0</v>
      </c>
      <c r="H596" s="4">
        <f>'Raw Data'!G597*6*0.000128176</f>
        <v>0</v>
      </c>
      <c r="I596" s="4">
        <f>'Raw Data'!H597*0.000732435</f>
        <v>0</v>
      </c>
      <c r="J596" s="4">
        <f t="shared" si="29"/>
        <v>0</v>
      </c>
      <c r="K596" s="36">
        <f>IF(('Raw Data'!I597-16384)/32768&lt;0,0,('Raw Data'!I597-16384)/32768)</f>
        <v>0</v>
      </c>
      <c r="L596" s="4">
        <f>IF(('Raw Data'!J597-12010)/45.6=-263.377192982456,0,('Raw Data'!J597-12010)/45.6)</f>
        <v>0</v>
      </c>
      <c r="M596" s="16">
        <f>'Raw Data'!N597*2^-8</f>
        <v>0</v>
      </c>
      <c r="N596" s="16">
        <f>'Raw Data'!O597*2^-8</f>
        <v>0</v>
      </c>
      <c r="O596" s="17" t="str">
        <f>IF(BITWISE_AND('Raw Data'!$K597, 8192),"X","")</f>
        <v/>
      </c>
      <c r="P596" s="17" t="str">
        <f>IF(BITWISE_AND('Raw Data'!$K597, 2048),"X","")</f>
        <v/>
      </c>
      <c r="Q596" s="17" t="str">
        <f>IF(BITWISE_AND('Raw Data'!$K597, 64),"X","")</f>
        <v/>
      </c>
      <c r="R596" s="18" t="str">
        <f>IF(BITWISE_AND('Raw Data'!$L597, 1024),"X","")</f>
        <v/>
      </c>
      <c r="S596" s="18" t="str">
        <f>IF(BITWISE_AND('Raw Data'!$L597, 512),"X","")</f>
        <v/>
      </c>
      <c r="T596" s="18" t="str">
        <f>IF(BITWISE_AND('Raw Data'!$L597, 256),"X","")</f>
        <v/>
      </c>
      <c r="U596" s="18" t="str">
        <f>IF(BITWISE_AND('Raw Data'!$L597, 64),"X","")</f>
        <v/>
      </c>
      <c r="V596" s="18" t="str">
        <f>IF(BITWISE_AND('Raw Data'!$L597, 2),"X","")</f>
        <v/>
      </c>
      <c r="W596" s="18" t="str">
        <f>IF(BITWISE_AND('Raw Data'!$L597, 1),"X","")</f>
        <v/>
      </c>
      <c r="X596" s="19" t="str">
        <f>IF(BITWISE_AND('Raw Data'!M597, 1),"Bat Voltage", IF(BITWISE_AND('Raw Data'!M597, 2), "Charge Current", IF(BITWISE_AND('Raw Data'!M597, 4),"Input Ilim", IF(BITWISE_AND('Raw Data'!M597, 8), "Input UV", "none"))))</f>
        <v>none</v>
      </c>
    </row>
    <row r="597" spans="1:24" x14ac:dyDescent="0.2">
      <c r="A597" s="15">
        <f>A596+TIME(0,0,'Raw Data'!B597)</f>
        <v>0</v>
      </c>
      <c r="B597" s="4">
        <f>'Raw Data'!C598*0.025</f>
        <v>0</v>
      </c>
      <c r="C597" s="4">
        <f t="shared" ref="C597:C660" si="30">C596+B597/60</f>
        <v>0</v>
      </c>
      <c r="D597" s="4">
        <f>'Raw Data'!D598*0.025</f>
        <v>0</v>
      </c>
      <c r="E597" s="4">
        <f t="shared" ref="E597:E660" si="31">E596+D597/60</f>
        <v>0</v>
      </c>
      <c r="F597" s="4">
        <f>'Raw Data'!E598*0.001648</f>
        <v>0</v>
      </c>
      <c r="G597" s="4">
        <f>'Raw Data'!F598*0.001648</f>
        <v>0</v>
      </c>
      <c r="H597" s="4">
        <f>'Raw Data'!G598*6*0.000128176</f>
        <v>0</v>
      </c>
      <c r="I597" s="4">
        <f>'Raw Data'!H598*0.000732435</f>
        <v>0</v>
      </c>
      <c r="J597" s="4">
        <f t="shared" si="29"/>
        <v>0</v>
      </c>
      <c r="K597" s="36">
        <f>IF(('Raw Data'!I598-16384)/32768&lt;0,0,('Raw Data'!I598-16384)/32768)</f>
        <v>0</v>
      </c>
      <c r="L597" s="4">
        <f>IF(('Raw Data'!J598-12010)/45.6=-263.377192982456,0,('Raw Data'!J598-12010)/45.6)</f>
        <v>0</v>
      </c>
      <c r="M597" s="16">
        <f>'Raw Data'!N598*2^-8</f>
        <v>0</v>
      </c>
      <c r="N597" s="16">
        <f>'Raw Data'!O598*2^-8</f>
        <v>0</v>
      </c>
      <c r="O597" s="17" t="str">
        <f>IF(BITWISE_AND('Raw Data'!$K598, 8192),"X","")</f>
        <v/>
      </c>
      <c r="P597" s="17" t="str">
        <f>IF(BITWISE_AND('Raw Data'!$K598, 2048),"X","")</f>
        <v/>
      </c>
      <c r="Q597" s="17" t="str">
        <f>IF(BITWISE_AND('Raw Data'!$K598, 64),"X","")</f>
        <v/>
      </c>
      <c r="R597" s="18" t="str">
        <f>IF(BITWISE_AND('Raw Data'!$L598, 1024),"X","")</f>
        <v/>
      </c>
      <c r="S597" s="18" t="str">
        <f>IF(BITWISE_AND('Raw Data'!$L598, 512),"X","")</f>
        <v/>
      </c>
      <c r="T597" s="18" t="str">
        <f>IF(BITWISE_AND('Raw Data'!$L598, 256),"X","")</f>
        <v/>
      </c>
      <c r="U597" s="18" t="str">
        <f>IF(BITWISE_AND('Raw Data'!$L598, 64),"X","")</f>
        <v/>
      </c>
      <c r="V597" s="18" t="str">
        <f>IF(BITWISE_AND('Raw Data'!$L598, 2),"X","")</f>
        <v/>
      </c>
      <c r="W597" s="18" t="str">
        <f>IF(BITWISE_AND('Raw Data'!$L598, 1),"X","")</f>
        <v/>
      </c>
      <c r="X597" s="19" t="str">
        <f>IF(BITWISE_AND('Raw Data'!M598, 1),"Bat Voltage", IF(BITWISE_AND('Raw Data'!M598, 2), "Charge Current", IF(BITWISE_AND('Raw Data'!M598, 4),"Input Ilim", IF(BITWISE_AND('Raw Data'!M598, 8), "Input UV", "none"))))</f>
        <v>none</v>
      </c>
    </row>
    <row r="598" spans="1:24" x14ac:dyDescent="0.2">
      <c r="A598" s="15">
        <f>A597+TIME(0,0,'Raw Data'!B598)</f>
        <v>0</v>
      </c>
      <c r="B598" s="4">
        <f>'Raw Data'!C599*0.025</f>
        <v>0</v>
      </c>
      <c r="C598" s="4">
        <f t="shared" si="30"/>
        <v>0</v>
      </c>
      <c r="D598" s="4">
        <f>'Raw Data'!D599*0.025</f>
        <v>0</v>
      </c>
      <c r="E598" s="4">
        <f t="shared" si="31"/>
        <v>0</v>
      </c>
      <c r="F598" s="4">
        <f>'Raw Data'!E599*0.001648</f>
        <v>0</v>
      </c>
      <c r="G598" s="4">
        <f>'Raw Data'!F599*0.001648</f>
        <v>0</v>
      </c>
      <c r="H598" s="4">
        <f>'Raw Data'!G599*6*0.000128176</f>
        <v>0</v>
      </c>
      <c r="I598" s="4">
        <f>'Raw Data'!H599*0.000732435</f>
        <v>0</v>
      </c>
      <c r="J598" s="4">
        <f t="shared" si="29"/>
        <v>0</v>
      </c>
      <c r="K598" s="36">
        <f>IF(('Raw Data'!I599-16384)/32768&lt;0,0,('Raw Data'!I599-16384)/32768)</f>
        <v>0</v>
      </c>
      <c r="L598" s="4">
        <f>IF(('Raw Data'!J599-12010)/45.6=-263.377192982456,0,('Raw Data'!J599-12010)/45.6)</f>
        <v>0</v>
      </c>
      <c r="M598" s="16">
        <f>'Raw Data'!N599*2^-8</f>
        <v>0</v>
      </c>
      <c r="N598" s="16">
        <f>'Raw Data'!O599*2^-8</f>
        <v>0</v>
      </c>
      <c r="O598" s="17" t="str">
        <f>IF(BITWISE_AND('Raw Data'!$K599, 8192),"X","")</f>
        <v/>
      </c>
      <c r="P598" s="17" t="str">
        <f>IF(BITWISE_AND('Raw Data'!$K599, 2048),"X","")</f>
        <v/>
      </c>
      <c r="Q598" s="17" t="str">
        <f>IF(BITWISE_AND('Raw Data'!$K599, 64),"X","")</f>
        <v/>
      </c>
      <c r="R598" s="18" t="str">
        <f>IF(BITWISE_AND('Raw Data'!$L599, 1024),"X","")</f>
        <v/>
      </c>
      <c r="S598" s="18" t="str">
        <f>IF(BITWISE_AND('Raw Data'!$L599, 512),"X","")</f>
        <v/>
      </c>
      <c r="T598" s="18" t="str">
        <f>IF(BITWISE_AND('Raw Data'!$L599, 256),"X","")</f>
        <v/>
      </c>
      <c r="U598" s="18" t="str">
        <f>IF(BITWISE_AND('Raw Data'!$L599, 64),"X","")</f>
        <v/>
      </c>
      <c r="V598" s="18" t="str">
        <f>IF(BITWISE_AND('Raw Data'!$L599, 2),"X","")</f>
        <v/>
      </c>
      <c r="W598" s="18" t="str">
        <f>IF(BITWISE_AND('Raw Data'!$L599, 1),"X","")</f>
        <v/>
      </c>
      <c r="X598" s="19" t="str">
        <f>IF(BITWISE_AND('Raw Data'!M599, 1),"Bat Voltage", IF(BITWISE_AND('Raw Data'!M599, 2), "Charge Current", IF(BITWISE_AND('Raw Data'!M599, 4),"Input Ilim", IF(BITWISE_AND('Raw Data'!M599, 8), "Input UV", "none"))))</f>
        <v>none</v>
      </c>
    </row>
    <row r="599" spans="1:24" x14ac:dyDescent="0.2">
      <c r="A599" s="15">
        <f>A598+TIME(0,0,'Raw Data'!B599)</f>
        <v>0</v>
      </c>
      <c r="B599" s="4">
        <f>'Raw Data'!C600*0.025</f>
        <v>0</v>
      </c>
      <c r="C599" s="4">
        <f t="shared" si="30"/>
        <v>0</v>
      </c>
      <c r="D599" s="4">
        <f>'Raw Data'!D600*0.025</f>
        <v>0</v>
      </c>
      <c r="E599" s="4">
        <f t="shared" si="31"/>
        <v>0</v>
      </c>
      <c r="F599" s="4">
        <f>'Raw Data'!E600*0.001648</f>
        <v>0</v>
      </c>
      <c r="G599" s="4">
        <f>'Raw Data'!F600*0.001648</f>
        <v>0</v>
      </c>
      <c r="H599" s="4">
        <f>'Raw Data'!G600*6*0.000128176</f>
        <v>0</v>
      </c>
      <c r="I599" s="4">
        <f>'Raw Data'!H600*0.000732435</f>
        <v>0</v>
      </c>
      <c r="J599" s="4">
        <f t="shared" si="29"/>
        <v>0</v>
      </c>
      <c r="K599" s="36">
        <f>IF(('Raw Data'!I600-16384)/32768&lt;0,0,('Raw Data'!I600-16384)/32768)</f>
        <v>0</v>
      </c>
      <c r="L599" s="4">
        <f>IF(('Raw Data'!J600-12010)/45.6=-263.377192982456,0,('Raw Data'!J600-12010)/45.6)</f>
        <v>0</v>
      </c>
      <c r="M599" s="16">
        <f>'Raw Data'!N600*2^-8</f>
        <v>0</v>
      </c>
      <c r="N599" s="16">
        <f>'Raw Data'!O600*2^-8</f>
        <v>0</v>
      </c>
      <c r="O599" s="17" t="str">
        <f>IF(BITWISE_AND('Raw Data'!$K600, 8192),"X","")</f>
        <v/>
      </c>
      <c r="P599" s="17" t="str">
        <f>IF(BITWISE_AND('Raw Data'!$K600, 2048),"X","")</f>
        <v/>
      </c>
      <c r="Q599" s="17" t="str">
        <f>IF(BITWISE_AND('Raw Data'!$K600, 64),"X","")</f>
        <v/>
      </c>
      <c r="R599" s="18" t="str">
        <f>IF(BITWISE_AND('Raw Data'!$L600, 1024),"X","")</f>
        <v/>
      </c>
      <c r="S599" s="18" t="str">
        <f>IF(BITWISE_AND('Raw Data'!$L600, 512),"X","")</f>
        <v/>
      </c>
      <c r="T599" s="18" t="str">
        <f>IF(BITWISE_AND('Raw Data'!$L600, 256),"X","")</f>
        <v/>
      </c>
      <c r="U599" s="18" t="str">
        <f>IF(BITWISE_AND('Raw Data'!$L600, 64),"X","")</f>
        <v/>
      </c>
      <c r="V599" s="18" t="str">
        <f>IF(BITWISE_AND('Raw Data'!$L600, 2),"X","")</f>
        <v/>
      </c>
      <c r="W599" s="18" t="str">
        <f>IF(BITWISE_AND('Raw Data'!$L600, 1),"X","")</f>
        <v/>
      </c>
      <c r="X599" s="19" t="str">
        <f>IF(BITWISE_AND('Raw Data'!M600, 1),"Bat Voltage", IF(BITWISE_AND('Raw Data'!M600, 2), "Charge Current", IF(BITWISE_AND('Raw Data'!M600, 4),"Input Ilim", IF(BITWISE_AND('Raw Data'!M600, 8), "Input UV", "none"))))</f>
        <v>none</v>
      </c>
    </row>
    <row r="600" spans="1:24" x14ac:dyDescent="0.2">
      <c r="A600" s="15">
        <f>A599+TIME(0,0,'Raw Data'!B600)</f>
        <v>0</v>
      </c>
      <c r="B600" s="4">
        <f>'Raw Data'!C601*0.025</f>
        <v>0</v>
      </c>
      <c r="C600" s="4">
        <f t="shared" si="30"/>
        <v>0</v>
      </c>
      <c r="D600" s="4">
        <f>'Raw Data'!D601*0.025</f>
        <v>0</v>
      </c>
      <c r="E600" s="4">
        <f t="shared" si="31"/>
        <v>0</v>
      </c>
      <c r="F600" s="4">
        <f>'Raw Data'!E601*0.001648</f>
        <v>0</v>
      </c>
      <c r="G600" s="4">
        <f>'Raw Data'!F601*0.001648</f>
        <v>0</v>
      </c>
      <c r="H600" s="4">
        <f>'Raw Data'!G601*6*0.000128176</f>
        <v>0</v>
      </c>
      <c r="I600" s="4">
        <f>'Raw Data'!H601*0.000732435</f>
        <v>0</v>
      </c>
      <c r="J600" s="4">
        <f t="shared" si="29"/>
        <v>0</v>
      </c>
      <c r="K600" s="36">
        <f>IF(('Raw Data'!I601-16384)/32768&lt;0,0,('Raw Data'!I601-16384)/32768)</f>
        <v>0</v>
      </c>
      <c r="L600" s="4">
        <f>IF(('Raw Data'!J601-12010)/45.6=-263.377192982456,0,('Raw Data'!J601-12010)/45.6)</f>
        <v>0</v>
      </c>
      <c r="M600" s="16">
        <f>'Raw Data'!N601*2^-8</f>
        <v>0</v>
      </c>
      <c r="N600" s="16">
        <f>'Raw Data'!O601*2^-8</f>
        <v>0</v>
      </c>
      <c r="O600" s="17" t="str">
        <f>IF(BITWISE_AND('Raw Data'!$K601, 8192),"X","")</f>
        <v/>
      </c>
      <c r="P600" s="17" t="str">
        <f>IF(BITWISE_AND('Raw Data'!$K601, 2048),"X","")</f>
        <v/>
      </c>
      <c r="Q600" s="17" t="str">
        <f>IF(BITWISE_AND('Raw Data'!$K601, 64),"X","")</f>
        <v/>
      </c>
      <c r="R600" s="18" t="str">
        <f>IF(BITWISE_AND('Raw Data'!$L601, 1024),"X","")</f>
        <v/>
      </c>
      <c r="S600" s="18" t="str">
        <f>IF(BITWISE_AND('Raw Data'!$L601, 512),"X","")</f>
        <v/>
      </c>
      <c r="T600" s="18" t="str">
        <f>IF(BITWISE_AND('Raw Data'!$L601, 256),"X","")</f>
        <v/>
      </c>
      <c r="U600" s="18" t="str">
        <f>IF(BITWISE_AND('Raw Data'!$L601, 64),"X","")</f>
        <v/>
      </c>
      <c r="V600" s="18" t="str">
        <f>IF(BITWISE_AND('Raw Data'!$L601, 2),"X","")</f>
        <v/>
      </c>
      <c r="W600" s="18" t="str">
        <f>IF(BITWISE_AND('Raw Data'!$L601, 1),"X","")</f>
        <v/>
      </c>
      <c r="X600" s="19" t="str">
        <f>IF(BITWISE_AND('Raw Data'!M601, 1),"Bat Voltage", IF(BITWISE_AND('Raw Data'!M601, 2), "Charge Current", IF(BITWISE_AND('Raw Data'!M601, 4),"Input Ilim", IF(BITWISE_AND('Raw Data'!M601, 8), "Input UV", "none"))))</f>
        <v>none</v>
      </c>
    </row>
    <row r="601" spans="1:24" x14ac:dyDescent="0.2">
      <c r="A601" s="15">
        <f>A600+TIME(0,0,'Raw Data'!B601)</f>
        <v>0</v>
      </c>
      <c r="B601" s="4">
        <f>'Raw Data'!C602*0.025</f>
        <v>0</v>
      </c>
      <c r="C601" s="4">
        <f t="shared" si="30"/>
        <v>0</v>
      </c>
      <c r="D601" s="4">
        <f>'Raw Data'!D602*0.025</f>
        <v>0</v>
      </c>
      <c r="E601" s="4">
        <f t="shared" si="31"/>
        <v>0</v>
      </c>
      <c r="F601" s="4">
        <f>'Raw Data'!E602*0.001648</f>
        <v>0</v>
      </c>
      <c r="G601" s="4">
        <f>'Raw Data'!F602*0.001648</f>
        <v>0</v>
      </c>
      <c r="H601" s="4">
        <f>'Raw Data'!G602*6*0.000128176</f>
        <v>0</v>
      </c>
      <c r="I601" s="4">
        <f>'Raw Data'!H602*0.000732435</f>
        <v>0</v>
      </c>
      <c r="J601" s="4">
        <f t="shared" si="29"/>
        <v>0</v>
      </c>
      <c r="K601" s="36">
        <f>IF(('Raw Data'!I602-16384)/32768&lt;0,0,('Raw Data'!I602-16384)/32768)</f>
        <v>0</v>
      </c>
      <c r="L601" s="4">
        <f>IF(('Raw Data'!J602-12010)/45.6=-263.377192982456,0,('Raw Data'!J602-12010)/45.6)</f>
        <v>0</v>
      </c>
      <c r="M601" s="16">
        <f>'Raw Data'!N602*2^-8</f>
        <v>0</v>
      </c>
      <c r="N601" s="16">
        <f>'Raw Data'!O602*2^-8</f>
        <v>0</v>
      </c>
      <c r="O601" s="17" t="str">
        <f>IF(BITWISE_AND('Raw Data'!$K602, 8192),"X","")</f>
        <v/>
      </c>
      <c r="P601" s="17" t="str">
        <f>IF(BITWISE_AND('Raw Data'!$K602, 2048),"X","")</f>
        <v/>
      </c>
      <c r="Q601" s="17" t="str">
        <f>IF(BITWISE_AND('Raw Data'!$K602, 64),"X","")</f>
        <v/>
      </c>
      <c r="R601" s="18" t="str">
        <f>IF(BITWISE_AND('Raw Data'!$L602, 1024),"X","")</f>
        <v/>
      </c>
      <c r="S601" s="18" t="str">
        <f>IF(BITWISE_AND('Raw Data'!$L602, 512),"X","")</f>
        <v/>
      </c>
      <c r="T601" s="18" t="str">
        <f>IF(BITWISE_AND('Raw Data'!$L602, 256),"X","")</f>
        <v/>
      </c>
      <c r="U601" s="18" t="str">
        <f>IF(BITWISE_AND('Raw Data'!$L602, 64),"X","")</f>
        <v/>
      </c>
      <c r="V601" s="18" t="str">
        <f>IF(BITWISE_AND('Raw Data'!$L602, 2),"X","")</f>
        <v/>
      </c>
      <c r="W601" s="18" t="str">
        <f>IF(BITWISE_AND('Raw Data'!$L602, 1),"X","")</f>
        <v/>
      </c>
      <c r="X601" s="19" t="str">
        <f>IF(BITWISE_AND('Raw Data'!M602, 1),"Bat Voltage", IF(BITWISE_AND('Raw Data'!M602, 2), "Charge Current", IF(BITWISE_AND('Raw Data'!M602, 4),"Input Ilim", IF(BITWISE_AND('Raw Data'!M602, 8), "Input UV", "none"))))</f>
        <v>none</v>
      </c>
    </row>
    <row r="602" spans="1:24" x14ac:dyDescent="0.2">
      <c r="A602" s="15">
        <f>A601+TIME(0,0,'Raw Data'!B602)</f>
        <v>0</v>
      </c>
      <c r="B602" s="4">
        <f>'Raw Data'!C603*0.025</f>
        <v>0</v>
      </c>
      <c r="C602" s="4">
        <f t="shared" si="30"/>
        <v>0</v>
      </c>
      <c r="D602" s="4">
        <f>'Raw Data'!D603*0.025</f>
        <v>0</v>
      </c>
      <c r="E602" s="4">
        <f t="shared" si="31"/>
        <v>0</v>
      </c>
      <c r="F602" s="4">
        <f>'Raw Data'!E603*0.001648</f>
        <v>0</v>
      </c>
      <c r="G602" s="4">
        <f>'Raw Data'!F603*0.001648</f>
        <v>0</v>
      </c>
      <c r="H602" s="4">
        <f>'Raw Data'!G603*6*0.000128176</f>
        <v>0</v>
      </c>
      <c r="I602" s="4">
        <f>'Raw Data'!H603*0.000732435</f>
        <v>0</v>
      </c>
      <c r="J602" s="4">
        <f t="shared" si="29"/>
        <v>0</v>
      </c>
      <c r="K602" s="36">
        <f>IF(('Raw Data'!I603-16384)/32768&lt;0,0,('Raw Data'!I603-16384)/32768)</f>
        <v>0</v>
      </c>
      <c r="L602" s="4">
        <f>IF(('Raw Data'!J603-12010)/45.6=-263.377192982456,0,('Raw Data'!J603-12010)/45.6)</f>
        <v>0</v>
      </c>
      <c r="M602" s="16">
        <f>'Raw Data'!N603*2^-8</f>
        <v>0</v>
      </c>
      <c r="N602" s="16">
        <f>'Raw Data'!O603*2^-8</f>
        <v>0</v>
      </c>
      <c r="O602" s="17" t="str">
        <f>IF(BITWISE_AND('Raw Data'!$K603, 8192),"X","")</f>
        <v/>
      </c>
      <c r="P602" s="17" t="str">
        <f>IF(BITWISE_AND('Raw Data'!$K603, 2048),"X","")</f>
        <v/>
      </c>
      <c r="Q602" s="17" t="str">
        <f>IF(BITWISE_AND('Raw Data'!$K603, 64),"X","")</f>
        <v/>
      </c>
      <c r="R602" s="18" t="str">
        <f>IF(BITWISE_AND('Raw Data'!$L603, 1024),"X","")</f>
        <v/>
      </c>
      <c r="S602" s="18" t="str">
        <f>IF(BITWISE_AND('Raw Data'!$L603, 512),"X","")</f>
        <v/>
      </c>
      <c r="T602" s="18" t="str">
        <f>IF(BITWISE_AND('Raw Data'!$L603, 256),"X","")</f>
        <v/>
      </c>
      <c r="U602" s="18" t="str">
        <f>IF(BITWISE_AND('Raw Data'!$L603, 64),"X","")</f>
        <v/>
      </c>
      <c r="V602" s="18" t="str">
        <f>IF(BITWISE_AND('Raw Data'!$L603, 2),"X","")</f>
        <v/>
      </c>
      <c r="W602" s="18" t="str">
        <f>IF(BITWISE_AND('Raw Data'!$L603, 1),"X","")</f>
        <v/>
      </c>
      <c r="X602" s="19" t="str">
        <f>IF(BITWISE_AND('Raw Data'!M603, 1),"Bat Voltage", IF(BITWISE_AND('Raw Data'!M603, 2), "Charge Current", IF(BITWISE_AND('Raw Data'!M603, 4),"Input Ilim", IF(BITWISE_AND('Raw Data'!M603, 8), "Input UV", "none"))))</f>
        <v>none</v>
      </c>
    </row>
    <row r="603" spans="1:24" x14ac:dyDescent="0.2">
      <c r="A603" s="15">
        <f>A602+TIME(0,0,'Raw Data'!B603)</f>
        <v>0</v>
      </c>
      <c r="B603" s="4">
        <f>'Raw Data'!C604*0.025</f>
        <v>0</v>
      </c>
      <c r="C603" s="4">
        <f t="shared" si="30"/>
        <v>0</v>
      </c>
      <c r="D603" s="4">
        <f>'Raw Data'!D604*0.025</f>
        <v>0</v>
      </c>
      <c r="E603" s="4">
        <f t="shared" si="31"/>
        <v>0</v>
      </c>
      <c r="F603" s="4">
        <f>'Raw Data'!E604*0.001648</f>
        <v>0</v>
      </c>
      <c r="G603" s="4">
        <f>'Raw Data'!F604*0.001648</f>
        <v>0</v>
      </c>
      <c r="H603" s="4">
        <f>'Raw Data'!G604*6*0.000128176</f>
        <v>0</v>
      </c>
      <c r="I603" s="4">
        <f>'Raw Data'!H604*0.000732435</f>
        <v>0</v>
      </c>
      <c r="J603" s="4">
        <f t="shared" si="29"/>
        <v>0</v>
      </c>
      <c r="K603" s="36">
        <f>IF(('Raw Data'!I604-16384)/32768&lt;0,0,('Raw Data'!I604-16384)/32768)</f>
        <v>0</v>
      </c>
      <c r="L603" s="4">
        <f>IF(('Raw Data'!J604-12010)/45.6=-263.377192982456,0,('Raw Data'!J604-12010)/45.6)</f>
        <v>0</v>
      </c>
      <c r="M603" s="16">
        <f>'Raw Data'!N604*2^-8</f>
        <v>0</v>
      </c>
      <c r="N603" s="16">
        <f>'Raw Data'!O604*2^-8</f>
        <v>0</v>
      </c>
      <c r="O603" s="17" t="str">
        <f>IF(BITWISE_AND('Raw Data'!$K604, 8192),"X","")</f>
        <v/>
      </c>
      <c r="P603" s="17" t="str">
        <f>IF(BITWISE_AND('Raw Data'!$K604, 2048),"X","")</f>
        <v/>
      </c>
      <c r="Q603" s="17" t="str">
        <f>IF(BITWISE_AND('Raw Data'!$K604, 64),"X","")</f>
        <v/>
      </c>
      <c r="R603" s="18" t="str">
        <f>IF(BITWISE_AND('Raw Data'!$L604, 1024),"X","")</f>
        <v/>
      </c>
      <c r="S603" s="18" t="str">
        <f>IF(BITWISE_AND('Raw Data'!$L604, 512),"X","")</f>
        <v/>
      </c>
      <c r="T603" s="18" t="str">
        <f>IF(BITWISE_AND('Raw Data'!$L604, 256),"X","")</f>
        <v/>
      </c>
      <c r="U603" s="18" t="str">
        <f>IF(BITWISE_AND('Raw Data'!$L604, 64),"X","")</f>
        <v/>
      </c>
      <c r="V603" s="18" t="str">
        <f>IF(BITWISE_AND('Raw Data'!$L604, 2),"X","")</f>
        <v/>
      </c>
      <c r="W603" s="18" t="str">
        <f>IF(BITWISE_AND('Raw Data'!$L604, 1),"X","")</f>
        <v/>
      </c>
      <c r="X603" s="19" t="str">
        <f>IF(BITWISE_AND('Raw Data'!M604, 1),"Bat Voltage", IF(BITWISE_AND('Raw Data'!M604, 2), "Charge Current", IF(BITWISE_AND('Raw Data'!M604, 4),"Input Ilim", IF(BITWISE_AND('Raw Data'!M604, 8), "Input UV", "none"))))</f>
        <v>none</v>
      </c>
    </row>
    <row r="604" spans="1:24" x14ac:dyDescent="0.2">
      <c r="A604" s="15">
        <f>A603+TIME(0,0,'Raw Data'!B604)</f>
        <v>0</v>
      </c>
      <c r="B604" s="4">
        <f>'Raw Data'!C605*0.025</f>
        <v>0</v>
      </c>
      <c r="C604" s="4">
        <f t="shared" si="30"/>
        <v>0</v>
      </c>
      <c r="D604" s="4">
        <f>'Raw Data'!D605*0.025</f>
        <v>0</v>
      </c>
      <c r="E604" s="4">
        <f t="shared" si="31"/>
        <v>0</v>
      </c>
      <c r="F604" s="4">
        <f>'Raw Data'!E605*0.001648</f>
        <v>0</v>
      </c>
      <c r="G604" s="4">
        <f>'Raw Data'!F605*0.001648</f>
        <v>0</v>
      </c>
      <c r="H604" s="4">
        <f>'Raw Data'!G605*6*0.000128176</f>
        <v>0</v>
      </c>
      <c r="I604" s="4">
        <f>'Raw Data'!H605*0.000732435</f>
        <v>0</v>
      </c>
      <c r="J604" s="4">
        <f t="shared" si="29"/>
        <v>0</v>
      </c>
      <c r="K604" s="36">
        <f>IF(('Raw Data'!I605-16384)/32768&lt;0,0,('Raw Data'!I605-16384)/32768)</f>
        <v>0</v>
      </c>
      <c r="L604" s="4">
        <f>IF(('Raw Data'!J605-12010)/45.6=-263.377192982456,0,('Raw Data'!J605-12010)/45.6)</f>
        <v>0</v>
      </c>
      <c r="M604" s="16">
        <f>'Raw Data'!N605*2^-8</f>
        <v>0</v>
      </c>
      <c r="N604" s="16">
        <f>'Raw Data'!O605*2^-8</f>
        <v>0</v>
      </c>
      <c r="O604" s="17" t="str">
        <f>IF(BITWISE_AND('Raw Data'!$K605, 8192),"X","")</f>
        <v/>
      </c>
      <c r="P604" s="17" t="str">
        <f>IF(BITWISE_AND('Raw Data'!$K605, 2048),"X","")</f>
        <v/>
      </c>
      <c r="Q604" s="17" t="str">
        <f>IF(BITWISE_AND('Raw Data'!$K605, 64),"X","")</f>
        <v/>
      </c>
      <c r="R604" s="18" t="str">
        <f>IF(BITWISE_AND('Raw Data'!$L605, 1024),"X","")</f>
        <v/>
      </c>
      <c r="S604" s="18" t="str">
        <f>IF(BITWISE_AND('Raw Data'!$L605, 512),"X","")</f>
        <v/>
      </c>
      <c r="T604" s="18" t="str">
        <f>IF(BITWISE_AND('Raw Data'!$L605, 256),"X","")</f>
        <v/>
      </c>
      <c r="U604" s="18" t="str">
        <f>IF(BITWISE_AND('Raw Data'!$L605, 64),"X","")</f>
        <v/>
      </c>
      <c r="V604" s="18" t="str">
        <f>IF(BITWISE_AND('Raw Data'!$L605, 2),"X","")</f>
        <v/>
      </c>
      <c r="W604" s="18" t="str">
        <f>IF(BITWISE_AND('Raw Data'!$L605, 1),"X","")</f>
        <v/>
      </c>
      <c r="X604" s="19" t="str">
        <f>IF(BITWISE_AND('Raw Data'!M605, 1),"Bat Voltage", IF(BITWISE_AND('Raw Data'!M605, 2), "Charge Current", IF(BITWISE_AND('Raw Data'!M605, 4),"Input Ilim", IF(BITWISE_AND('Raw Data'!M605, 8), "Input UV", "none"))))</f>
        <v>none</v>
      </c>
    </row>
    <row r="605" spans="1:24" x14ac:dyDescent="0.2">
      <c r="A605" s="15">
        <f>A604+TIME(0,0,'Raw Data'!B605)</f>
        <v>0</v>
      </c>
      <c r="B605" s="4">
        <f>'Raw Data'!C606*0.025</f>
        <v>0</v>
      </c>
      <c r="C605" s="4">
        <f t="shared" si="30"/>
        <v>0</v>
      </c>
      <c r="D605" s="4">
        <f>'Raw Data'!D606*0.025</f>
        <v>0</v>
      </c>
      <c r="E605" s="4">
        <f t="shared" si="31"/>
        <v>0</v>
      </c>
      <c r="F605" s="4">
        <f>'Raw Data'!E606*0.001648</f>
        <v>0</v>
      </c>
      <c r="G605" s="4">
        <f>'Raw Data'!F606*0.001648</f>
        <v>0</v>
      </c>
      <c r="H605" s="4">
        <f>'Raw Data'!G606*6*0.000128176</f>
        <v>0</v>
      </c>
      <c r="I605" s="4">
        <f>'Raw Data'!H606*0.000732435</f>
        <v>0</v>
      </c>
      <c r="J605" s="4">
        <f t="shared" si="29"/>
        <v>0</v>
      </c>
      <c r="K605" s="36">
        <f>IF(('Raw Data'!I606-16384)/32768&lt;0,0,('Raw Data'!I606-16384)/32768)</f>
        <v>0</v>
      </c>
      <c r="L605" s="4">
        <f>IF(('Raw Data'!J606-12010)/45.6=-263.377192982456,0,('Raw Data'!J606-12010)/45.6)</f>
        <v>0</v>
      </c>
      <c r="M605" s="16">
        <f>'Raw Data'!N606*2^-8</f>
        <v>0</v>
      </c>
      <c r="N605" s="16">
        <f>'Raw Data'!O606*2^-8</f>
        <v>0</v>
      </c>
      <c r="O605" s="17" t="str">
        <f>IF(BITWISE_AND('Raw Data'!$K606, 8192),"X","")</f>
        <v/>
      </c>
      <c r="P605" s="17" t="str">
        <f>IF(BITWISE_AND('Raw Data'!$K606, 2048),"X","")</f>
        <v/>
      </c>
      <c r="Q605" s="17" t="str">
        <f>IF(BITWISE_AND('Raw Data'!$K606, 64),"X","")</f>
        <v/>
      </c>
      <c r="R605" s="18" t="str">
        <f>IF(BITWISE_AND('Raw Data'!$L606, 1024),"X","")</f>
        <v/>
      </c>
      <c r="S605" s="18" t="str">
        <f>IF(BITWISE_AND('Raw Data'!$L606, 512),"X","")</f>
        <v/>
      </c>
      <c r="T605" s="18" t="str">
        <f>IF(BITWISE_AND('Raw Data'!$L606, 256),"X","")</f>
        <v/>
      </c>
      <c r="U605" s="18" t="str">
        <f>IF(BITWISE_AND('Raw Data'!$L606, 64),"X","")</f>
        <v/>
      </c>
      <c r="V605" s="18" t="str">
        <f>IF(BITWISE_AND('Raw Data'!$L606, 2),"X","")</f>
        <v/>
      </c>
      <c r="W605" s="18" t="str">
        <f>IF(BITWISE_AND('Raw Data'!$L606, 1),"X","")</f>
        <v/>
      </c>
      <c r="X605" s="19" t="str">
        <f>IF(BITWISE_AND('Raw Data'!M606, 1),"Bat Voltage", IF(BITWISE_AND('Raw Data'!M606, 2), "Charge Current", IF(BITWISE_AND('Raw Data'!M606, 4),"Input Ilim", IF(BITWISE_AND('Raw Data'!M606, 8), "Input UV", "none"))))</f>
        <v>none</v>
      </c>
    </row>
    <row r="606" spans="1:24" x14ac:dyDescent="0.2">
      <c r="A606" s="15">
        <f>A605+TIME(0,0,'Raw Data'!B606)</f>
        <v>0</v>
      </c>
      <c r="B606" s="4">
        <f>'Raw Data'!C607*0.025</f>
        <v>0</v>
      </c>
      <c r="C606" s="4">
        <f t="shared" si="30"/>
        <v>0</v>
      </c>
      <c r="D606" s="4">
        <f>'Raw Data'!D607*0.025</f>
        <v>0</v>
      </c>
      <c r="E606" s="4">
        <f t="shared" si="31"/>
        <v>0</v>
      </c>
      <c r="F606" s="4">
        <f>'Raw Data'!E607*0.001648</f>
        <v>0</v>
      </c>
      <c r="G606" s="4">
        <f>'Raw Data'!F607*0.001648</f>
        <v>0</v>
      </c>
      <c r="H606" s="4">
        <f>'Raw Data'!G607*6*0.000128176</f>
        <v>0</v>
      </c>
      <c r="I606" s="4">
        <f>'Raw Data'!H607*0.000732435</f>
        <v>0</v>
      </c>
      <c r="J606" s="4">
        <f t="shared" si="29"/>
        <v>0</v>
      </c>
      <c r="K606" s="36">
        <f>IF(('Raw Data'!I607-16384)/32768&lt;0,0,('Raw Data'!I607-16384)/32768)</f>
        <v>0</v>
      </c>
      <c r="L606" s="4">
        <f>IF(('Raw Data'!J607-12010)/45.6=-263.377192982456,0,('Raw Data'!J607-12010)/45.6)</f>
        <v>0</v>
      </c>
      <c r="M606" s="16">
        <f>'Raw Data'!N607*2^-8</f>
        <v>0</v>
      </c>
      <c r="N606" s="16">
        <f>'Raw Data'!O607*2^-8</f>
        <v>0</v>
      </c>
      <c r="O606" s="17" t="str">
        <f>IF(BITWISE_AND('Raw Data'!$K607, 8192),"X","")</f>
        <v/>
      </c>
      <c r="P606" s="17" t="str">
        <f>IF(BITWISE_AND('Raw Data'!$K607, 2048),"X","")</f>
        <v/>
      </c>
      <c r="Q606" s="17" t="str">
        <f>IF(BITWISE_AND('Raw Data'!$K607, 64),"X","")</f>
        <v/>
      </c>
      <c r="R606" s="18" t="str">
        <f>IF(BITWISE_AND('Raw Data'!$L607, 1024),"X","")</f>
        <v/>
      </c>
      <c r="S606" s="18" t="str">
        <f>IF(BITWISE_AND('Raw Data'!$L607, 512),"X","")</f>
        <v/>
      </c>
      <c r="T606" s="18" t="str">
        <f>IF(BITWISE_AND('Raw Data'!$L607, 256),"X","")</f>
        <v/>
      </c>
      <c r="U606" s="18" t="str">
        <f>IF(BITWISE_AND('Raw Data'!$L607, 64),"X","")</f>
        <v/>
      </c>
      <c r="V606" s="18" t="str">
        <f>IF(BITWISE_AND('Raw Data'!$L607, 2),"X","")</f>
        <v/>
      </c>
      <c r="W606" s="18" t="str">
        <f>IF(BITWISE_AND('Raw Data'!$L607, 1),"X","")</f>
        <v/>
      </c>
      <c r="X606" s="19" t="str">
        <f>IF(BITWISE_AND('Raw Data'!M607, 1),"Bat Voltage", IF(BITWISE_AND('Raw Data'!M607, 2), "Charge Current", IF(BITWISE_AND('Raw Data'!M607, 4),"Input Ilim", IF(BITWISE_AND('Raw Data'!M607, 8), "Input UV", "none"))))</f>
        <v>none</v>
      </c>
    </row>
    <row r="607" spans="1:24" x14ac:dyDescent="0.2">
      <c r="A607" s="15">
        <f>A606+TIME(0,0,'Raw Data'!B607)</f>
        <v>0</v>
      </c>
      <c r="B607" s="4">
        <f>'Raw Data'!C608*0.025</f>
        <v>0</v>
      </c>
      <c r="C607" s="4">
        <f t="shared" si="30"/>
        <v>0</v>
      </c>
      <c r="D607" s="4">
        <f>'Raw Data'!D608*0.025</f>
        <v>0</v>
      </c>
      <c r="E607" s="4">
        <f t="shared" si="31"/>
        <v>0</v>
      </c>
      <c r="F607" s="4">
        <f>'Raw Data'!E608*0.001648</f>
        <v>0</v>
      </c>
      <c r="G607" s="4">
        <f>'Raw Data'!F608*0.001648</f>
        <v>0</v>
      </c>
      <c r="H607" s="4">
        <f>'Raw Data'!G608*6*0.000128176</f>
        <v>0</v>
      </c>
      <c r="I607" s="4">
        <f>'Raw Data'!H608*0.000732435</f>
        <v>0</v>
      </c>
      <c r="J607" s="4">
        <f t="shared" si="29"/>
        <v>0</v>
      </c>
      <c r="K607" s="36">
        <f>IF(('Raw Data'!I608-16384)/32768&lt;0,0,('Raw Data'!I608-16384)/32768)</f>
        <v>0</v>
      </c>
      <c r="L607" s="4">
        <f>IF(('Raw Data'!J608-12010)/45.6=-263.377192982456,0,('Raw Data'!J608-12010)/45.6)</f>
        <v>0</v>
      </c>
      <c r="M607" s="16">
        <f>'Raw Data'!N608*2^-8</f>
        <v>0</v>
      </c>
      <c r="N607" s="16">
        <f>'Raw Data'!O608*2^-8</f>
        <v>0</v>
      </c>
      <c r="O607" s="17" t="str">
        <f>IF(BITWISE_AND('Raw Data'!$K608, 8192),"X","")</f>
        <v/>
      </c>
      <c r="P607" s="17" t="str">
        <f>IF(BITWISE_AND('Raw Data'!$K608, 2048),"X","")</f>
        <v/>
      </c>
      <c r="Q607" s="17" t="str">
        <f>IF(BITWISE_AND('Raw Data'!$K608, 64),"X","")</f>
        <v/>
      </c>
      <c r="R607" s="18" t="str">
        <f>IF(BITWISE_AND('Raw Data'!$L608, 1024),"X","")</f>
        <v/>
      </c>
      <c r="S607" s="18" t="str">
        <f>IF(BITWISE_AND('Raw Data'!$L608, 512),"X","")</f>
        <v/>
      </c>
      <c r="T607" s="18" t="str">
        <f>IF(BITWISE_AND('Raw Data'!$L608, 256),"X","")</f>
        <v/>
      </c>
      <c r="U607" s="18" t="str">
        <f>IF(BITWISE_AND('Raw Data'!$L608, 64),"X","")</f>
        <v/>
      </c>
      <c r="V607" s="18" t="str">
        <f>IF(BITWISE_AND('Raw Data'!$L608, 2),"X","")</f>
        <v/>
      </c>
      <c r="W607" s="18" t="str">
        <f>IF(BITWISE_AND('Raw Data'!$L608, 1),"X","")</f>
        <v/>
      </c>
      <c r="X607" s="19" t="str">
        <f>IF(BITWISE_AND('Raw Data'!M608, 1),"Bat Voltage", IF(BITWISE_AND('Raw Data'!M608, 2), "Charge Current", IF(BITWISE_AND('Raw Data'!M608, 4),"Input Ilim", IF(BITWISE_AND('Raw Data'!M608, 8), "Input UV", "none"))))</f>
        <v>none</v>
      </c>
    </row>
    <row r="608" spans="1:24" x14ac:dyDescent="0.2">
      <c r="A608" s="15">
        <f>A607+TIME(0,0,'Raw Data'!B608)</f>
        <v>0</v>
      </c>
      <c r="B608" s="4">
        <f>'Raw Data'!C609*0.025</f>
        <v>0</v>
      </c>
      <c r="C608" s="4">
        <f t="shared" si="30"/>
        <v>0</v>
      </c>
      <c r="D608" s="4">
        <f>'Raw Data'!D609*0.025</f>
        <v>0</v>
      </c>
      <c r="E608" s="4">
        <f t="shared" si="31"/>
        <v>0</v>
      </c>
      <c r="F608" s="4">
        <f>'Raw Data'!E609*0.001648</f>
        <v>0</v>
      </c>
      <c r="G608" s="4">
        <f>'Raw Data'!F609*0.001648</f>
        <v>0</v>
      </c>
      <c r="H608" s="4">
        <f>'Raw Data'!G609*6*0.000128176</f>
        <v>0</v>
      </c>
      <c r="I608" s="4">
        <f>'Raw Data'!H609*0.000732435</f>
        <v>0</v>
      </c>
      <c r="J608" s="4">
        <f t="shared" si="29"/>
        <v>0</v>
      </c>
      <c r="K608" s="36">
        <f>IF(('Raw Data'!I609-16384)/32768&lt;0,0,('Raw Data'!I609-16384)/32768)</f>
        <v>0</v>
      </c>
      <c r="L608" s="4">
        <f>IF(('Raw Data'!J609-12010)/45.6=-263.377192982456,0,('Raw Data'!J609-12010)/45.6)</f>
        <v>0</v>
      </c>
      <c r="M608" s="16">
        <f>'Raw Data'!N609*2^-8</f>
        <v>0</v>
      </c>
      <c r="N608" s="16">
        <f>'Raw Data'!O609*2^-8</f>
        <v>0</v>
      </c>
      <c r="O608" s="17" t="str">
        <f>IF(BITWISE_AND('Raw Data'!$K609, 8192),"X","")</f>
        <v/>
      </c>
      <c r="P608" s="17" t="str">
        <f>IF(BITWISE_AND('Raw Data'!$K609, 2048),"X","")</f>
        <v/>
      </c>
      <c r="Q608" s="17" t="str">
        <f>IF(BITWISE_AND('Raw Data'!$K609, 64),"X","")</f>
        <v/>
      </c>
      <c r="R608" s="18" t="str">
        <f>IF(BITWISE_AND('Raw Data'!$L609, 1024),"X","")</f>
        <v/>
      </c>
      <c r="S608" s="18" t="str">
        <f>IF(BITWISE_AND('Raw Data'!$L609, 512),"X","")</f>
        <v/>
      </c>
      <c r="T608" s="18" t="str">
        <f>IF(BITWISE_AND('Raw Data'!$L609, 256),"X","")</f>
        <v/>
      </c>
      <c r="U608" s="18" t="str">
        <f>IF(BITWISE_AND('Raw Data'!$L609, 64),"X","")</f>
        <v/>
      </c>
      <c r="V608" s="18" t="str">
        <f>IF(BITWISE_AND('Raw Data'!$L609, 2),"X","")</f>
        <v/>
      </c>
      <c r="W608" s="18" t="str">
        <f>IF(BITWISE_AND('Raw Data'!$L609, 1),"X","")</f>
        <v/>
      </c>
      <c r="X608" s="19" t="str">
        <f>IF(BITWISE_AND('Raw Data'!M609, 1),"Bat Voltage", IF(BITWISE_AND('Raw Data'!M609, 2), "Charge Current", IF(BITWISE_AND('Raw Data'!M609, 4),"Input Ilim", IF(BITWISE_AND('Raw Data'!M609, 8), "Input UV", "none"))))</f>
        <v>none</v>
      </c>
    </row>
    <row r="609" spans="1:24" x14ac:dyDescent="0.2">
      <c r="A609" s="15">
        <f>A608+TIME(0,0,'Raw Data'!B609)</f>
        <v>0</v>
      </c>
      <c r="B609" s="4">
        <f>'Raw Data'!C610*0.025</f>
        <v>0</v>
      </c>
      <c r="C609" s="4">
        <f t="shared" si="30"/>
        <v>0</v>
      </c>
      <c r="D609" s="4">
        <f>'Raw Data'!D610*0.025</f>
        <v>0</v>
      </c>
      <c r="E609" s="4">
        <f t="shared" si="31"/>
        <v>0</v>
      </c>
      <c r="F609" s="4">
        <f>'Raw Data'!E610*0.001648</f>
        <v>0</v>
      </c>
      <c r="G609" s="4">
        <f>'Raw Data'!F610*0.001648</f>
        <v>0</v>
      </c>
      <c r="H609" s="4">
        <f>'Raw Data'!G610*6*0.000128176</f>
        <v>0</v>
      </c>
      <c r="I609" s="4">
        <f>'Raw Data'!H610*0.000732435</f>
        <v>0</v>
      </c>
      <c r="J609" s="4">
        <f t="shared" si="29"/>
        <v>0</v>
      </c>
      <c r="K609" s="36">
        <f>IF(('Raw Data'!I610-16384)/32768&lt;0,0,('Raw Data'!I610-16384)/32768)</f>
        <v>0</v>
      </c>
      <c r="L609" s="4">
        <f>IF(('Raw Data'!J610-12010)/45.6=-263.377192982456,0,('Raw Data'!J610-12010)/45.6)</f>
        <v>0</v>
      </c>
      <c r="M609" s="16">
        <f>'Raw Data'!N610*2^-8</f>
        <v>0</v>
      </c>
      <c r="N609" s="16">
        <f>'Raw Data'!O610*2^-8</f>
        <v>0</v>
      </c>
      <c r="O609" s="17" t="str">
        <f>IF(BITWISE_AND('Raw Data'!$K610, 8192),"X","")</f>
        <v/>
      </c>
      <c r="P609" s="17" t="str">
        <f>IF(BITWISE_AND('Raw Data'!$K610, 2048),"X","")</f>
        <v/>
      </c>
      <c r="Q609" s="17" t="str">
        <f>IF(BITWISE_AND('Raw Data'!$K610, 64),"X","")</f>
        <v/>
      </c>
      <c r="R609" s="18" t="str">
        <f>IF(BITWISE_AND('Raw Data'!$L610, 1024),"X","")</f>
        <v/>
      </c>
      <c r="S609" s="18" t="str">
        <f>IF(BITWISE_AND('Raw Data'!$L610, 512),"X","")</f>
        <v/>
      </c>
      <c r="T609" s="18" t="str">
        <f>IF(BITWISE_AND('Raw Data'!$L610, 256),"X","")</f>
        <v/>
      </c>
      <c r="U609" s="18" t="str">
        <f>IF(BITWISE_AND('Raw Data'!$L610, 64),"X","")</f>
        <v/>
      </c>
      <c r="V609" s="18" t="str">
        <f>IF(BITWISE_AND('Raw Data'!$L610, 2),"X","")</f>
        <v/>
      </c>
      <c r="W609" s="18" t="str">
        <f>IF(BITWISE_AND('Raw Data'!$L610, 1),"X","")</f>
        <v/>
      </c>
      <c r="X609" s="19" t="str">
        <f>IF(BITWISE_AND('Raw Data'!M610, 1),"Bat Voltage", IF(BITWISE_AND('Raw Data'!M610, 2), "Charge Current", IF(BITWISE_AND('Raw Data'!M610, 4),"Input Ilim", IF(BITWISE_AND('Raw Data'!M610, 8), "Input UV", "none"))))</f>
        <v>none</v>
      </c>
    </row>
    <row r="610" spans="1:24" x14ac:dyDescent="0.2">
      <c r="A610" s="15">
        <f>A609+TIME(0,0,'Raw Data'!B610)</f>
        <v>0</v>
      </c>
      <c r="B610" s="4">
        <f>'Raw Data'!C611*0.025</f>
        <v>0</v>
      </c>
      <c r="C610" s="4">
        <f t="shared" si="30"/>
        <v>0</v>
      </c>
      <c r="D610" s="4">
        <f>'Raw Data'!D611*0.025</f>
        <v>0</v>
      </c>
      <c r="E610" s="4">
        <f t="shared" si="31"/>
        <v>0</v>
      </c>
      <c r="F610" s="4">
        <f>'Raw Data'!E611*0.001648</f>
        <v>0</v>
      </c>
      <c r="G610" s="4">
        <f>'Raw Data'!F611*0.001648</f>
        <v>0</v>
      </c>
      <c r="H610" s="4">
        <f>'Raw Data'!G611*6*0.000128176</f>
        <v>0</v>
      </c>
      <c r="I610" s="4">
        <f>'Raw Data'!H611*0.000732435</f>
        <v>0</v>
      </c>
      <c r="J610" s="4">
        <f t="shared" si="29"/>
        <v>0</v>
      </c>
      <c r="K610" s="36">
        <f>IF(('Raw Data'!I611-16384)/32768&lt;0,0,('Raw Data'!I611-16384)/32768)</f>
        <v>0</v>
      </c>
      <c r="L610" s="4">
        <f>IF(('Raw Data'!J611-12010)/45.6=-263.377192982456,0,('Raw Data'!J611-12010)/45.6)</f>
        <v>0</v>
      </c>
      <c r="M610" s="16">
        <f>'Raw Data'!N611*2^-8</f>
        <v>0</v>
      </c>
      <c r="N610" s="16">
        <f>'Raw Data'!O611*2^-8</f>
        <v>0</v>
      </c>
      <c r="O610" s="17" t="str">
        <f>IF(BITWISE_AND('Raw Data'!$K611, 8192),"X","")</f>
        <v/>
      </c>
      <c r="P610" s="17" t="str">
        <f>IF(BITWISE_AND('Raw Data'!$K611, 2048),"X","")</f>
        <v/>
      </c>
      <c r="Q610" s="17" t="str">
        <f>IF(BITWISE_AND('Raw Data'!$K611, 64),"X","")</f>
        <v/>
      </c>
      <c r="R610" s="18" t="str">
        <f>IF(BITWISE_AND('Raw Data'!$L611, 1024),"X","")</f>
        <v/>
      </c>
      <c r="S610" s="18" t="str">
        <f>IF(BITWISE_AND('Raw Data'!$L611, 512),"X","")</f>
        <v/>
      </c>
      <c r="T610" s="18" t="str">
        <f>IF(BITWISE_AND('Raw Data'!$L611, 256),"X","")</f>
        <v/>
      </c>
      <c r="U610" s="18" t="str">
        <f>IF(BITWISE_AND('Raw Data'!$L611, 64),"X","")</f>
        <v/>
      </c>
      <c r="V610" s="18" t="str">
        <f>IF(BITWISE_AND('Raw Data'!$L611, 2),"X","")</f>
        <v/>
      </c>
      <c r="W610" s="18" t="str">
        <f>IF(BITWISE_AND('Raw Data'!$L611, 1),"X","")</f>
        <v/>
      </c>
      <c r="X610" s="19" t="str">
        <f>IF(BITWISE_AND('Raw Data'!M611, 1),"Bat Voltage", IF(BITWISE_AND('Raw Data'!M611, 2), "Charge Current", IF(BITWISE_AND('Raw Data'!M611, 4),"Input Ilim", IF(BITWISE_AND('Raw Data'!M611, 8), "Input UV", "none"))))</f>
        <v>none</v>
      </c>
    </row>
    <row r="611" spans="1:24" x14ac:dyDescent="0.2">
      <c r="A611" s="15">
        <f>A610+TIME(0,0,'Raw Data'!B611)</f>
        <v>0</v>
      </c>
      <c r="B611" s="4">
        <f>'Raw Data'!C612*0.025</f>
        <v>0</v>
      </c>
      <c r="C611" s="4">
        <f t="shared" si="30"/>
        <v>0</v>
      </c>
      <c r="D611" s="4">
        <f>'Raw Data'!D612*0.025</f>
        <v>0</v>
      </c>
      <c r="E611" s="4">
        <f t="shared" si="31"/>
        <v>0</v>
      </c>
      <c r="F611" s="4">
        <f>'Raw Data'!E612*0.001648</f>
        <v>0</v>
      </c>
      <c r="G611" s="4">
        <f>'Raw Data'!F612*0.001648</f>
        <v>0</v>
      </c>
      <c r="H611" s="4">
        <f>'Raw Data'!G612*6*0.000128176</f>
        <v>0</v>
      </c>
      <c r="I611" s="4">
        <f>'Raw Data'!H612*0.000732435</f>
        <v>0</v>
      </c>
      <c r="J611" s="4">
        <f t="shared" si="29"/>
        <v>0</v>
      </c>
      <c r="K611" s="36">
        <f>IF(('Raw Data'!I612-16384)/32768&lt;0,0,('Raw Data'!I612-16384)/32768)</f>
        <v>0</v>
      </c>
      <c r="L611" s="4">
        <f>IF(('Raw Data'!J612-12010)/45.6=-263.377192982456,0,('Raw Data'!J612-12010)/45.6)</f>
        <v>0</v>
      </c>
      <c r="M611" s="16">
        <f>'Raw Data'!N612*2^-8</f>
        <v>0</v>
      </c>
      <c r="N611" s="16">
        <f>'Raw Data'!O612*2^-8</f>
        <v>0</v>
      </c>
      <c r="O611" s="17" t="str">
        <f>IF(BITWISE_AND('Raw Data'!$K612, 8192),"X","")</f>
        <v/>
      </c>
      <c r="P611" s="17" t="str">
        <f>IF(BITWISE_AND('Raw Data'!$K612, 2048),"X","")</f>
        <v/>
      </c>
      <c r="Q611" s="17" t="str">
        <f>IF(BITWISE_AND('Raw Data'!$K612, 64),"X","")</f>
        <v/>
      </c>
      <c r="R611" s="18" t="str">
        <f>IF(BITWISE_AND('Raw Data'!$L612, 1024),"X","")</f>
        <v/>
      </c>
      <c r="S611" s="18" t="str">
        <f>IF(BITWISE_AND('Raw Data'!$L612, 512),"X","")</f>
        <v/>
      </c>
      <c r="T611" s="18" t="str">
        <f>IF(BITWISE_AND('Raw Data'!$L612, 256),"X","")</f>
        <v/>
      </c>
      <c r="U611" s="18" t="str">
        <f>IF(BITWISE_AND('Raw Data'!$L612, 64),"X","")</f>
        <v/>
      </c>
      <c r="V611" s="18" t="str">
        <f>IF(BITWISE_AND('Raw Data'!$L612, 2),"X","")</f>
        <v/>
      </c>
      <c r="W611" s="18" t="str">
        <f>IF(BITWISE_AND('Raw Data'!$L612, 1),"X","")</f>
        <v/>
      </c>
      <c r="X611" s="19" t="str">
        <f>IF(BITWISE_AND('Raw Data'!M612, 1),"Bat Voltage", IF(BITWISE_AND('Raw Data'!M612, 2), "Charge Current", IF(BITWISE_AND('Raw Data'!M612, 4),"Input Ilim", IF(BITWISE_AND('Raw Data'!M612, 8), "Input UV", "none"))))</f>
        <v>none</v>
      </c>
    </row>
    <row r="612" spans="1:24" x14ac:dyDescent="0.2">
      <c r="A612" s="15">
        <f>A611+TIME(0,0,'Raw Data'!B612)</f>
        <v>0</v>
      </c>
      <c r="B612" s="4">
        <f>'Raw Data'!C613*0.025</f>
        <v>0</v>
      </c>
      <c r="C612" s="4">
        <f t="shared" si="30"/>
        <v>0</v>
      </c>
      <c r="D612" s="4">
        <f>'Raw Data'!D613*0.025</f>
        <v>0</v>
      </c>
      <c r="E612" s="4">
        <f t="shared" si="31"/>
        <v>0</v>
      </c>
      <c r="F612" s="4">
        <f>'Raw Data'!E613*0.001648</f>
        <v>0</v>
      </c>
      <c r="G612" s="4">
        <f>'Raw Data'!F613*0.001648</f>
        <v>0</v>
      </c>
      <c r="H612" s="4">
        <f>'Raw Data'!G613*6*0.000128176</f>
        <v>0</v>
      </c>
      <c r="I612" s="4">
        <f>'Raw Data'!H613*0.000732435</f>
        <v>0</v>
      </c>
      <c r="J612" s="4">
        <f t="shared" si="29"/>
        <v>0</v>
      </c>
      <c r="K612" s="36">
        <f>IF(('Raw Data'!I613-16384)/32768&lt;0,0,('Raw Data'!I613-16384)/32768)</f>
        <v>0</v>
      </c>
      <c r="L612" s="4">
        <f>IF(('Raw Data'!J613-12010)/45.6=-263.377192982456,0,('Raw Data'!J613-12010)/45.6)</f>
        <v>0</v>
      </c>
      <c r="M612" s="16">
        <f>'Raw Data'!N613*2^-8</f>
        <v>0</v>
      </c>
      <c r="N612" s="16">
        <f>'Raw Data'!O613*2^-8</f>
        <v>0</v>
      </c>
      <c r="O612" s="17" t="str">
        <f>IF(BITWISE_AND('Raw Data'!$K613, 8192),"X","")</f>
        <v/>
      </c>
      <c r="P612" s="17" t="str">
        <f>IF(BITWISE_AND('Raw Data'!$K613, 2048),"X","")</f>
        <v/>
      </c>
      <c r="Q612" s="17" t="str">
        <f>IF(BITWISE_AND('Raw Data'!$K613, 64),"X","")</f>
        <v/>
      </c>
      <c r="R612" s="18" t="str">
        <f>IF(BITWISE_AND('Raw Data'!$L613, 1024),"X","")</f>
        <v/>
      </c>
      <c r="S612" s="18" t="str">
        <f>IF(BITWISE_AND('Raw Data'!$L613, 512),"X","")</f>
        <v/>
      </c>
      <c r="T612" s="18" t="str">
        <f>IF(BITWISE_AND('Raw Data'!$L613, 256),"X","")</f>
        <v/>
      </c>
      <c r="U612" s="18" t="str">
        <f>IF(BITWISE_AND('Raw Data'!$L613, 64),"X","")</f>
        <v/>
      </c>
      <c r="V612" s="18" t="str">
        <f>IF(BITWISE_AND('Raw Data'!$L613, 2),"X","")</f>
        <v/>
      </c>
      <c r="W612" s="18" t="str">
        <f>IF(BITWISE_AND('Raw Data'!$L613, 1),"X","")</f>
        <v/>
      </c>
      <c r="X612" s="19" t="str">
        <f>IF(BITWISE_AND('Raw Data'!M613, 1),"Bat Voltage", IF(BITWISE_AND('Raw Data'!M613, 2), "Charge Current", IF(BITWISE_AND('Raw Data'!M613, 4),"Input Ilim", IF(BITWISE_AND('Raw Data'!M613, 8), "Input UV", "none"))))</f>
        <v>none</v>
      </c>
    </row>
    <row r="613" spans="1:24" x14ac:dyDescent="0.2">
      <c r="A613" s="15">
        <f>A612+TIME(0,0,'Raw Data'!B613)</f>
        <v>0</v>
      </c>
      <c r="B613" s="4">
        <f>'Raw Data'!C614*0.025</f>
        <v>0</v>
      </c>
      <c r="C613" s="4">
        <f t="shared" si="30"/>
        <v>0</v>
      </c>
      <c r="D613" s="4">
        <f>'Raw Data'!D614*0.025</f>
        <v>0</v>
      </c>
      <c r="E613" s="4">
        <f t="shared" si="31"/>
        <v>0</v>
      </c>
      <c r="F613" s="4">
        <f>'Raw Data'!E614*0.001648</f>
        <v>0</v>
      </c>
      <c r="G613" s="4">
        <f>'Raw Data'!F614*0.001648</f>
        <v>0</v>
      </c>
      <c r="H613" s="4">
        <f>'Raw Data'!G614*6*0.000128176</f>
        <v>0</v>
      </c>
      <c r="I613" s="4">
        <f>'Raw Data'!H614*0.000732435</f>
        <v>0</v>
      </c>
      <c r="J613" s="4">
        <f t="shared" si="29"/>
        <v>0</v>
      </c>
      <c r="K613" s="36">
        <f>IF(('Raw Data'!I614-16384)/32768&lt;0,0,('Raw Data'!I614-16384)/32768)</f>
        <v>0</v>
      </c>
      <c r="L613" s="4">
        <f>IF(('Raw Data'!J614-12010)/45.6=-263.377192982456,0,('Raw Data'!J614-12010)/45.6)</f>
        <v>0</v>
      </c>
      <c r="M613" s="16">
        <f>'Raw Data'!N614*2^-8</f>
        <v>0</v>
      </c>
      <c r="N613" s="16">
        <f>'Raw Data'!O614*2^-8</f>
        <v>0</v>
      </c>
      <c r="O613" s="17" t="str">
        <f>IF(BITWISE_AND('Raw Data'!$K614, 8192),"X","")</f>
        <v/>
      </c>
      <c r="P613" s="17" t="str">
        <f>IF(BITWISE_AND('Raw Data'!$K614, 2048),"X","")</f>
        <v/>
      </c>
      <c r="Q613" s="17" t="str">
        <f>IF(BITWISE_AND('Raw Data'!$K614, 64),"X","")</f>
        <v/>
      </c>
      <c r="R613" s="18" t="str">
        <f>IF(BITWISE_AND('Raw Data'!$L614, 1024),"X","")</f>
        <v/>
      </c>
      <c r="S613" s="18" t="str">
        <f>IF(BITWISE_AND('Raw Data'!$L614, 512),"X","")</f>
        <v/>
      </c>
      <c r="T613" s="18" t="str">
        <f>IF(BITWISE_AND('Raw Data'!$L614, 256),"X","")</f>
        <v/>
      </c>
      <c r="U613" s="18" t="str">
        <f>IF(BITWISE_AND('Raw Data'!$L614, 64),"X","")</f>
        <v/>
      </c>
      <c r="V613" s="18" t="str">
        <f>IF(BITWISE_AND('Raw Data'!$L614, 2),"X","")</f>
        <v/>
      </c>
      <c r="W613" s="18" t="str">
        <f>IF(BITWISE_AND('Raw Data'!$L614, 1),"X","")</f>
        <v/>
      </c>
      <c r="X613" s="19" t="str">
        <f>IF(BITWISE_AND('Raw Data'!M614, 1),"Bat Voltage", IF(BITWISE_AND('Raw Data'!M614, 2), "Charge Current", IF(BITWISE_AND('Raw Data'!M614, 4),"Input Ilim", IF(BITWISE_AND('Raw Data'!M614, 8), "Input UV", "none"))))</f>
        <v>none</v>
      </c>
    </row>
    <row r="614" spans="1:24" x14ac:dyDescent="0.2">
      <c r="A614" s="15">
        <f>A613+TIME(0,0,'Raw Data'!B614)</f>
        <v>0</v>
      </c>
      <c r="B614" s="4">
        <f>'Raw Data'!C615*0.025</f>
        <v>0</v>
      </c>
      <c r="C614" s="4">
        <f t="shared" si="30"/>
        <v>0</v>
      </c>
      <c r="D614" s="4">
        <f>'Raw Data'!D615*0.025</f>
        <v>0</v>
      </c>
      <c r="E614" s="4">
        <f t="shared" si="31"/>
        <v>0</v>
      </c>
      <c r="F614" s="4">
        <f>'Raw Data'!E615*0.001648</f>
        <v>0</v>
      </c>
      <c r="G614" s="4">
        <f>'Raw Data'!F615*0.001648</f>
        <v>0</v>
      </c>
      <c r="H614" s="4">
        <f>'Raw Data'!G615*6*0.000128176</f>
        <v>0</v>
      </c>
      <c r="I614" s="4">
        <f>'Raw Data'!H615*0.000732435</f>
        <v>0</v>
      </c>
      <c r="J614" s="4">
        <f t="shared" si="29"/>
        <v>0</v>
      </c>
      <c r="K614" s="36">
        <f>IF(('Raw Data'!I615-16384)/32768&lt;0,0,('Raw Data'!I615-16384)/32768)</f>
        <v>0</v>
      </c>
      <c r="L614" s="4">
        <f>IF(('Raw Data'!J615-12010)/45.6=-263.377192982456,0,('Raw Data'!J615-12010)/45.6)</f>
        <v>0</v>
      </c>
      <c r="M614" s="16">
        <f>'Raw Data'!N615*2^-8</f>
        <v>0</v>
      </c>
      <c r="N614" s="16">
        <f>'Raw Data'!O615*2^-8</f>
        <v>0</v>
      </c>
      <c r="O614" s="17" t="str">
        <f>IF(BITWISE_AND('Raw Data'!$K615, 8192),"X","")</f>
        <v/>
      </c>
      <c r="P614" s="17" t="str">
        <f>IF(BITWISE_AND('Raw Data'!$K615, 2048),"X","")</f>
        <v/>
      </c>
      <c r="Q614" s="17" t="str">
        <f>IF(BITWISE_AND('Raw Data'!$K615, 64),"X","")</f>
        <v/>
      </c>
      <c r="R614" s="18" t="str">
        <f>IF(BITWISE_AND('Raw Data'!$L615, 1024),"X","")</f>
        <v/>
      </c>
      <c r="S614" s="18" t="str">
        <f>IF(BITWISE_AND('Raw Data'!$L615, 512),"X","")</f>
        <v/>
      </c>
      <c r="T614" s="18" t="str">
        <f>IF(BITWISE_AND('Raw Data'!$L615, 256),"X","")</f>
        <v/>
      </c>
      <c r="U614" s="18" t="str">
        <f>IF(BITWISE_AND('Raw Data'!$L615, 64),"X","")</f>
        <v/>
      </c>
      <c r="V614" s="18" t="str">
        <f>IF(BITWISE_AND('Raw Data'!$L615, 2),"X","")</f>
        <v/>
      </c>
      <c r="W614" s="18" t="str">
        <f>IF(BITWISE_AND('Raw Data'!$L615, 1),"X","")</f>
        <v/>
      </c>
      <c r="X614" s="19" t="str">
        <f>IF(BITWISE_AND('Raw Data'!M615, 1),"Bat Voltage", IF(BITWISE_AND('Raw Data'!M615, 2), "Charge Current", IF(BITWISE_AND('Raw Data'!M615, 4),"Input Ilim", IF(BITWISE_AND('Raw Data'!M615, 8), "Input UV", "none"))))</f>
        <v>none</v>
      </c>
    </row>
    <row r="615" spans="1:24" x14ac:dyDescent="0.2">
      <c r="A615" s="15">
        <f>A614+TIME(0,0,'Raw Data'!B615)</f>
        <v>0</v>
      </c>
      <c r="B615" s="4">
        <f>'Raw Data'!C616*0.025</f>
        <v>0</v>
      </c>
      <c r="C615" s="4">
        <f t="shared" si="30"/>
        <v>0</v>
      </c>
      <c r="D615" s="4">
        <f>'Raw Data'!D616*0.025</f>
        <v>0</v>
      </c>
      <c r="E615" s="4">
        <f t="shared" si="31"/>
        <v>0</v>
      </c>
      <c r="F615" s="4">
        <f>'Raw Data'!E616*0.001648</f>
        <v>0</v>
      </c>
      <c r="G615" s="4">
        <f>'Raw Data'!F616*0.001648</f>
        <v>0</v>
      </c>
      <c r="H615" s="4">
        <f>'Raw Data'!G616*6*0.000128176</f>
        <v>0</v>
      </c>
      <c r="I615" s="4">
        <f>'Raw Data'!H616*0.000732435</f>
        <v>0</v>
      </c>
      <c r="J615" s="4">
        <f t="shared" si="29"/>
        <v>0</v>
      </c>
      <c r="K615" s="36">
        <f>IF(('Raw Data'!I616-16384)/32768&lt;0,0,('Raw Data'!I616-16384)/32768)</f>
        <v>0</v>
      </c>
      <c r="L615" s="4">
        <f>IF(('Raw Data'!J616-12010)/45.6=-263.377192982456,0,('Raw Data'!J616-12010)/45.6)</f>
        <v>0</v>
      </c>
      <c r="M615" s="16">
        <f>'Raw Data'!N616*2^-8</f>
        <v>0</v>
      </c>
      <c r="N615" s="16">
        <f>'Raw Data'!O616*2^-8</f>
        <v>0</v>
      </c>
      <c r="O615" s="17" t="str">
        <f>IF(BITWISE_AND('Raw Data'!$K616, 8192),"X","")</f>
        <v/>
      </c>
      <c r="P615" s="17" t="str">
        <f>IF(BITWISE_AND('Raw Data'!$K616, 2048),"X","")</f>
        <v/>
      </c>
      <c r="Q615" s="17" t="str">
        <f>IF(BITWISE_AND('Raw Data'!$K616, 64),"X","")</f>
        <v/>
      </c>
      <c r="R615" s="18" t="str">
        <f>IF(BITWISE_AND('Raw Data'!$L616, 1024),"X","")</f>
        <v/>
      </c>
      <c r="S615" s="18" t="str">
        <f>IF(BITWISE_AND('Raw Data'!$L616, 512),"X","")</f>
        <v/>
      </c>
      <c r="T615" s="18" t="str">
        <f>IF(BITWISE_AND('Raw Data'!$L616, 256),"X","")</f>
        <v/>
      </c>
      <c r="U615" s="18" t="str">
        <f>IF(BITWISE_AND('Raw Data'!$L616, 64),"X","")</f>
        <v/>
      </c>
      <c r="V615" s="18" t="str">
        <f>IF(BITWISE_AND('Raw Data'!$L616, 2),"X","")</f>
        <v/>
      </c>
      <c r="W615" s="18" t="str">
        <f>IF(BITWISE_AND('Raw Data'!$L616, 1),"X","")</f>
        <v/>
      </c>
      <c r="X615" s="19" t="str">
        <f>IF(BITWISE_AND('Raw Data'!M616, 1),"Bat Voltage", IF(BITWISE_AND('Raw Data'!M616, 2), "Charge Current", IF(BITWISE_AND('Raw Data'!M616, 4),"Input Ilim", IF(BITWISE_AND('Raw Data'!M616, 8), "Input UV", "none"))))</f>
        <v>none</v>
      </c>
    </row>
    <row r="616" spans="1:24" x14ac:dyDescent="0.2">
      <c r="A616" s="15">
        <f>A615+TIME(0,0,'Raw Data'!B616)</f>
        <v>0</v>
      </c>
      <c r="B616" s="4">
        <f>'Raw Data'!C617*0.025</f>
        <v>0</v>
      </c>
      <c r="C616" s="4">
        <f t="shared" si="30"/>
        <v>0</v>
      </c>
      <c r="D616" s="4">
        <f>'Raw Data'!D617*0.025</f>
        <v>0</v>
      </c>
      <c r="E616" s="4">
        <f t="shared" si="31"/>
        <v>0</v>
      </c>
      <c r="F616" s="4">
        <f>'Raw Data'!E617*0.001648</f>
        <v>0</v>
      </c>
      <c r="G616" s="4">
        <f>'Raw Data'!F617*0.001648</f>
        <v>0</v>
      </c>
      <c r="H616" s="4">
        <f>'Raw Data'!G617*6*0.000128176</f>
        <v>0</v>
      </c>
      <c r="I616" s="4">
        <f>'Raw Data'!H617*0.000732435</f>
        <v>0</v>
      </c>
      <c r="J616" s="4">
        <f t="shared" si="29"/>
        <v>0</v>
      </c>
      <c r="K616" s="36">
        <f>IF(('Raw Data'!I617-16384)/32768&lt;0,0,('Raw Data'!I617-16384)/32768)</f>
        <v>0</v>
      </c>
      <c r="L616" s="4">
        <f>IF(('Raw Data'!J617-12010)/45.6=-263.377192982456,0,('Raw Data'!J617-12010)/45.6)</f>
        <v>0</v>
      </c>
      <c r="M616" s="16">
        <f>'Raw Data'!N617*2^-8</f>
        <v>0</v>
      </c>
      <c r="N616" s="16">
        <f>'Raw Data'!O617*2^-8</f>
        <v>0</v>
      </c>
      <c r="O616" s="17" t="str">
        <f>IF(BITWISE_AND('Raw Data'!$K617, 8192),"X","")</f>
        <v/>
      </c>
      <c r="P616" s="17" t="str">
        <f>IF(BITWISE_AND('Raw Data'!$K617, 2048),"X","")</f>
        <v/>
      </c>
      <c r="Q616" s="17" t="str">
        <f>IF(BITWISE_AND('Raw Data'!$K617, 64),"X","")</f>
        <v/>
      </c>
      <c r="R616" s="18" t="str">
        <f>IF(BITWISE_AND('Raw Data'!$L617, 1024),"X","")</f>
        <v/>
      </c>
      <c r="S616" s="18" t="str">
        <f>IF(BITWISE_AND('Raw Data'!$L617, 512),"X","")</f>
        <v/>
      </c>
      <c r="T616" s="18" t="str">
        <f>IF(BITWISE_AND('Raw Data'!$L617, 256),"X","")</f>
        <v/>
      </c>
      <c r="U616" s="18" t="str">
        <f>IF(BITWISE_AND('Raw Data'!$L617, 64),"X","")</f>
        <v/>
      </c>
      <c r="V616" s="18" t="str">
        <f>IF(BITWISE_AND('Raw Data'!$L617, 2),"X","")</f>
        <v/>
      </c>
      <c r="W616" s="18" t="str">
        <f>IF(BITWISE_AND('Raw Data'!$L617, 1),"X","")</f>
        <v/>
      </c>
      <c r="X616" s="19" t="str">
        <f>IF(BITWISE_AND('Raw Data'!M617, 1),"Bat Voltage", IF(BITWISE_AND('Raw Data'!M617, 2), "Charge Current", IF(BITWISE_AND('Raw Data'!M617, 4),"Input Ilim", IF(BITWISE_AND('Raw Data'!M617, 8), "Input UV", "none"))))</f>
        <v>none</v>
      </c>
    </row>
    <row r="617" spans="1:24" x14ac:dyDescent="0.2">
      <c r="A617" s="15">
        <f>A616+TIME(0,0,'Raw Data'!B617)</f>
        <v>0</v>
      </c>
      <c r="B617" s="4">
        <f>'Raw Data'!C618*0.025</f>
        <v>0</v>
      </c>
      <c r="C617" s="4">
        <f t="shared" si="30"/>
        <v>0</v>
      </c>
      <c r="D617" s="4">
        <f>'Raw Data'!D618*0.025</f>
        <v>0</v>
      </c>
      <c r="E617" s="4">
        <f t="shared" si="31"/>
        <v>0</v>
      </c>
      <c r="F617" s="4">
        <f>'Raw Data'!E618*0.001648</f>
        <v>0</v>
      </c>
      <c r="G617" s="4">
        <f>'Raw Data'!F618*0.001648</f>
        <v>0</v>
      </c>
      <c r="H617" s="4">
        <f>'Raw Data'!G618*6*0.000128176</f>
        <v>0</v>
      </c>
      <c r="I617" s="4">
        <f>'Raw Data'!H618*0.000732435</f>
        <v>0</v>
      </c>
      <c r="J617" s="4">
        <f t="shared" si="29"/>
        <v>0</v>
      </c>
      <c r="K617" s="36">
        <f>IF(('Raw Data'!I618-16384)/32768&lt;0,0,('Raw Data'!I618-16384)/32768)</f>
        <v>0</v>
      </c>
      <c r="L617" s="4">
        <f>IF(('Raw Data'!J618-12010)/45.6=-263.377192982456,0,('Raw Data'!J618-12010)/45.6)</f>
        <v>0</v>
      </c>
      <c r="M617" s="16">
        <f>'Raw Data'!N618*2^-8</f>
        <v>0</v>
      </c>
      <c r="N617" s="16">
        <f>'Raw Data'!O618*2^-8</f>
        <v>0</v>
      </c>
      <c r="O617" s="17" t="str">
        <f>IF(BITWISE_AND('Raw Data'!$K618, 8192),"X","")</f>
        <v/>
      </c>
      <c r="P617" s="17" t="str">
        <f>IF(BITWISE_AND('Raw Data'!$K618, 2048),"X","")</f>
        <v/>
      </c>
      <c r="Q617" s="17" t="str">
        <f>IF(BITWISE_AND('Raw Data'!$K618, 64),"X","")</f>
        <v/>
      </c>
      <c r="R617" s="18" t="str">
        <f>IF(BITWISE_AND('Raw Data'!$L618, 1024),"X","")</f>
        <v/>
      </c>
      <c r="S617" s="18" t="str">
        <f>IF(BITWISE_AND('Raw Data'!$L618, 512),"X","")</f>
        <v/>
      </c>
      <c r="T617" s="18" t="str">
        <f>IF(BITWISE_AND('Raw Data'!$L618, 256),"X","")</f>
        <v/>
      </c>
      <c r="U617" s="18" t="str">
        <f>IF(BITWISE_AND('Raw Data'!$L618, 64),"X","")</f>
        <v/>
      </c>
      <c r="V617" s="18" t="str">
        <f>IF(BITWISE_AND('Raw Data'!$L618, 2),"X","")</f>
        <v/>
      </c>
      <c r="W617" s="18" t="str">
        <f>IF(BITWISE_AND('Raw Data'!$L618, 1),"X","")</f>
        <v/>
      </c>
      <c r="X617" s="19" t="str">
        <f>IF(BITWISE_AND('Raw Data'!M618, 1),"Bat Voltage", IF(BITWISE_AND('Raw Data'!M618, 2), "Charge Current", IF(BITWISE_AND('Raw Data'!M618, 4),"Input Ilim", IF(BITWISE_AND('Raw Data'!M618, 8), "Input UV", "none"))))</f>
        <v>none</v>
      </c>
    </row>
    <row r="618" spans="1:24" x14ac:dyDescent="0.2">
      <c r="A618" s="15">
        <f>A617+TIME(0,0,'Raw Data'!B618)</f>
        <v>0</v>
      </c>
      <c r="B618" s="4">
        <f>'Raw Data'!C619*0.025</f>
        <v>0</v>
      </c>
      <c r="C618" s="4">
        <f t="shared" si="30"/>
        <v>0</v>
      </c>
      <c r="D618" s="4">
        <f>'Raw Data'!D619*0.025</f>
        <v>0</v>
      </c>
      <c r="E618" s="4">
        <f t="shared" si="31"/>
        <v>0</v>
      </c>
      <c r="F618" s="4">
        <f>'Raw Data'!E619*0.001648</f>
        <v>0</v>
      </c>
      <c r="G618" s="4">
        <f>'Raw Data'!F619*0.001648</f>
        <v>0</v>
      </c>
      <c r="H618" s="4">
        <f>'Raw Data'!G619*6*0.000128176</f>
        <v>0</v>
      </c>
      <c r="I618" s="4">
        <f>'Raw Data'!H619*0.000732435</f>
        <v>0</v>
      </c>
      <c r="J618" s="4">
        <f t="shared" si="29"/>
        <v>0</v>
      </c>
      <c r="K618" s="36">
        <f>IF(('Raw Data'!I619-16384)/32768&lt;0,0,('Raw Data'!I619-16384)/32768)</f>
        <v>0</v>
      </c>
      <c r="L618" s="4">
        <f>IF(('Raw Data'!J619-12010)/45.6=-263.377192982456,0,('Raw Data'!J619-12010)/45.6)</f>
        <v>0</v>
      </c>
      <c r="M618" s="16">
        <f>'Raw Data'!N619*2^-8</f>
        <v>0</v>
      </c>
      <c r="N618" s="16">
        <f>'Raw Data'!O619*2^-8</f>
        <v>0</v>
      </c>
      <c r="O618" s="17" t="str">
        <f>IF(BITWISE_AND('Raw Data'!$K619, 8192),"X","")</f>
        <v/>
      </c>
      <c r="P618" s="17" t="str">
        <f>IF(BITWISE_AND('Raw Data'!$K619, 2048),"X","")</f>
        <v/>
      </c>
      <c r="Q618" s="17" t="str">
        <f>IF(BITWISE_AND('Raw Data'!$K619, 64),"X","")</f>
        <v/>
      </c>
      <c r="R618" s="18" t="str">
        <f>IF(BITWISE_AND('Raw Data'!$L619, 1024),"X","")</f>
        <v/>
      </c>
      <c r="S618" s="18" t="str">
        <f>IF(BITWISE_AND('Raw Data'!$L619, 512),"X","")</f>
        <v/>
      </c>
      <c r="T618" s="18" t="str">
        <f>IF(BITWISE_AND('Raw Data'!$L619, 256),"X","")</f>
        <v/>
      </c>
      <c r="U618" s="18" t="str">
        <f>IF(BITWISE_AND('Raw Data'!$L619, 64),"X","")</f>
        <v/>
      </c>
      <c r="V618" s="18" t="str">
        <f>IF(BITWISE_AND('Raw Data'!$L619, 2),"X","")</f>
        <v/>
      </c>
      <c r="W618" s="18" t="str">
        <f>IF(BITWISE_AND('Raw Data'!$L619, 1),"X","")</f>
        <v/>
      </c>
      <c r="X618" s="19" t="str">
        <f>IF(BITWISE_AND('Raw Data'!M619, 1),"Bat Voltage", IF(BITWISE_AND('Raw Data'!M619, 2), "Charge Current", IF(BITWISE_AND('Raw Data'!M619, 4),"Input Ilim", IF(BITWISE_AND('Raw Data'!M619, 8), "Input UV", "none"))))</f>
        <v>none</v>
      </c>
    </row>
    <row r="619" spans="1:24" x14ac:dyDescent="0.2">
      <c r="A619" s="15">
        <f>A618+TIME(0,0,'Raw Data'!B619)</f>
        <v>0</v>
      </c>
      <c r="B619" s="4">
        <f>'Raw Data'!C620*0.025</f>
        <v>0</v>
      </c>
      <c r="C619" s="4">
        <f t="shared" si="30"/>
        <v>0</v>
      </c>
      <c r="D619" s="4">
        <f>'Raw Data'!D620*0.025</f>
        <v>0</v>
      </c>
      <c r="E619" s="4">
        <f t="shared" si="31"/>
        <v>0</v>
      </c>
      <c r="F619" s="4">
        <f>'Raw Data'!E620*0.001648</f>
        <v>0</v>
      </c>
      <c r="G619" s="4">
        <f>'Raw Data'!F620*0.001648</f>
        <v>0</v>
      </c>
      <c r="H619" s="4">
        <f>'Raw Data'!G620*6*0.000128176</f>
        <v>0</v>
      </c>
      <c r="I619" s="4">
        <f>'Raw Data'!H620*0.000732435</f>
        <v>0</v>
      </c>
      <c r="J619" s="4">
        <f t="shared" si="29"/>
        <v>0</v>
      </c>
      <c r="K619" s="36">
        <f>IF(('Raw Data'!I620-16384)/32768&lt;0,0,('Raw Data'!I620-16384)/32768)</f>
        <v>0</v>
      </c>
      <c r="L619" s="4">
        <f>IF(('Raw Data'!J620-12010)/45.6=-263.377192982456,0,('Raw Data'!J620-12010)/45.6)</f>
        <v>0</v>
      </c>
      <c r="M619" s="16">
        <f>'Raw Data'!N620*2^-8</f>
        <v>0</v>
      </c>
      <c r="N619" s="16">
        <f>'Raw Data'!O620*2^-8</f>
        <v>0</v>
      </c>
      <c r="O619" s="17" t="str">
        <f>IF(BITWISE_AND('Raw Data'!$K620, 8192),"X","")</f>
        <v/>
      </c>
      <c r="P619" s="17" t="str">
        <f>IF(BITWISE_AND('Raw Data'!$K620, 2048),"X","")</f>
        <v/>
      </c>
      <c r="Q619" s="17" t="str">
        <f>IF(BITWISE_AND('Raw Data'!$K620, 64),"X","")</f>
        <v/>
      </c>
      <c r="R619" s="18" t="str">
        <f>IF(BITWISE_AND('Raw Data'!$L620, 1024),"X","")</f>
        <v/>
      </c>
      <c r="S619" s="18" t="str">
        <f>IF(BITWISE_AND('Raw Data'!$L620, 512),"X","")</f>
        <v/>
      </c>
      <c r="T619" s="18" t="str">
        <f>IF(BITWISE_AND('Raw Data'!$L620, 256),"X","")</f>
        <v/>
      </c>
      <c r="U619" s="18" t="str">
        <f>IF(BITWISE_AND('Raw Data'!$L620, 64),"X","")</f>
        <v/>
      </c>
      <c r="V619" s="18" t="str">
        <f>IF(BITWISE_AND('Raw Data'!$L620, 2),"X","")</f>
        <v/>
      </c>
      <c r="W619" s="18" t="str">
        <f>IF(BITWISE_AND('Raw Data'!$L620, 1),"X","")</f>
        <v/>
      </c>
      <c r="X619" s="19" t="str">
        <f>IF(BITWISE_AND('Raw Data'!M620, 1),"Bat Voltage", IF(BITWISE_AND('Raw Data'!M620, 2), "Charge Current", IF(BITWISE_AND('Raw Data'!M620, 4),"Input Ilim", IF(BITWISE_AND('Raw Data'!M620, 8), "Input UV", "none"))))</f>
        <v>none</v>
      </c>
    </row>
    <row r="620" spans="1:24" x14ac:dyDescent="0.2">
      <c r="A620" s="15">
        <f>A619+TIME(0,0,'Raw Data'!B620)</f>
        <v>0</v>
      </c>
      <c r="B620" s="4">
        <f>'Raw Data'!C621*0.025</f>
        <v>0</v>
      </c>
      <c r="C620" s="4">
        <f t="shared" si="30"/>
        <v>0</v>
      </c>
      <c r="D620" s="4">
        <f>'Raw Data'!D621*0.025</f>
        <v>0</v>
      </c>
      <c r="E620" s="4">
        <f t="shared" si="31"/>
        <v>0</v>
      </c>
      <c r="F620" s="4">
        <f>'Raw Data'!E621*0.001648</f>
        <v>0</v>
      </c>
      <c r="G620" s="4">
        <f>'Raw Data'!F621*0.001648</f>
        <v>0</v>
      </c>
      <c r="H620" s="4">
        <f>'Raw Data'!G621*6*0.000128176</f>
        <v>0</v>
      </c>
      <c r="I620" s="4">
        <f>'Raw Data'!H621*0.000732435</f>
        <v>0</v>
      </c>
      <c r="J620" s="4">
        <f t="shared" si="29"/>
        <v>0</v>
      </c>
      <c r="K620" s="36">
        <f>IF(('Raw Data'!I621-16384)/32768&lt;0,0,('Raw Data'!I621-16384)/32768)</f>
        <v>0</v>
      </c>
      <c r="L620" s="4">
        <f>IF(('Raw Data'!J621-12010)/45.6=-263.377192982456,0,('Raw Data'!J621-12010)/45.6)</f>
        <v>0</v>
      </c>
      <c r="M620" s="16">
        <f>'Raw Data'!N621*2^-8</f>
        <v>0</v>
      </c>
      <c r="N620" s="16">
        <f>'Raw Data'!O621*2^-8</f>
        <v>0</v>
      </c>
      <c r="O620" s="17" t="str">
        <f>IF(BITWISE_AND('Raw Data'!$K621, 8192),"X","")</f>
        <v/>
      </c>
      <c r="P620" s="17" t="str">
        <f>IF(BITWISE_AND('Raw Data'!$K621, 2048),"X","")</f>
        <v/>
      </c>
      <c r="Q620" s="17" t="str">
        <f>IF(BITWISE_AND('Raw Data'!$K621, 64),"X","")</f>
        <v/>
      </c>
      <c r="R620" s="18" t="str">
        <f>IF(BITWISE_AND('Raw Data'!$L621, 1024),"X","")</f>
        <v/>
      </c>
      <c r="S620" s="18" t="str">
        <f>IF(BITWISE_AND('Raw Data'!$L621, 512),"X","")</f>
        <v/>
      </c>
      <c r="T620" s="18" t="str">
        <f>IF(BITWISE_AND('Raw Data'!$L621, 256),"X","")</f>
        <v/>
      </c>
      <c r="U620" s="18" t="str">
        <f>IF(BITWISE_AND('Raw Data'!$L621, 64),"X","")</f>
        <v/>
      </c>
      <c r="V620" s="18" t="str">
        <f>IF(BITWISE_AND('Raw Data'!$L621, 2),"X","")</f>
        <v/>
      </c>
      <c r="W620" s="18" t="str">
        <f>IF(BITWISE_AND('Raw Data'!$L621, 1),"X","")</f>
        <v/>
      </c>
      <c r="X620" s="19" t="str">
        <f>IF(BITWISE_AND('Raw Data'!M621, 1),"Bat Voltage", IF(BITWISE_AND('Raw Data'!M621, 2), "Charge Current", IF(BITWISE_AND('Raw Data'!M621, 4),"Input Ilim", IF(BITWISE_AND('Raw Data'!M621, 8), "Input UV", "none"))))</f>
        <v>none</v>
      </c>
    </row>
    <row r="621" spans="1:24" x14ac:dyDescent="0.2">
      <c r="A621" s="15">
        <f>A620+TIME(0,0,'Raw Data'!B621)</f>
        <v>0</v>
      </c>
      <c r="B621" s="4">
        <f>'Raw Data'!C622*0.025</f>
        <v>0</v>
      </c>
      <c r="C621" s="4">
        <f t="shared" si="30"/>
        <v>0</v>
      </c>
      <c r="D621" s="4">
        <f>'Raw Data'!D622*0.025</f>
        <v>0</v>
      </c>
      <c r="E621" s="4">
        <f t="shared" si="31"/>
        <v>0</v>
      </c>
      <c r="F621" s="4">
        <f>'Raw Data'!E622*0.001648</f>
        <v>0</v>
      </c>
      <c r="G621" s="4">
        <f>'Raw Data'!F622*0.001648</f>
        <v>0</v>
      </c>
      <c r="H621" s="4">
        <f>'Raw Data'!G622*6*0.000128176</f>
        <v>0</v>
      </c>
      <c r="I621" s="4">
        <f>'Raw Data'!H622*0.000732435</f>
        <v>0</v>
      </c>
      <c r="J621" s="4">
        <f t="shared" si="29"/>
        <v>0</v>
      </c>
      <c r="K621" s="36">
        <f>IF(('Raw Data'!I622-16384)/32768&lt;0,0,('Raw Data'!I622-16384)/32768)</f>
        <v>0</v>
      </c>
      <c r="L621" s="4">
        <f>IF(('Raw Data'!J622-12010)/45.6=-263.377192982456,0,('Raw Data'!J622-12010)/45.6)</f>
        <v>0</v>
      </c>
      <c r="M621" s="16">
        <f>'Raw Data'!N622*2^-8</f>
        <v>0</v>
      </c>
      <c r="N621" s="16">
        <f>'Raw Data'!O622*2^-8</f>
        <v>0</v>
      </c>
      <c r="O621" s="17" t="str">
        <f>IF(BITWISE_AND('Raw Data'!$K622, 8192),"X","")</f>
        <v/>
      </c>
      <c r="P621" s="17" t="str">
        <f>IF(BITWISE_AND('Raw Data'!$K622, 2048),"X","")</f>
        <v/>
      </c>
      <c r="Q621" s="17" t="str">
        <f>IF(BITWISE_AND('Raw Data'!$K622, 64),"X","")</f>
        <v/>
      </c>
      <c r="R621" s="18" t="str">
        <f>IF(BITWISE_AND('Raw Data'!$L622, 1024),"X","")</f>
        <v/>
      </c>
      <c r="S621" s="18" t="str">
        <f>IF(BITWISE_AND('Raw Data'!$L622, 512),"X","")</f>
        <v/>
      </c>
      <c r="T621" s="18" t="str">
        <f>IF(BITWISE_AND('Raw Data'!$L622, 256),"X","")</f>
        <v/>
      </c>
      <c r="U621" s="18" t="str">
        <f>IF(BITWISE_AND('Raw Data'!$L622, 64),"X","")</f>
        <v/>
      </c>
      <c r="V621" s="18" t="str">
        <f>IF(BITWISE_AND('Raw Data'!$L622, 2),"X","")</f>
        <v/>
      </c>
      <c r="W621" s="18" t="str">
        <f>IF(BITWISE_AND('Raw Data'!$L622, 1),"X","")</f>
        <v/>
      </c>
      <c r="X621" s="19" t="str">
        <f>IF(BITWISE_AND('Raw Data'!M622, 1),"Bat Voltage", IF(BITWISE_AND('Raw Data'!M622, 2), "Charge Current", IF(BITWISE_AND('Raw Data'!M622, 4),"Input Ilim", IF(BITWISE_AND('Raw Data'!M622, 8), "Input UV", "none"))))</f>
        <v>none</v>
      </c>
    </row>
    <row r="622" spans="1:24" x14ac:dyDescent="0.2">
      <c r="A622" s="15">
        <f>A621+TIME(0,0,'Raw Data'!B622)</f>
        <v>0</v>
      </c>
      <c r="B622" s="4">
        <f>'Raw Data'!C623*0.025</f>
        <v>0</v>
      </c>
      <c r="C622" s="4">
        <f t="shared" si="30"/>
        <v>0</v>
      </c>
      <c r="D622" s="4">
        <f>'Raw Data'!D623*0.025</f>
        <v>0</v>
      </c>
      <c r="E622" s="4">
        <f t="shared" si="31"/>
        <v>0</v>
      </c>
      <c r="F622" s="4">
        <f>'Raw Data'!E623*0.001648</f>
        <v>0</v>
      </c>
      <c r="G622" s="4">
        <f>'Raw Data'!F623*0.001648</f>
        <v>0</v>
      </c>
      <c r="H622" s="4">
        <f>'Raw Data'!G623*6*0.000128176</f>
        <v>0</v>
      </c>
      <c r="I622" s="4">
        <f>'Raw Data'!H623*0.000732435</f>
        <v>0</v>
      </c>
      <c r="J622" s="4">
        <f t="shared" si="29"/>
        <v>0</v>
      </c>
      <c r="K622" s="36">
        <f>IF(('Raw Data'!I623-16384)/32768&lt;0,0,('Raw Data'!I623-16384)/32768)</f>
        <v>0</v>
      </c>
      <c r="L622" s="4">
        <f>IF(('Raw Data'!J623-12010)/45.6=-263.377192982456,0,('Raw Data'!J623-12010)/45.6)</f>
        <v>0</v>
      </c>
      <c r="M622" s="16">
        <f>'Raw Data'!N623*2^-8</f>
        <v>0</v>
      </c>
      <c r="N622" s="16">
        <f>'Raw Data'!O623*2^-8</f>
        <v>0</v>
      </c>
      <c r="O622" s="17" t="str">
        <f>IF(BITWISE_AND('Raw Data'!$K623, 8192),"X","")</f>
        <v/>
      </c>
      <c r="P622" s="17" t="str">
        <f>IF(BITWISE_AND('Raw Data'!$K623, 2048),"X","")</f>
        <v/>
      </c>
      <c r="Q622" s="17" t="str">
        <f>IF(BITWISE_AND('Raw Data'!$K623, 64),"X","")</f>
        <v/>
      </c>
      <c r="R622" s="18" t="str">
        <f>IF(BITWISE_AND('Raw Data'!$L623, 1024),"X","")</f>
        <v/>
      </c>
      <c r="S622" s="18" t="str">
        <f>IF(BITWISE_AND('Raw Data'!$L623, 512),"X","")</f>
        <v/>
      </c>
      <c r="T622" s="18" t="str">
        <f>IF(BITWISE_AND('Raw Data'!$L623, 256),"X","")</f>
        <v/>
      </c>
      <c r="U622" s="18" t="str">
        <f>IF(BITWISE_AND('Raw Data'!$L623, 64),"X","")</f>
        <v/>
      </c>
      <c r="V622" s="18" t="str">
        <f>IF(BITWISE_AND('Raw Data'!$L623, 2),"X","")</f>
        <v/>
      </c>
      <c r="W622" s="18" t="str">
        <f>IF(BITWISE_AND('Raw Data'!$L623, 1),"X","")</f>
        <v/>
      </c>
      <c r="X622" s="19" t="str">
        <f>IF(BITWISE_AND('Raw Data'!M623, 1),"Bat Voltage", IF(BITWISE_AND('Raw Data'!M623, 2), "Charge Current", IF(BITWISE_AND('Raw Data'!M623, 4),"Input Ilim", IF(BITWISE_AND('Raw Data'!M623, 8), "Input UV", "none"))))</f>
        <v>none</v>
      </c>
    </row>
    <row r="623" spans="1:24" x14ac:dyDescent="0.2">
      <c r="A623" s="15">
        <f>A622+TIME(0,0,'Raw Data'!B623)</f>
        <v>0</v>
      </c>
      <c r="B623" s="4">
        <f>'Raw Data'!C624*0.025</f>
        <v>0</v>
      </c>
      <c r="C623" s="4">
        <f t="shared" si="30"/>
        <v>0</v>
      </c>
      <c r="D623" s="4">
        <f>'Raw Data'!D624*0.025</f>
        <v>0</v>
      </c>
      <c r="E623" s="4">
        <f t="shared" si="31"/>
        <v>0</v>
      </c>
      <c r="F623" s="4">
        <f>'Raw Data'!E624*0.001648</f>
        <v>0</v>
      </c>
      <c r="G623" s="4">
        <f>'Raw Data'!F624*0.001648</f>
        <v>0</v>
      </c>
      <c r="H623" s="4">
        <f>'Raw Data'!G624*6*0.000128176</f>
        <v>0</v>
      </c>
      <c r="I623" s="4">
        <f>'Raw Data'!H624*0.000732435</f>
        <v>0</v>
      </c>
      <c r="J623" s="4">
        <f t="shared" si="29"/>
        <v>0</v>
      </c>
      <c r="K623" s="36">
        <f>IF(('Raw Data'!I624-16384)/32768&lt;0,0,('Raw Data'!I624-16384)/32768)</f>
        <v>0</v>
      </c>
      <c r="L623" s="4">
        <f>IF(('Raw Data'!J624-12010)/45.6=-263.377192982456,0,('Raw Data'!J624-12010)/45.6)</f>
        <v>0</v>
      </c>
      <c r="M623" s="16">
        <f>'Raw Data'!N624*2^-8</f>
        <v>0</v>
      </c>
      <c r="N623" s="16">
        <f>'Raw Data'!O624*2^-8</f>
        <v>0</v>
      </c>
      <c r="O623" s="17" t="str">
        <f>IF(BITWISE_AND('Raw Data'!$K624, 8192),"X","")</f>
        <v/>
      </c>
      <c r="P623" s="17" t="str">
        <f>IF(BITWISE_AND('Raw Data'!$K624, 2048),"X","")</f>
        <v/>
      </c>
      <c r="Q623" s="17" t="str">
        <f>IF(BITWISE_AND('Raw Data'!$K624, 64),"X","")</f>
        <v/>
      </c>
      <c r="R623" s="18" t="str">
        <f>IF(BITWISE_AND('Raw Data'!$L624, 1024),"X","")</f>
        <v/>
      </c>
      <c r="S623" s="18" t="str">
        <f>IF(BITWISE_AND('Raw Data'!$L624, 512),"X","")</f>
        <v/>
      </c>
      <c r="T623" s="18" t="str">
        <f>IF(BITWISE_AND('Raw Data'!$L624, 256),"X","")</f>
        <v/>
      </c>
      <c r="U623" s="18" t="str">
        <f>IF(BITWISE_AND('Raw Data'!$L624, 64),"X","")</f>
        <v/>
      </c>
      <c r="V623" s="18" t="str">
        <f>IF(BITWISE_AND('Raw Data'!$L624, 2),"X","")</f>
        <v/>
      </c>
      <c r="W623" s="18" t="str">
        <f>IF(BITWISE_AND('Raw Data'!$L624, 1),"X","")</f>
        <v/>
      </c>
      <c r="X623" s="19" t="str">
        <f>IF(BITWISE_AND('Raw Data'!M624, 1),"Bat Voltage", IF(BITWISE_AND('Raw Data'!M624, 2), "Charge Current", IF(BITWISE_AND('Raw Data'!M624, 4),"Input Ilim", IF(BITWISE_AND('Raw Data'!M624, 8), "Input UV", "none"))))</f>
        <v>none</v>
      </c>
    </row>
    <row r="624" spans="1:24" x14ac:dyDescent="0.2">
      <c r="A624" s="15">
        <f>A623+TIME(0,0,'Raw Data'!B624)</f>
        <v>0</v>
      </c>
      <c r="B624" s="4">
        <f>'Raw Data'!C625*0.025</f>
        <v>0</v>
      </c>
      <c r="C624" s="4">
        <f t="shared" si="30"/>
        <v>0</v>
      </c>
      <c r="D624" s="4">
        <f>'Raw Data'!D625*0.025</f>
        <v>0</v>
      </c>
      <c r="E624" s="4">
        <f t="shared" si="31"/>
        <v>0</v>
      </c>
      <c r="F624" s="4">
        <f>'Raw Data'!E625*0.001648</f>
        <v>0</v>
      </c>
      <c r="G624" s="4">
        <f>'Raw Data'!F625*0.001648</f>
        <v>0</v>
      </c>
      <c r="H624" s="4">
        <f>'Raw Data'!G625*6*0.000128176</f>
        <v>0</v>
      </c>
      <c r="I624" s="4">
        <f>'Raw Data'!H625*0.000732435</f>
        <v>0</v>
      </c>
      <c r="J624" s="4">
        <f t="shared" si="29"/>
        <v>0</v>
      </c>
      <c r="K624" s="36">
        <f>IF(('Raw Data'!I625-16384)/32768&lt;0,0,('Raw Data'!I625-16384)/32768)</f>
        <v>0</v>
      </c>
      <c r="L624" s="4">
        <f>IF(('Raw Data'!J625-12010)/45.6=-263.377192982456,0,('Raw Data'!J625-12010)/45.6)</f>
        <v>0</v>
      </c>
      <c r="M624" s="16">
        <f>'Raw Data'!N625*2^-8</f>
        <v>0</v>
      </c>
      <c r="N624" s="16">
        <f>'Raw Data'!O625*2^-8</f>
        <v>0</v>
      </c>
      <c r="O624" s="17" t="str">
        <f>IF(BITWISE_AND('Raw Data'!$K625, 8192),"X","")</f>
        <v/>
      </c>
      <c r="P624" s="17" t="str">
        <f>IF(BITWISE_AND('Raw Data'!$K625, 2048),"X","")</f>
        <v/>
      </c>
      <c r="Q624" s="17" t="str">
        <f>IF(BITWISE_AND('Raw Data'!$K625, 64),"X","")</f>
        <v/>
      </c>
      <c r="R624" s="18" t="str">
        <f>IF(BITWISE_AND('Raw Data'!$L625, 1024),"X","")</f>
        <v/>
      </c>
      <c r="S624" s="18" t="str">
        <f>IF(BITWISE_AND('Raw Data'!$L625, 512),"X","")</f>
        <v/>
      </c>
      <c r="T624" s="18" t="str">
        <f>IF(BITWISE_AND('Raw Data'!$L625, 256),"X","")</f>
        <v/>
      </c>
      <c r="U624" s="18" t="str">
        <f>IF(BITWISE_AND('Raw Data'!$L625, 64),"X","")</f>
        <v/>
      </c>
      <c r="V624" s="18" t="str">
        <f>IF(BITWISE_AND('Raw Data'!$L625, 2),"X","")</f>
        <v/>
      </c>
      <c r="W624" s="18" t="str">
        <f>IF(BITWISE_AND('Raw Data'!$L625, 1),"X","")</f>
        <v/>
      </c>
      <c r="X624" s="19" t="str">
        <f>IF(BITWISE_AND('Raw Data'!M625, 1),"Bat Voltage", IF(BITWISE_AND('Raw Data'!M625, 2), "Charge Current", IF(BITWISE_AND('Raw Data'!M625, 4),"Input Ilim", IF(BITWISE_AND('Raw Data'!M625, 8), "Input UV", "none"))))</f>
        <v>none</v>
      </c>
    </row>
    <row r="625" spans="1:24" x14ac:dyDescent="0.2">
      <c r="A625" s="15">
        <f>A624+TIME(0,0,'Raw Data'!B625)</f>
        <v>0</v>
      </c>
      <c r="B625" s="4">
        <f>'Raw Data'!C626*0.025</f>
        <v>0</v>
      </c>
      <c r="C625" s="4">
        <f t="shared" si="30"/>
        <v>0</v>
      </c>
      <c r="D625" s="4">
        <f>'Raw Data'!D626*0.025</f>
        <v>0</v>
      </c>
      <c r="E625" s="4">
        <f t="shared" si="31"/>
        <v>0</v>
      </c>
      <c r="F625" s="4">
        <f>'Raw Data'!E626*0.001648</f>
        <v>0</v>
      </c>
      <c r="G625" s="4">
        <f>'Raw Data'!F626*0.001648</f>
        <v>0</v>
      </c>
      <c r="H625" s="4">
        <f>'Raw Data'!G626*6*0.000128176</f>
        <v>0</v>
      </c>
      <c r="I625" s="4">
        <f>'Raw Data'!H626*0.000732435</f>
        <v>0</v>
      </c>
      <c r="J625" s="4">
        <f t="shared" si="29"/>
        <v>0</v>
      </c>
      <c r="K625" s="36">
        <f>IF(('Raw Data'!I626-16384)/32768&lt;0,0,('Raw Data'!I626-16384)/32768)</f>
        <v>0</v>
      </c>
      <c r="L625" s="4">
        <f>IF(('Raw Data'!J626-12010)/45.6=-263.377192982456,0,('Raw Data'!J626-12010)/45.6)</f>
        <v>0</v>
      </c>
      <c r="M625" s="16">
        <f>'Raw Data'!N626*2^-8</f>
        <v>0</v>
      </c>
      <c r="N625" s="16">
        <f>'Raw Data'!O626*2^-8</f>
        <v>0</v>
      </c>
      <c r="O625" s="17" t="str">
        <f>IF(BITWISE_AND('Raw Data'!$K626, 8192),"X","")</f>
        <v/>
      </c>
      <c r="P625" s="17" t="str">
        <f>IF(BITWISE_AND('Raw Data'!$K626, 2048),"X","")</f>
        <v/>
      </c>
      <c r="Q625" s="17" t="str">
        <f>IF(BITWISE_AND('Raw Data'!$K626, 64),"X","")</f>
        <v/>
      </c>
      <c r="R625" s="18" t="str">
        <f>IF(BITWISE_AND('Raw Data'!$L626, 1024),"X","")</f>
        <v/>
      </c>
      <c r="S625" s="18" t="str">
        <f>IF(BITWISE_AND('Raw Data'!$L626, 512),"X","")</f>
        <v/>
      </c>
      <c r="T625" s="18" t="str">
        <f>IF(BITWISE_AND('Raw Data'!$L626, 256),"X","")</f>
        <v/>
      </c>
      <c r="U625" s="18" t="str">
        <f>IF(BITWISE_AND('Raw Data'!$L626, 64),"X","")</f>
        <v/>
      </c>
      <c r="V625" s="18" t="str">
        <f>IF(BITWISE_AND('Raw Data'!$L626, 2),"X","")</f>
        <v/>
      </c>
      <c r="W625" s="18" t="str">
        <f>IF(BITWISE_AND('Raw Data'!$L626, 1),"X","")</f>
        <v/>
      </c>
      <c r="X625" s="19" t="str">
        <f>IF(BITWISE_AND('Raw Data'!M626, 1),"Bat Voltage", IF(BITWISE_AND('Raw Data'!M626, 2), "Charge Current", IF(BITWISE_AND('Raw Data'!M626, 4),"Input Ilim", IF(BITWISE_AND('Raw Data'!M626, 8), "Input UV", "none"))))</f>
        <v>none</v>
      </c>
    </row>
    <row r="626" spans="1:24" x14ac:dyDescent="0.2">
      <c r="A626" s="15">
        <f>A625+TIME(0,0,'Raw Data'!B626)</f>
        <v>0</v>
      </c>
      <c r="B626" s="4">
        <f>'Raw Data'!C627*0.025</f>
        <v>0</v>
      </c>
      <c r="C626" s="4">
        <f t="shared" si="30"/>
        <v>0</v>
      </c>
      <c r="D626" s="4">
        <f>'Raw Data'!D627*0.025</f>
        <v>0</v>
      </c>
      <c r="E626" s="4">
        <f t="shared" si="31"/>
        <v>0</v>
      </c>
      <c r="F626" s="4">
        <f>'Raw Data'!E627*0.001648</f>
        <v>0</v>
      </c>
      <c r="G626" s="4">
        <f>'Raw Data'!F627*0.001648</f>
        <v>0</v>
      </c>
      <c r="H626" s="4">
        <f>'Raw Data'!G627*6*0.000128176</f>
        <v>0</v>
      </c>
      <c r="I626" s="4">
        <f>'Raw Data'!H627*0.000732435</f>
        <v>0</v>
      </c>
      <c r="J626" s="4">
        <f t="shared" si="29"/>
        <v>0</v>
      </c>
      <c r="K626" s="36">
        <f>IF(('Raw Data'!I627-16384)/32768&lt;0,0,('Raw Data'!I627-16384)/32768)</f>
        <v>0</v>
      </c>
      <c r="L626" s="4">
        <f>IF(('Raw Data'!J627-12010)/45.6=-263.377192982456,0,('Raw Data'!J627-12010)/45.6)</f>
        <v>0</v>
      </c>
      <c r="M626" s="16">
        <f>'Raw Data'!N627*2^-8</f>
        <v>0</v>
      </c>
      <c r="N626" s="16">
        <f>'Raw Data'!O627*2^-8</f>
        <v>0</v>
      </c>
      <c r="O626" s="17" t="str">
        <f>IF(BITWISE_AND('Raw Data'!$K627, 8192),"X","")</f>
        <v/>
      </c>
      <c r="P626" s="17" t="str">
        <f>IF(BITWISE_AND('Raw Data'!$K627, 2048),"X","")</f>
        <v/>
      </c>
      <c r="Q626" s="17" t="str">
        <f>IF(BITWISE_AND('Raw Data'!$K627, 64),"X","")</f>
        <v/>
      </c>
      <c r="R626" s="18" t="str">
        <f>IF(BITWISE_AND('Raw Data'!$L627, 1024),"X","")</f>
        <v/>
      </c>
      <c r="S626" s="18" t="str">
        <f>IF(BITWISE_AND('Raw Data'!$L627, 512),"X","")</f>
        <v/>
      </c>
      <c r="T626" s="18" t="str">
        <f>IF(BITWISE_AND('Raw Data'!$L627, 256),"X","")</f>
        <v/>
      </c>
      <c r="U626" s="18" t="str">
        <f>IF(BITWISE_AND('Raw Data'!$L627, 64),"X","")</f>
        <v/>
      </c>
      <c r="V626" s="18" t="str">
        <f>IF(BITWISE_AND('Raw Data'!$L627, 2),"X","")</f>
        <v/>
      </c>
      <c r="W626" s="18" t="str">
        <f>IF(BITWISE_AND('Raw Data'!$L627, 1),"X","")</f>
        <v/>
      </c>
      <c r="X626" s="19" t="str">
        <f>IF(BITWISE_AND('Raw Data'!M627, 1),"Bat Voltage", IF(BITWISE_AND('Raw Data'!M627, 2), "Charge Current", IF(BITWISE_AND('Raw Data'!M627, 4),"Input Ilim", IF(BITWISE_AND('Raw Data'!M627, 8), "Input UV", "none"))))</f>
        <v>none</v>
      </c>
    </row>
    <row r="627" spans="1:24" x14ac:dyDescent="0.2">
      <c r="A627" s="15">
        <f>A626+TIME(0,0,'Raw Data'!B627)</f>
        <v>0</v>
      </c>
      <c r="B627" s="4">
        <f>'Raw Data'!C628*0.025</f>
        <v>0</v>
      </c>
      <c r="C627" s="4">
        <f t="shared" si="30"/>
        <v>0</v>
      </c>
      <c r="D627" s="4">
        <f>'Raw Data'!D628*0.025</f>
        <v>0</v>
      </c>
      <c r="E627" s="4">
        <f t="shared" si="31"/>
        <v>0</v>
      </c>
      <c r="F627" s="4">
        <f>'Raw Data'!E628*0.001648</f>
        <v>0</v>
      </c>
      <c r="G627" s="4">
        <f>'Raw Data'!F628*0.001648</f>
        <v>0</v>
      </c>
      <c r="H627" s="4">
        <f>'Raw Data'!G628*6*0.000128176</f>
        <v>0</v>
      </c>
      <c r="I627" s="4">
        <f>'Raw Data'!H628*0.000732435</f>
        <v>0</v>
      </c>
      <c r="J627" s="4">
        <f t="shared" si="29"/>
        <v>0</v>
      </c>
      <c r="K627" s="36">
        <f>IF(('Raw Data'!I628-16384)/32768&lt;0,0,('Raw Data'!I628-16384)/32768)</f>
        <v>0</v>
      </c>
      <c r="L627" s="4">
        <f>IF(('Raw Data'!J628-12010)/45.6=-263.377192982456,0,('Raw Data'!J628-12010)/45.6)</f>
        <v>0</v>
      </c>
      <c r="M627" s="16">
        <f>'Raw Data'!N628*2^-8</f>
        <v>0</v>
      </c>
      <c r="N627" s="16">
        <f>'Raw Data'!O628*2^-8</f>
        <v>0</v>
      </c>
      <c r="O627" s="17" t="str">
        <f>IF(BITWISE_AND('Raw Data'!$K628, 8192),"X","")</f>
        <v/>
      </c>
      <c r="P627" s="17" t="str">
        <f>IF(BITWISE_AND('Raw Data'!$K628, 2048),"X","")</f>
        <v/>
      </c>
      <c r="Q627" s="17" t="str">
        <f>IF(BITWISE_AND('Raw Data'!$K628, 64),"X","")</f>
        <v/>
      </c>
      <c r="R627" s="18" t="str">
        <f>IF(BITWISE_AND('Raw Data'!$L628, 1024),"X","")</f>
        <v/>
      </c>
      <c r="S627" s="18" t="str">
        <f>IF(BITWISE_AND('Raw Data'!$L628, 512),"X","")</f>
        <v/>
      </c>
      <c r="T627" s="18" t="str">
        <f>IF(BITWISE_AND('Raw Data'!$L628, 256),"X","")</f>
        <v/>
      </c>
      <c r="U627" s="18" t="str">
        <f>IF(BITWISE_AND('Raw Data'!$L628, 64),"X","")</f>
        <v/>
      </c>
      <c r="V627" s="18" t="str">
        <f>IF(BITWISE_AND('Raw Data'!$L628, 2),"X","")</f>
        <v/>
      </c>
      <c r="W627" s="18" t="str">
        <f>IF(BITWISE_AND('Raw Data'!$L628, 1),"X","")</f>
        <v/>
      </c>
      <c r="X627" s="19" t="str">
        <f>IF(BITWISE_AND('Raw Data'!M628, 1),"Bat Voltage", IF(BITWISE_AND('Raw Data'!M628, 2), "Charge Current", IF(BITWISE_AND('Raw Data'!M628, 4),"Input Ilim", IF(BITWISE_AND('Raw Data'!M628, 8), "Input UV", "none"))))</f>
        <v>none</v>
      </c>
    </row>
    <row r="628" spans="1:24" x14ac:dyDescent="0.2">
      <c r="A628" s="15">
        <f>A627+TIME(0,0,'Raw Data'!B628)</f>
        <v>0</v>
      </c>
      <c r="B628" s="4">
        <f>'Raw Data'!C629*0.025</f>
        <v>0</v>
      </c>
      <c r="C628" s="4">
        <f t="shared" si="30"/>
        <v>0</v>
      </c>
      <c r="D628" s="4">
        <f>'Raw Data'!D629*0.025</f>
        <v>0</v>
      </c>
      <c r="E628" s="4">
        <f t="shared" si="31"/>
        <v>0</v>
      </c>
      <c r="F628" s="4">
        <f>'Raw Data'!E629*0.001648</f>
        <v>0</v>
      </c>
      <c r="G628" s="4">
        <f>'Raw Data'!F629*0.001648</f>
        <v>0</v>
      </c>
      <c r="H628" s="4">
        <f>'Raw Data'!G629*6*0.000128176</f>
        <v>0</v>
      </c>
      <c r="I628" s="4">
        <f>'Raw Data'!H629*0.000732435</f>
        <v>0</v>
      </c>
      <c r="J628" s="4">
        <f t="shared" si="29"/>
        <v>0</v>
      </c>
      <c r="K628" s="36">
        <f>IF(('Raw Data'!I629-16384)/32768&lt;0,0,('Raw Data'!I629-16384)/32768)</f>
        <v>0</v>
      </c>
      <c r="L628" s="4">
        <f>IF(('Raw Data'!J629-12010)/45.6=-263.377192982456,0,('Raw Data'!J629-12010)/45.6)</f>
        <v>0</v>
      </c>
      <c r="M628" s="16">
        <f>'Raw Data'!N629*2^-8</f>
        <v>0</v>
      </c>
      <c r="N628" s="16">
        <f>'Raw Data'!O629*2^-8</f>
        <v>0</v>
      </c>
      <c r="O628" s="17" t="str">
        <f>IF(BITWISE_AND('Raw Data'!$K629, 8192),"X","")</f>
        <v/>
      </c>
      <c r="P628" s="17" t="str">
        <f>IF(BITWISE_AND('Raw Data'!$K629, 2048),"X","")</f>
        <v/>
      </c>
      <c r="Q628" s="17" t="str">
        <f>IF(BITWISE_AND('Raw Data'!$K629, 64),"X","")</f>
        <v/>
      </c>
      <c r="R628" s="18" t="str">
        <f>IF(BITWISE_AND('Raw Data'!$L629, 1024),"X","")</f>
        <v/>
      </c>
      <c r="S628" s="18" t="str">
        <f>IF(BITWISE_AND('Raw Data'!$L629, 512),"X","")</f>
        <v/>
      </c>
      <c r="T628" s="18" t="str">
        <f>IF(BITWISE_AND('Raw Data'!$L629, 256),"X","")</f>
        <v/>
      </c>
      <c r="U628" s="18" t="str">
        <f>IF(BITWISE_AND('Raw Data'!$L629, 64),"X","")</f>
        <v/>
      </c>
      <c r="V628" s="18" t="str">
        <f>IF(BITWISE_AND('Raw Data'!$L629, 2),"X","")</f>
        <v/>
      </c>
      <c r="W628" s="18" t="str">
        <f>IF(BITWISE_AND('Raw Data'!$L629, 1),"X","")</f>
        <v/>
      </c>
      <c r="X628" s="19" t="str">
        <f>IF(BITWISE_AND('Raw Data'!M629, 1),"Bat Voltage", IF(BITWISE_AND('Raw Data'!M629, 2), "Charge Current", IF(BITWISE_AND('Raw Data'!M629, 4),"Input Ilim", IF(BITWISE_AND('Raw Data'!M629, 8), "Input UV", "none"))))</f>
        <v>none</v>
      </c>
    </row>
    <row r="629" spans="1:24" x14ac:dyDescent="0.2">
      <c r="A629" s="15">
        <f>A628+TIME(0,0,'Raw Data'!B629)</f>
        <v>0</v>
      </c>
      <c r="B629" s="4">
        <f>'Raw Data'!C630*0.025</f>
        <v>0</v>
      </c>
      <c r="C629" s="4">
        <f t="shared" si="30"/>
        <v>0</v>
      </c>
      <c r="D629" s="4">
        <f>'Raw Data'!D630*0.025</f>
        <v>0</v>
      </c>
      <c r="E629" s="4">
        <f t="shared" si="31"/>
        <v>0</v>
      </c>
      <c r="F629" s="4">
        <f>'Raw Data'!E630*0.001648</f>
        <v>0</v>
      </c>
      <c r="G629" s="4">
        <f>'Raw Data'!F630*0.001648</f>
        <v>0</v>
      </c>
      <c r="H629" s="4">
        <f>'Raw Data'!G630*6*0.000128176</f>
        <v>0</v>
      </c>
      <c r="I629" s="4">
        <f>'Raw Data'!H630*0.000732435</f>
        <v>0</v>
      </c>
      <c r="J629" s="4">
        <f t="shared" si="29"/>
        <v>0</v>
      </c>
      <c r="K629" s="36">
        <f>IF(('Raw Data'!I630-16384)/32768&lt;0,0,('Raw Data'!I630-16384)/32768)</f>
        <v>0</v>
      </c>
      <c r="L629" s="4">
        <f>IF(('Raw Data'!J630-12010)/45.6=-263.377192982456,0,('Raw Data'!J630-12010)/45.6)</f>
        <v>0</v>
      </c>
      <c r="M629" s="16">
        <f>'Raw Data'!N630*2^-8</f>
        <v>0</v>
      </c>
      <c r="N629" s="16">
        <f>'Raw Data'!O630*2^-8</f>
        <v>0</v>
      </c>
      <c r="O629" s="17" t="str">
        <f>IF(BITWISE_AND('Raw Data'!$K630, 8192),"X","")</f>
        <v/>
      </c>
      <c r="P629" s="17" t="str">
        <f>IF(BITWISE_AND('Raw Data'!$K630, 2048),"X","")</f>
        <v/>
      </c>
      <c r="Q629" s="17" t="str">
        <f>IF(BITWISE_AND('Raw Data'!$K630, 64),"X","")</f>
        <v/>
      </c>
      <c r="R629" s="18" t="str">
        <f>IF(BITWISE_AND('Raw Data'!$L630, 1024),"X","")</f>
        <v/>
      </c>
      <c r="S629" s="18" t="str">
        <f>IF(BITWISE_AND('Raw Data'!$L630, 512),"X","")</f>
        <v/>
      </c>
      <c r="T629" s="18" t="str">
        <f>IF(BITWISE_AND('Raw Data'!$L630, 256),"X","")</f>
        <v/>
      </c>
      <c r="U629" s="18" t="str">
        <f>IF(BITWISE_AND('Raw Data'!$L630, 64),"X","")</f>
        <v/>
      </c>
      <c r="V629" s="18" t="str">
        <f>IF(BITWISE_AND('Raw Data'!$L630, 2),"X","")</f>
        <v/>
      </c>
      <c r="W629" s="18" t="str">
        <f>IF(BITWISE_AND('Raw Data'!$L630, 1),"X","")</f>
        <v/>
      </c>
      <c r="X629" s="19" t="str">
        <f>IF(BITWISE_AND('Raw Data'!M630, 1),"Bat Voltage", IF(BITWISE_AND('Raw Data'!M630, 2), "Charge Current", IF(BITWISE_AND('Raw Data'!M630, 4),"Input Ilim", IF(BITWISE_AND('Raw Data'!M630, 8), "Input UV", "none"))))</f>
        <v>none</v>
      </c>
    </row>
    <row r="630" spans="1:24" x14ac:dyDescent="0.2">
      <c r="A630" s="15">
        <f>A629+TIME(0,0,'Raw Data'!B630)</f>
        <v>0</v>
      </c>
      <c r="B630" s="4">
        <f>'Raw Data'!C631*0.025</f>
        <v>0</v>
      </c>
      <c r="C630" s="4">
        <f t="shared" si="30"/>
        <v>0</v>
      </c>
      <c r="D630" s="4">
        <f>'Raw Data'!D631*0.025</f>
        <v>0</v>
      </c>
      <c r="E630" s="4">
        <f t="shared" si="31"/>
        <v>0</v>
      </c>
      <c r="F630" s="4">
        <f>'Raw Data'!E631*0.001648</f>
        <v>0</v>
      </c>
      <c r="G630" s="4">
        <f>'Raw Data'!F631*0.001648</f>
        <v>0</v>
      </c>
      <c r="H630" s="4">
        <f>'Raw Data'!G631*6*0.000128176</f>
        <v>0</v>
      </c>
      <c r="I630" s="4">
        <f>'Raw Data'!H631*0.000732435</f>
        <v>0</v>
      </c>
      <c r="J630" s="4">
        <f t="shared" si="29"/>
        <v>0</v>
      </c>
      <c r="K630" s="36">
        <f>IF(('Raw Data'!I631-16384)/32768&lt;0,0,('Raw Data'!I631-16384)/32768)</f>
        <v>0</v>
      </c>
      <c r="L630" s="4">
        <f>IF(('Raw Data'!J631-12010)/45.6=-263.377192982456,0,('Raw Data'!J631-12010)/45.6)</f>
        <v>0</v>
      </c>
      <c r="M630" s="16">
        <f>'Raw Data'!N631*2^-8</f>
        <v>0</v>
      </c>
      <c r="N630" s="16">
        <f>'Raw Data'!O631*2^-8</f>
        <v>0</v>
      </c>
      <c r="O630" s="17" t="str">
        <f>IF(BITWISE_AND('Raw Data'!$K631, 8192),"X","")</f>
        <v/>
      </c>
      <c r="P630" s="17" t="str">
        <f>IF(BITWISE_AND('Raw Data'!$K631, 2048),"X","")</f>
        <v/>
      </c>
      <c r="Q630" s="17" t="str">
        <f>IF(BITWISE_AND('Raw Data'!$K631, 64),"X","")</f>
        <v/>
      </c>
      <c r="R630" s="18" t="str">
        <f>IF(BITWISE_AND('Raw Data'!$L631, 1024),"X","")</f>
        <v/>
      </c>
      <c r="S630" s="18" t="str">
        <f>IF(BITWISE_AND('Raw Data'!$L631, 512),"X","")</f>
        <v/>
      </c>
      <c r="T630" s="18" t="str">
        <f>IF(BITWISE_AND('Raw Data'!$L631, 256),"X","")</f>
        <v/>
      </c>
      <c r="U630" s="18" t="str">
        <f>IF(BITWISE_AND('Raw Data'!$L631, 64),"X","")</f>
        <v/>
      </c>
      <c r="V630" s="18" t="str">
        <f>IF(BITWISE_AND('Raw Data'!$L631, 2),"X","")</f>
        <v/>
      </c>
      <c r="W630" s="18" t="str">
        <f>IF(BITWISE_AND('Raw Data'!$L631, 1),"X","")</f>
        <v/>
      </c>
      <c r="X630" s="19" t="str">
        <f>IF(BITWISE_AND('Raw Data'!M631, 1),"Bat Voltage", IF(BITWISE_AND('Raw Data'!M631, 2), "Charge Current", IF(BITWISE_AND('Raw Data'!M631, 4),"Input Ilim", IF(BITWISE_AND('Raw Data'!M631, 8), "Input UV", "none"))))</f>
        <v>none</v>
      </c>
    </row>
    <row r="631" spans="1:24" x14ac:dyDescent="0.2">
      <c r="A631" s="15">
        <f>A630+TIME(0,0,'Raw Data'!B631)</f>
        <v>0</v>
      </c>
      <c r="B631" s="4">
        <f>'Raw Data'!C632*0.025</f>
        <v>0</v>
      </c>
      <c r="C631" s="4">
        <f t="shared" si="30"/>
        <v>0</v>
      </c>
      <c r="D631" s="4">
        <f>'Raw Data'!D632*0.025</f>
        <v>0</v>
      </c>
      <c r="E631" s="4">
        <f t="shared" si="31"/>
        <v>0</v>
      </c>
      <c r="F631" s="4">
        <f>'Raw Data'!E632*0.001648</f>
        <v>0</v>
      </c>
      <c r="G631" s="4">
        <f>'Raw Data'!F632*0.001648</f>
        <v>0</v>
      </c>
      <c r="H631" s="4">
        <f>'Raw Data'!G632*6*0.000128176</f>
        <v>0</v>
      </c>
      <c r="I631" s="4">
        <f>'Raw Data'!H632*0.000732435</f>
        <v>0</v>
      </c>
      <c r="J631" s="4">
        <f t="shared" si="29"/>
        <v>0</v>
      </c>
      <c r="K631" s="36">
        <f>IF(('Raw Data'!I632-16384)/32768&lt;0,0,('Raw Data'!I632-16384)/32768)</f>
        <v>0</v>
      </c>
      <c r="L631" s="4">
        <f>IF(('Raw Data'!J632-12010)/45.6=-263.377192982456,0,('Raw Data'!J632-12010)/45.6)</f>
        <v>0</v>
      </c>
      <c r="M631" s="16">
        <f>'Raw Data'!N632*2^-8</f>
        <v>0</v>
      </c>
      <c r="N631" s="16">
        <f>'Raw Data'!O632*2^-8</f>
        <v>0</v>
      </c>
      <c r="O631" s="17" t="str">
        <f>IF(BITWISE_AND('Raw Data'!$K632, 8192),"X","")</f>
        <v/>
      </c>
      <c r="P631" s="17" t="str">
        <f>IF(BITWISE_AND('Raw Data'!$K632, 2048),"X","")</f>
        <v/>
      </c>
      <c r="Q631" s="17" t="str">
        <f>IF(BITWISE_AND('Raw Data'!$K632, 64),"X","")</f>
        <v/>
      </c>
      <c r="R631" s="18" t="str">
        <f>IF(BITWISE_AND('Raw Data'!$L632, 1024),"X","")</f>
        <v/>
      </c>
      <c r="S631" s="18" t="str">
        <f>IF(BITWISE_AND('Raw Data'!$L632, 512),"X","")</f>
        <v/>
      </c>
      <c r="T631" s="18" t="str">
        <f>IF(BITWISE_AND('Raw Data'!$L632, 256),"X","")</f>
        <v/>
      </c>
      <c r="U631" s="18" t="str">
        <f>IF(BITWISE_AND('Raw Data'!$L632, 64),"X","")</f>
        <v/>
      </c>
      <c r="V631" s="18" t="str">
        <f>IF(BITWISE_AND('Raw Data'!$L632, 2),"X","")</f>
        <v/>
      </c>
      <c r="W631" s="18" t="str">
        <f>IF(BITWISE_AND('Raw Data'!$L632, 1),"X","")</f>
        <v/>
      </c>
      <c r="X631" s="19" t="str">
        <f>IF(BITWISE_AND('Raw Data'!M632, 1),"Bat Voltage", IF(BITWISE_AND('Raw Data'!M632, 2), "Charge Current", IF(BITWISE_AND('Raw Data'!M632, 4),"Input Ilim", IF(BITWISE_AND('Raw Data'!M632, 8), "Input UV", "none"))))</f>
        <v>none</v>
      </c>
    </row>
    <row r="632" spans="1:24" x14ac:dyDescent="0.2">
      <c r="A632" s="15">
        <f>A631+TIME(0,0,'Raw Data'!B632)</f>
        <v>0</v>
      </c>
      <c r="B632" s="4">
        <f>'Raw Data'!C633*0.025</f>
        <v>0</v>
      </c>
      <c r="C632" s="4">
        <f t="shared" si="30"/>
        <v>0</v>
      </c>
      <c r="D632" s="4">
        <f>'Raw Data'!D633*0.025</f>
        <v>0</v>
      </c>
      <c r="E632" s="4">
        <f t="shared" si="31"/>
        <v>0</v>
      </c>
      <c r="F632" s="4">
        <f>'Raw Data'!E633*0.001648</f>
        <v>0</v>
      </c>
      <c r="G632" s="4">
        <f>'Raw Data'!F633*0.001648</f>
        <v>0</v>
      </c>
      <c r="H632" s="4">
        <f>'Raw Data'!G633*6*0.000128176</f>
        <v>0</v>
      </c>
      <c r="I632" s="4">
        <f>'Raw Data'!H633*0.000732435</f>
        <v>0</v>
      </c>
      <c r="J632" s="4">
        <f t="shared" si="29"/>
        <v>0</v>
      </c>
      <c r="K632" s="36">
        <f>IF(('Raw Data'!I633-16384)/32768&lt;0,0,('Raw Data'!I633-16384)/32768)</f>
        <v>0</v>
      </c>
      <c r="L632" s="4">
        <f>IF(('Raw Data'!J633-12010)/45.6=-263.377192982456,0,('Raw Data'!J633-12010)/45.6)</f>
        <v>0</v>
      </c>
      <c r="M632" s="16">
        <f>'Raw Data'!N633*2^-8</f>
        <v>0</v>
      </c>
      <c r="N632" s="16">
        <f>'Raw Data'!O633*2^-8</f>
        <v>0</v>
      </c>
      <c r="O632" s="17" t="str">
        <f>IF(BITWISE_AND('Raw Data'!$K633, 8192),"X","")</f>
        <v/>
      </c>
      <c r="P632" s="17" t="str">
        <f>IF(BITWISE_AND('Raw Data'!$K633, 2048),"X","")</f>
        <v/>
      </c>
      <c r="Q632" s="17" t="str">
        <f>IF(BITWISE_AND('Raw Data'!$K633, 64),"X","")</f>
        <v/>
      </c>
      <c r="R632" s="18" t="str">
        <f>IF(BITWISE_AND('Raw Data'!$L633, 1024),"X","")</f>
        <v/>
      </c>
      <c r="S632" s="18" t="str">
        <f>IF(BITWISE_AND('Raw Data'!$L633, 512),"X","")</f>
        <v/>
      </c>
      <c r="T632" s="18" t="str">
        <f>IF(BITWISE_AND('Raw Data'!$L633, 256),"X","")</f>
        <v/>
      </c>
      <c r="U632" s="18" t="str">
        <f>IF(BITWISE_AND('Raw Data'!$L633, 64),"X","")</f>
        <v/>
      </c>
      <c r="V632" s="18" t="str">
        <f>IF(BITWISE_AND('Raw Data'!$L633, 2),"X","")</f>
        <v/>
      </c>
      <c r="W632" s="18" t="str">
        <f>IF(BITWISE_AND('Raw Data'!$L633, 1),"X","")</f>
        <v/>
      </c>
      <c r="X632" s="19" t="str">
        <f>IF(BITWISE_AND('Raw Data'!M633, 1),"Bat Voltage", IF(BITWISE_AND('Raw Data'!M633, 2), "Charge Current", IF(BITWISE_AND('Raw Data'!M633, 4),"Input Ilim", IF(BITWISE_AND('Raw Data'!M633, 8), "Input UV", "none"))))</f>
        <v>none</v>
      </c>
    </row>
    <row r="633" spans="1:24" x14ac:dyDescent="0.2">
      <c r="A633" s="15">
        <f>A632+TIME(0,0,'Raw Data'!B633)</f>
        <v>0</v>
      </c>
      <c r="B633" s="4">
        <f>'Raw Data'!C634*0.025</f>
        <v>0</v>
      </c>
      <c r="C633" s="4">
        <f t="shared" si="30"/>
        <v>0</v>
      </c>
      <c r="D633" s="4">
        <f>'Raw Data'!D634*0.025</f>
        <v>0</v>
      </c>
      <c r="E633" s="4">
        <f t="shared" si="31"/>
        <v>0</v>
      </c>
      <c r="F633" s="4">
        <f>'Raw Data'!E634*0.001648</f>
        <v>0</v>
      </c>
      <c r="G633" s="4">
        <f>'Raw Data'!F634*0.001648</f>
        <v>0</v>
      </c>
      <c r="H633" s="4">
        <f>'Raw Data'!G634*6*0.000128176</f>
        <v>0</v>
      </c>
      <c r="I633" s="4">
        <f>'Raw Data'!H634*0.000732435</f>
        <v>0</v>
      </c>
      <c r="J633" s="4">
        <f t="shared" si="29"/>
        <v>0</v>
      </c>
      <c r="K633" s="36">
        <f>IF(('Raw Data'!I634-16384)/32768&lt;0,0,('Raw Data'!I634-16384)/32768)</f>
        <v>0</v>
      </c>
      <c r="L633" s="4">
        <f>IF(('Raw Data'!J634-12010)/45.6=-263.377192982456,0,('Raw Data'!J634-12010)/45.6)</f>
        <v>0</v>
      </c>
      <c r="M633" s="16">
        <f>'Raw Data'!N634*2^-8</f>
        <v>0</v>
      </c>
      <c r="N633" s="16">
        <f>'Raw Data'!O634*2^-8</f>
        <v>0</v>
      </c>
      <c r="O633" s="17" t="str">
        <f>IF(BITWISE_AND('Raw Data'!$K634, 8192),"X","")</f>
        <v/>
      </c>
      <c r="P633" s="17" t="str">
        <f>IF(BITWISE_AND('Raw Data'!$K634, 2048),"X","")</f>
        <v/>
      </c>
      <c r="Q633" s="17" t="str">
        <f>IF(BITWISE_AND('Raw Data'!$K634, 64),"X","")</f>
        <v/>
      </c>
      <c r="R633" s="18" t="str">
        <f>IF(BITWISE_AND('Raw Data'!$L634, 1024),"X","")</f>
        <v/>
      </c>
      <c r="S633" s="18" t="str">
        <f>IF(BITWISE_AND('Raw Data'!$L634, 512),"X","")</f>
        <v/>
      </c>
      <c r="T633" s="18" t="str">
        <f>IF(BITWISE_AND('Raw Data'!$L634, 256),"X","")</f>
        <v/>
      </c>
      <c r="U633" s="18" t="str">
        <f>IF(BITWISE_AND('Raw Data'!$L634, 64),"X","")</f>
        <v/>
      </c>
      <c r="V633" s="18" t="str">
        <f>IF(BITWISE_AND('Raw Data'!$L634, 2),"X","")</f>
        <v/>
      </c>
      <c r="W633" s="18" t="str">
        <f>IF(BITWISE_AND('Raw Data'!$L634, 1),"X","")</f>
        <v/>
      </c>
      <c r="X633" s="19" t="str">
        <f>IF(BITWISE_AND('Raw Data'!M634, 1),"Bat Voltage", IF(BITWISE_AND('Raw Data'!M634, 2), "Charge Current", IF(BITWISE_AND('Raw Data'!M634, 4),"Input Ilim", IF(BITWISE_AND('Raw Data'!M634, 8), "Input UV", "none"))))</f>
        <v>none</v>
      </c>
    </row>
    <row r="634" spans="1:24" x14ac:dyDescent="0.2">
      <c r="A634" s="15">
        <f>A633+TIME(0,0,'Raw Data'!B634)</f>
        <v>0</v>
      </c>
      <c r="B634" s="4">
        <f>'Raw Data'!C635*0.025</f>
        <v>0</v>
      </c>
      <c r="C634" s="4">
        <f t="shared" si="30"/>
        <v>0</v>
      </c>
      <c r="D634" s="4">
        <f>'Raw Data'!D635*0.025</f>
        <v>0</v>
      </c>
      <c r="E634" s="4">
        <f t="shared" si="31"/>
        <v>0</v>
      </c>
      <c r="F634" s="4">
        <f>'Raw Data'!E635*0.001648</f>
        <v>0</v>
      </c>
      <c r="G634" s="4">
        <f>'Raw Data'!F635*0.001648</f>
        <v>0</v>
      </c>
      <c r="H634" s="4">
        <f>'Raw Data'!G635*6*0.000128176</f>
        <v>0</v>
      </c>
      <c r="I634" s="4">
        <f>'Raw Data'!H635*0.000732435</f>
        <v>0</v>
      </c>
      <c r="J634" s="4">
        <f t="shared" si="29"/>
        <v>0</v>
      </c>
      <c r="K634" s="36">
        <f>IF(('Raw Data'!I635-16384)/32768&lt;0,0,('Raw Data'!I635-16384)/32768)</f>
        <v>0</v>
      </c>
      <c r="L634" s="4">
        <f>IF(('Raw Data'!J635-12010)/45.6=-263.377192982456,0,('Raw Data'!J635-12010)/45.6)</f>
        <v>0</v>
      </c>
      <c r="M634" s="16">
        <f>'Raw Data'!N635*2^-8</f>
        <v>0</v>
      </c>
      <c r="N634" s="16">
        <f>'Raw Data'!O635*2^-8</f>
        <v>0</v>
      </c>
      <c r="O634" s="17" t="str">
        <f>IF(BITWISE_AND('Raw Data'!$K635, 8192),"X","")</f>
        <v/>
      </c>
      <c r="P634" s="17" t="str">
        <f>IF(BITWISE_AND('Raw Data'!$K635, 2048),"X","")</f>
        <v/>
      </c>
      <c r="Q634" s="17" t="str">
        <f>IF(BITWISE_AND('Raw Data'!$K635, 64),"X","")</f>
        <v/>
      </c>
      <c r="R634" s="18" t="str">
        <f>IF(BITWISE_AND('Raw Data'!$L635, 1024),"X","")</f>
        <v/>
      </c>
      <c r="S634" s="18" t="str">
        <f>IF(BITWISE_AND('Raw Data'!$L635, 512),"X","")</f>
        <v/>
      </c>
      <c r="T634" s="18" t="str">
        <f>IF(BITWISE_AND('Raw Data'!$L635, 256),"X","")</f>
        <v/>
      </c>
      <c r="U634" s="18" t="str">
        <f>IF(BITWISE_AND('Raw Data'!$L635, 64),"X","")</f>
        <v/>
      </c>
      <c r="V634" s="18" t="str">
        <f>IF(BITWISE_AND('Raw Data'!$L635, 2),"X","")</f>
        <v/>
      </c>
      <c r="W634" s="18" t="str">
        <f>IF(BITWISE_AND('Raw Data'!$L635, 1),"X","")</f>
        <v/>
      </c>
      <c r="X634" s="19" t="str">
        <f>IF(BITWISE_AND('Raw Data'!M635, 1),"Bat Voltage", IF(BITWISE_AND('Raw Data'!M635, 2), "Charge Current", IF(BITWISE_AND('Raw Data'!M635, 4),"Input Ilim", IF(BITWISE_AND('Raw Data'!M635, 8), "Input UV", "none"))))</f>
        <v>none</v>
      </c>
    </row>
    <row r="635" spans="1:24" x14ac:dyDescent="0.2">
      <c r="A635" s="15">
        <f>A634+TIME(0,0,'Raw Data'!B635)</f>
        <v>0</v>
      </c>
      <c r="B635" s="4">
        <f>'Raw Data'!C636*0.025</f>
        <v>0</v>
      </c>
      <c r="C635" s="4">
        <f t="shared" si="30"/>
        <v>0</v>
      </c>
      <c r="D635" s="4">
        <f>'Raw Data'!D636*0.025</f>
        <v>0</v>
      </c>
      <c r="E635" s="4">
        <f t="shared" si="31"/>
        <v>0</v>
      </c>
      <c r="F635" s="4">
        <f>'Raw Data'!E636*0.001648</f>
        <v>0</v>
      </c>
      <c r="G635" s="4">
        <f>'Raw Data'!F636*0.001648</f>
        <v>0</v>
      </c>
      <c r="H635" s="4">
        <f>'Raw Data'!G636*6*0.000128176</f>
        <v>0</v>
      </c>
      <c r="I635" s="4">
        <f>'Raw Data'!H636*0.000732435</f>
        <v>0</v>
      </c>
      <c r="J635" s="4">
        <f t="shared" si="29"/>
        <v>0</v>
      </c>
      <c r="K635" s="36">
        <f>IF(('Raw Data'!I636-16384)/32768&lt;0,0,('Raw Data'!I636-16384)/32768)</f>
        <v>0</v>
      </c>
      <c r="L635" s="4">
        <f>IF(('Raw Data'!J636-12010)/45.6=-263.377192982456,0,('Raw Data'!J636-12010)/45.6)</f>
        <v>0</v>
      </c>
      <c r="M635" s="16">
        <f>'Raw Data'!N636*2^-8</f>
        <v>0</v>
      </c>
      <c r="N635" s="16">
        <f>'Raw Data'!O636*2^-8</f>
        <v>0</v>
      </c>
      <c r="O635" s="17" t="str">
        <f>IF(BITWISE_AND('Raw Data'!$K636, 8192),"X","")</f>
        <v/>
      </c>
      <c r="P635" s="17" t="str">
        <f>IF(BITWISE_AND('Raw Data'!$K636, 2048),"X","")</f>
        <v/>
      </c>
      <c r="Q635" s="17" t="str">
        <f>IF(BITWISE_AND('Raw Data'!$K636, 64),"X","")</f>
        <v/>
      </c>
      <c r="R635" s="18" t="str">
        <f>IF(BITWISE_AND('Raw Data'!$L636, 1024),"X","")</f>
        <v/>
      </c>
      <c r="S635" s="18" t="str">
        <f>IF(BITWISE_AND('Raw Data'!$L636, 512),"X","")</f>
        <v/>
      </c>
      <c r="T635" s="18" t="str">
        <f>IF(BITWISE_AND('Raw Data'!$L636, 256),"X","")</f>
        <v/>
      </c>
      <c r="U635" s="18" t="str">
        <f>IF(BITWISE_AND('Raw Data'!$L636, 64),"X","")</f>
        <v/>
      </c>
      <c r="V635" s="18" t="str">
        <f>IF(BITWISE_AND('Raw Data'!$L636, 2),"X","")</f>
        <v/>
      </c>
      <c r="W635" s="18" t="str">
        <f>IF(BITWISE_AND('Raw Data'!$L636, 1),"X","")</f>
        <v/>
      </c>
      <c r="X635" s="19" t="str">
        <f>IF(BITWISE_AND('Raw Data'!M636, 1),"Bat Voltage", IF(BITWISE_AND('Raw Data'!M636, 2), "Charge Current", IF(BITWISE_AND('Raw Data'!M636, 4),"Input Ilim", IF(BITWISE_AND('Raw Data'!M636, 8), "Input UV", "none"))))</f>
        <v>none</v>
      </c>
    </row>
    <row r="636" spans="1:24" x14ac:dyDescent="0.2">
      <c r="A636" s="15">
        <f>A635+TIME(0,0,'Raw Data'!B636)</f>
        <v>0</v>
      </c>
      <c r="B636" s="4">
        <f>'Raw Data'!C637*0.025</f>
        <v>0</v>
      </c>
      <c r="C636" s="4">
        <f t="shared" si="30"/>
        <v>0</v>
      </c>
      <c r="D636" s="4">
        <f>'Raw Data'!D637*0.025</f>
        <v>0</v>
      </c>
      <c r="E636" s="4">
        <f t="shared" si="31"/>
        <v>0</v>
      </c>
      <c r="F636" s="4">
        <f>'Raw Data'!E637*0.001648</f>
        <v>0</v>
      </c>
      <c r="G636" s="4">
        <f>'Raw Data'!F637*0.001648</f>
        <v>0</v>
      </c>
      <c r="H636" s="4">
        <f>'Raw Data'!G637*6*0.000128176</f>
        <v>0</v>
      </c>
      <c r="I636" s="4">
        <f>'Raw Data'!H637*0.000732435</f>
        <v>0</v>
      </c>
      <c r="J636" s="4">
        <f t="shared" si="29"/>
        <v>0</v>
      </c>
      <c r="K636" s="36">
        <f>IF(('Raw Data'!I637-16384)/32768&lt;0,0,('Raw Data'!I637-16384)/32768)</f>
        <v>0</v>
      </c>
      <c r="L636" s="4">
        <f>IF(('Raw Data'!J637-12010)/45.6=-263.377192982456,0,('Raw Data'!J637-12010)/45.6)</f>
        <v>0</v>
      </c>
      <c r="M636" s="16">
        <f>'Raw Data'!N637*2^-8</f>
        <v>0</v>
      </c>
      <c r="N636" s="16">
        <f>'Raw Data'!O637*2^-8</f>
        <v>0</v>
      </c>
      <c r="O636" s="17" t="str">
        <f>IF(BITWISE_AND('Raw Data'!$K637, 8192),"X","")</f>
        <v/>
      </c>
      <c r="P636" s="17" t="str">
        <f>IF(BITWISE_AND('Raw Data'!$K637, 2048),"X","")</f>
        <v/>
      </c>
      <c r="Q636" s="17" t="str">
        <f>IF(BITWISE_AND('Raw Data'!$K637, 64),"X","")</f>
        <v/>
      </c>
      <c r="R636" s="18" t="str">
        <f>IF(BITWISE_AND('Raw Data'!$L637, 1024),"X","")</f>
        <v/>
      </c>
      <c r="S636" s="18" t="str">
        <f>IF(BITWISE_AND('Raw Data'!$L637, 512),"X","")</f>
        <v/>
      </c>
      <c r="T636" s="18" t="str">
        <f>IF(BITWISE_AND('Raw Data'!$L637, 256),"X","")</f>
        <v/>
      </c>
      <c r="U636" s="18" t="str">
        <f>IF(BITWISE_AND('Raw Data'!$L637, 64),"X","")</f>
        <v/>
      </c>
      <c r="V636" s="18" t="str">
        <f>IF(BITWISE_AND('Raw Data'!$L637, 2),"X","")</f>
        <v/>
      </c>
      <c r="W636" s="18" t="str">
        <f>IF(BITWISE_AND('Raw Data'!$L637, 1),"X","")</f>
        <v/>
      </c>
      <c r="X636" s="19" t="str">
        <f>IF(BITWISE_AND('Raw Data'!M637, 1),"Bat Voltage", IF(BITWISE_AND('Raw Data'!M637, 2), "Charge Current", IF(BITWISE_AND('Raw Data'!M637, 4),"Input Ilim", IF(BITWISE_AND('Raw Data'!M637, 8), "Input UV", "none"))))</f>
        <v>none</v>
      </c>
    </row>
    <row r="637" spans="1:24" x14ac:dyDescent="0.2">
      <c r="A637" s="15">
        <f>A636+TIME(0,0,'Raw Data'!B637)</f>
        <v>0</v>
      </c>
      <c r="B637" s="4">
        <f>'Raw Data'!C638*0.025</f>
        <v>0</v>
      </c>
      <c r="C637" s="4">
        <f t="shared" si="30"/>
        <v>0</v>
      </c>
      <c r="D637" s="4">
        <f>'Raw Data'!D638*0.025</f>
        <v>0</v>
      </c>
      <c r="E637" s="4">
        <f t="shared" si="31"/>
        <v>0</v>
      </c>
      <c r="F637" s="4">
        <f>'Raw Data'!E638*0.001648</f>
        <v>0</v>
      </c>
      <c r="G637" s="4">
        <f>'Raw Data'!F638*0.001648</f>
        <v>0</v>
      </c>
      <c r="H637" s="4">
        <f>'Raw Data'!G638*6*0.000128176</f>
        <v>0</v>
      </c>
      <c r="I637" s="4">
        <f>'Raw Data'!H638*0.000732435</f>
        <v>0</v>
      </c>
      <c r="J637" s="4">
        <f t="shared" si="29"/>
        <v>0</v>
      </c>
      <c r="K637" s="36">
        <f>IF(('Raw Data'!I638-16384)/32768&lt;0,0,('Raw Data'!I638-16384)/32768)</f>
        <v>0</v>
      </c>
      <c r="L637" s="4">
        <f>IF(('Raw Data'!J638-12010)/45.6=-263.377192982456,0,('Raw Data'!J638-12010)/45.6)</f>
        <v>0</v>
      </c>
      <c r="M637" s="16">
        <f>'Raw Data'!N638*2^-8</f>
        <v>0</v>
      </c>
      <c r="N637" s="16">
        <f>'Raw Data'!O638*2^-8</f>
        <v>0</v>
      </c>
      <c r="O637" s="17" t="str">
        <f>IF(BITWISE_AND('Raw Data'!$K638, 8192),"X","")</f>
        <v/>
      </c>
      <c r="P637" s="17" t="str">
        <f>IF(BITWISE_AND('Raw Data'!$K638, 2048),"X","")</f>
        <v/>
      </c>
      <c r="Q637" s="17" t="str">
        <f>IF(BITWISE_AND('Raw Data'!$K638, 64),"X","")</f>
        <v/>
      </c>
      <c r="R637" s="18" t="str">
        <f>IF(BITWISE_AND('Raw Data'!$L638, 1024),"X","")</f>
        <v/>
      </c>
      <c r="S637" s="18" t="str">
        <f>IF(BITWISE_AND('Raw Data'!$L638, 512),"X","")</f>
        <v/>
      </c>
      <c r="T637" s="18" t="str">
        <f>IF(BITWISE_AND('Raw Data'!$L638, 256),"X","")</f>
        <v/>
      </c>
      <c r="U637" s="18" t="str">
        <f>IF(BITWISE_AND('Raw Data'!$L638, 64),"X","")</f>
        <v/>
      </c>
      <c r="V637" s="18" t="str">
        <f>IF(BITWISE_AND('Raw Data'!$L638, 2),"X","")</f>
        <v/>
      </c>
      <c r="W637" s="18" t="str">
        <f>IF(BITWISE_AND('Raw Data'!$L638, 1),"X","")</f>
        <v/>
      </c>
      <c r="X637" s="19" t="str">
        <f>IF(BITWISE_AND('Raw Data'!M638, 1),"Bat Voltage", IF(BITWISE_AND('Raw Data'!M638, 2), "Charge Current", IF(BITWISE_AND('Raw Data'!M638, 4),"Input Ilim", IF(BITWISE_AND('Raw Data'!M638, 8), "Input UV", "none"))))</f>
        <v>none</v>
      </c>
    </row>
    <row r="638" spans="1:24" x14ac:dyDescent="0.2">
      <c r="A638" s="15">
        <f>A637+TIME(0,0,'Raw Data'!B638)</f>
        <v>0</v>
      </c>
      <c r="B638" s="4">
        <f>'Raw Data'!C639*0.025</f>
        <v>0</v>
      </c>
      <c r="C638" s="4">
        <f t="shared" si="30"/>
        <v>0</v>
      </c>
      <c r="D638" s="4">
        <f>'Raw Data'!D639*0.025</f>
        <v>0</v>
      </c>
      <c r="E638" s="4">
        <f t="shared" si="31"/>
        <v>0</v>
      </c>
      <c r="F638" s="4">
        <f>'Raw Data'!E639*0.001648</f>
        <v>0</v>
      </c>
      <c r="G638" s="4">
        <f>'Raw Data'!F639*0.001648</f>
        <v>0</v>
      </c>
      <c r="H638" s="4">
        <f>'Raw Data'!G639*6*0.000128176</f>
        <v>0</v>
      </c>
      <c r="I638" s="4">
        <f>'Raw Data'!H639*0.000732435</f>
        <v>0</v>
      </c>
      <c r="J638" s="4">
        <f t="shared" si="29"/>
        <v>0</v>
      </c>
      <c r="K638" s="36">
        <f>IF(('Raw Data'!I639-16384)/32768&lt;0,0,('Raw Data'!I639-16384)/32768)</f>
        <v>0</v>
      </c>
      <c r="L638" s="4">
        <f>IF(('Raw Data'!J639-12010)/45.6=-263.377192982456,0,('Raw Data'!J639-12010)/45.6)</f>
        <v>0</v>
      </c>
      <c r="M638" s="16">
        <f>'Raw Data'!N639*2^-8</f>
        <v>0</v>
      </c>
      <c r="N638" s="16">
        <f>'Raw Data'!O639*2^-8</f>
        <v>0</v>
      </c>
      <c r="O638" s="17" t="str">
        <f>IF(BITWISE_AND('Raw Data'!$K639, 8192),"X","")</f>
        <v/>
      </c>
      <c r="P638" s="17" t="str">
        <f>IF(BITWISE_AND('Raw Data'!$K639, 2048),"X","")</f>
        <v/>
      </c>
      <c r="Q638" s="17" t="str">
        <f>IF(BITWISE_AND('Raw Data'!$K639, 64),"X","")</f>
        <v/>
      </c>
      <c r="R638" s="18" t="str">
        <f>IF(BITWISE_AND('Raw Data'!$L639, 1024),"X","")</f>
        <v/>
      </c>
      <c r="S638" s="18" t="str">
        <f>IF(BITWISE_AND('Raw Data'!$L639, 512),"X","")</f>
        <v/>
      </c>
      <c r="T638" s="18" t="str">
        <f>IF(BITWISE_AND('Raw Data'!$L639, 256),"X","")</f>
        <v/>
      </c>
      <c r="U638" s="18" t="str">
        <f>IF(BITWISE_AND('Raw Data'!$L639, 64),"X","")</f>
        <v/>
      </c>
      <c r="V638" s="18" t="str">
        <f>IF(BITWISE_AND('Raw Data'!$L639, 2),"X","")</f>
        <v/>
      </c>
      <c r="W638" s="18" t="str">
        <f>IF(BITWISE_AND('Raw Data'!$L639, 1),"X","")</f>
        <v/>
      </c>
      <c r="X638" s="19" t="str">
        <f>IF(BITWISE_AND('Raw Data'!M639, 1),"Bat Voltage", IF(BITWISE_AND('Raw Data'!M639, 2), "Charge Current", IF(BITWISE_AND('Raw Data'!M639, 4),"Input Ilim", IF(BITWISE_AND('Raw Data'!M639, 8), "Input UV", "none"))))</f>
        <v>none</v>
      </c>
    </row>
    <row r="639" spans="1:24" x14ac:dyDescent="0.2">
      <c r="A639" s="15">
        <f>A638+TIME(0,0,'Raw Data'!B639)</f>
        <v>0</v>
      </c>
      <c r="B639" s="4">
        <f>'Raw Data'!C640*0.025</f>
        <v>0</v>
      </c>
      <c r="C639" s="4">
        <f t="shared" si="30"/>
        <v>0</v>
      </c>
      <c r="D639" s="4">
        <f>'Raw Data'!D640*0.025</f>
        <v>0</v>
      </c>
      <c r="E639" s="4">
        <f t="shared" si="31"/>
        <v>0</v>
      </c>
      <c r="F639" s="4">
        <f>'Raw Data'!E640*0.001648</f>
        <v>0</v>
      </c>
      <c r="G639" s="4">
        <f>'Raw Data'!F640*0.001648</f>
        <v>0</v>
      </c>
      <c r="H639" s="4">
        <f>'Raw Data'!G640*6*0.000128176</f>
        <v>0</v>
      </c>
      <c r="I639" s="4">
        <f>'Raw Data'!H640*0.000732435</f>
        <v>0</v>
      </c>
      <c r="J639" s="4">
        <f t="shared" si="29"/>
        <v>0</v>
      </c>
      <c r="K639" s="36">
        <f>IF(('Raw Data'!I640-16384)/32768&lt;0,0,('Raw Data'!I640-16384)/32768)</f>
        <v>0</v>
      </c>
      <c r="L639" s="4">
        <f>IF(('Raw Data'!J640-12010)/45.6=-263.377192982456,0,('Raw Data'!J640-12010)/45.6)</f>
        <v>0</v>
      </c>
      <c r="M639" s="16">
        <f>'Raw Data'!N640*2^-8</f>
        <v>0</v>
      </c>
      <c r="N639" s="16">
        <f>'Raw Data'!O640*2^-8</f>
        <v>0</v>
      </c>
      <c r="O639" s="17" t="str">
        <f>IF(BITWISE_AND('Raw Data'!$K640, 8192),"X","")</f>
        <v/>
      </c>
      <c r="P639" s="17" t="str">
        <f>IF(BITWISE_AND('Raw Data'!$K640, 2048),"X","")</f>
        <v/>
      </c>
      <c r="Q639" s="17" t="str">
        <f>IF(BITWISE_AND('Raw Data'!$K640, 64),"X","")</f>
        <v/>
      </c>
      <c r="R639" s="18" t="str">
        <f>IF(BITWISE_AND('Raw Data'!$L640, 1024),"X","")</f>
        <v/>
      </c>
      <c r="S639" s="18" t="str">
        <f>IF(BITWISE_AND('Raw Data'!$L640, 512),"X","")</f>
        <v/>
      </c>
      <c r="T639" s="18" t="str">
        <f>IF(BITWISE_AND('Raw Data'!$L640, 256),"X","")</f>
        <v/>
      </c>
      <c r="U639" s="18" t="str">
        <f>IF(BITWISE_AND('Raw Data'!$L640, 64),"X","")</f>
        <v/>
      </c>
      <c r="V639" s="18" t="str">
        <f>IF(BITWISE_AND('Raw Data'!$L640, 2),"X","")</f>
        <v/>
      </c>
      <c r="W639" s="18" t="str">
        <f>IF(BITWISE_AND('Raw Data'!$L640, 1),"X","")</f>
        <v/>
      </c>
      <c r="X639" s="19" t="str">
        <f>IF(BITWISE_AND('Raw Data'!M640, 1),"Bat Voltage", IF(BITWISE_AND('Raw Data'!M640, 2), "Charge Current", IF(BITWISE_AND('Raw Data'!M640, 4),"Input Ilim", IF(BITWISE_AND('Raw Data'!M640, 8), "Input UV", "none"))))</f>
        <v>none</v>
      </c>
    </row>
    <row r="640" spans="1:24" x14ac:dyDescent="0.2">
      <c r="A640" s="15">
        <f>A639+TIME(0,0,'Raw Data'!B640)</f>
        <v>0</v>
      </c>
      <c r="B640" s="4">
        <f>'Raw Data'!C641*0.025</f>
        <v>0</v>
      </c>
      <c r="C640" s="4">
        <f t="shared" si="30"/>
        <v>0</v>
      </c>
      <c r="D640" s="4">
        <f>'Raw Data'!D641*0.025</f>
        <v>0</v>
      </c>
      <c r="E640" s="4">
        <f t="shared" si="31"/>
        <v>0</v>
      </c>
      <c r="F640" s="4">
        <f>'Raw Data'!E641*0.001648</f>
        <v>0</v>
      </c>
      <c r="G640" s="4">
        <f>'Raw Data'!F641*0.001648</f>
        <v>0</v>
      </c>
      <c r="H640" s="4">
        <f>'Raw Data'!G641*6*0.000128176</f>
        <v>0</v>
      </c>
      <c r="I640" s="4">
        <f>'Raw Data'!H641*0.000732435</f>
        <v>0</v>
      </c>
      <c r="J640" s="4">
        <f t="shared" si="29"/>
        <v>0</v>
      </c>
      <c r="K640" s="36">
        <f>IF(('Raw Data'!I641-16384)/32768&lt;0,0,('Raw Data'!I641-16384)/32768)</f>
        <v>0</v>
      </c>
      <c r="L640" s="4">
        <f>IF(('Raw Data'!J641-12010)/45.6=-263.377192982456,0,('Raw Data'!J641-12010)/45.6)</f>
        <v>0</v>
      </c>
      <c r="M640" s="16">
        <f>'Raw Data'!N641*2^-8</f>
        <v>0</v>
      </c>
      <c r="N640" s="16">
        <f>'Raw Data'!O641*2^-8</f>
        <v>0</v>
      </c>
      <c r="O640" s="17" t="str">
        <f>IF(BITWISE_AND('Raw Data'!$K641, 8192),"X","")</f>
        <v/>
      </c>
      <c r="P640" s="17" t="str">
        <f>IF(BITWISE_AND('Raw Data'!$K641, 2048),"X","")</f>
        <v/>
      </c>
      <c r="Q640" s="17" t="str">
        <f>IF(BITWISE_AND('Raw Data'!$K641, 64),"X","")</f>
        <v/>
      </c>
      <c r="R640" s="18" t="str">
        <f>IF(BITWISE_AND('Raw Data'!$L641, 1024),"X","")</f>
        <v/>
      </c>
      <c r="S640" s="18" t="str">
        <f>IF(BITWISE_AND('Raw Data'!$L641, 512),"X","")</f>
        <v/>
      </c>
      <c r="T640" s="18" t="str">
        <f>IF(BITWISE_AND('Raw Data'!$L641, 256),"X","")</f>
        <v/>
      </c>
      <c r="U640" s="18" t="str">
        <f>IF(BITWISE_AND('Raw Data'!$L641, 64),"X","")</f>
        <v/>
      </c>
      <c r="V640" s="18" t="str">
        <f>IF(BITWISE_AND('Raw Data'!$L641, 2),"X","")</f>
        <v/>
      </c>
      <c r="W640" s="18" t="str">
        <f>IF(BITWISE_AND('Raw Data'!$L641, 1),"X","")</f>
        <v/>
      </c>
      <c r="X640" s="19" t="str">
        <f>IF(BITWISE_AND('Raw Data'!M641, 1),"Bat Voltage", IF(BITWISE_AND('Raw Data'!M641, 2), "Charge Current", IF(BITWISE_AND('Raw Data'!M641, 4),"Input Ilim", IF(BITWISE_AND('Raw Data'!M641, 8), "Input UV", "none"))))</f>
        <v>none</v>
      </c>
    </row>
    <row r="641" spans="1:24" x14ac:dyDescent="0.2">
      <c r="A641" s="15">
        <f>A640+TIME(0,0,'Raw Data'!B641)</f>
        <v>0</v>
      </c>
      <c r="B641" s="4">
        <f>'Raw Data'!C642*0.025</f>
        <v>0</v>
      </c>
      <c r="C641" s="4">
        <f t="shared" si="30"/>
        <v>0</v>
      </c>
      <c r="D641" s="4">
        <f>'Raw Data'!D642*0.025</f>
        <v>0</v>
      </c>
      <c r="E641" s="4">
        <f t="shared" si="31"/>
        <v>0</v>
      </c>
      <c r="F641" s="4">
        <f>'Raw Data'!E642*0.001648</f>
        <v>0</v>
      </c>
      <c r="G641" s="4">
        <f>'Raw Data'!F642*0.001648</f>
        <v>0</v>
      </c>
      <c r="H641" s="4">
        <f>'Raw Data'!G642*6*0.000128176</f>
        <v>0</v>
      </c>
      <c r="I641" s="4">
        <f>'Raw Data'!H642*0.000732435</f>
        <v>0</v>
      </c>
      <c r="J641" s="4">
        <f t="shared" si="29"/>
        <v>0</v>
      </c>
      <c r="K641" s="36">
        <f>IF(('Raw Data'!I642-16384)/32768&lt;0,0,('Raw Data'!I642-16384)/32768)</f>
        <v>0</v>
      </c>
      <c r="L641" s="4">
        <f>IF(('Raw Data'!J642-12010)/45.6=-263.377192982456,0,('Raw Data'!J642-12010)/45.6)</f>
        <v>0</v>
      </c>
      <c r="M641" s="16">
        <f>'Raw Data'!N642*2^-8</f>
        <v>0</v>
      </c>
      <c r="N641" s="16">
        <f>'Raw Data'!O642*2^-8</f>
        <v>0</v>
      </c>
      <c r="O641" s="17" t="str">
        <f>IF(BITWISE_AND('Raw Data'!$K642, 8192),"X","")</f>
        <v/>
      </c>
      <c r="P641" s="17" t="str">
        <f>IF(BITWISE_AND('Raw Data'!$K642, 2048),"X","")</f>
        <v/>
      </c>
      <c r="Q641" s="17" t="str">
        <f>IF(BITWISE_AND('Raw Data'!$K642, 64),"X","")</f>
        <v/>
      </c>
      <c r="R641" s="18" t="str">
        <f>IF(BITWISE_AND('Raw Data'!$L642, 1024),"X","")</f>
        <v/>
      </c>
      <c r="S641" s="18" t="str">
        <f>IF(BITWISE_AND('Raw Data'!$L642, 512),"X","")</f>
        <v/>
      </c>
      <c r="T641" s="18" t="str">
        <f>IF(BITWISE_AND('Raw Data'!$L642, 256),"X","")</f>
        <v/>
      </c>
      <c r="U641" s="18" t="str">
        <f>IF(BITWISE_AND('Raw Data'!$L642, 64),"X","")</f>
        <v/>
      </c>
      <c r="V641" s="18" t="str">
        <f>IF(BITWISE_AND('Raw Data'!$L642, 2),"X","")</f>
        <v/>
      </c>
      <c r="W641" s="18" t="str">
        <f>IF(BITWISE_AND('Raw Data'!$L642, 1),"X","")</f>
        <v/>
      </c>
      <c r="X641" s="19" t="str">
        <f>IF(BITWISE_AND('Raw Data'!M642, 1),"Bat Voltage", IF(BITWISE_AND('Raw Data'!M642, 2), "Charge Current", IF(BITWISE_AND('Raw Data'!M642, 4),"Input Ilim", IF(BITWISE_AND('Raw Data'!M642, 8), "Input UV", "none"))))</f>
        <v>none</v>
      </c>
    </row>
    <row r="642" spans="1:24" x14ac:dyDescent="0.2">
      <c r="A642" s="15">
        <f>A641+TIME(0,0,'Raw Data'!B642)</f>
        <v>0</v>
      </c>
      <c r="B642" s="4">
        <f>'Raw Data'!C643*0.025</f>
        <v>0</v>
      </c>
      <c r="C642" s="4">
        <f t="shared" si="30"/>
        <v>0</v>
      </c>
      <c r="D642" s="4">
        <f>'Raw Data'!D643*0.025</f>
        <v>0</v>
      </c>
      <c r="E642" s="4">
        <f t="shared" si="31"/>
        <v>0</v>
      </c>
      <c r="F642" s="4">
        <f>'Raw Data'!E643*0.001648</f>
        <v>0</v>
      </c>
      <c r="G642" s="4">
        <f>'Raw Data'!F643*0.001648</f>
        <v>0</v>
      </c>
      <c r="H642" s="4">
        <f>'Raw Data'!G643*6*0.000128176</f>
        <v>0</v>
      </c>
      <c r="I642" s="4">
        <f>'Raw Data'!H643*0.000732435</f>
        <v>0</v>
      </c>
      <c r="J642" s="4">
        <f t="shared" si="29"/>
        <v>0</v>
      </c>
      <c r="K642" s="36">
        <f>IF(('Raw Data'!I643-16384)/32768&lt;0,0,('Raw Data'!I643-16384)/32768)</f>
        <v>0</v>
      </c>
      <c r="L642" s="4">
        <f>IF(('Raw Data'!J643-12010)/45.6=-263.377192982456,0,('Raw Data'!J643-12010)/45.6)</f>
        <v>0</v>
      </c>
      <c r="M642" s="16">
        <f>'Raw Data'!N643*2^-8</f>
        <v>0</v>
      </c>
      <c r="N642" s="16">
        <f>'Raw Data'!O643*2^-8</f>
        <v>0</v>
      </c>
      <c r="O642" s="17" t="str">
        <f>IF(BITWISE_AND('Raw Data'!$K643, 8192),"X","")</f>
        <v/>
      </c>
      <c r="P642" s="17" t="str">
        <f>IF(BITWISE_AND('Raw Data'!$K643, 2048),"X","")</f>
        <v/>
      </c>
      <c r="Q642" s="17" t="str">
        <f>IF(BITWISE_AND('Raw Data'!$K643, 64),"X","")</f>
        <v/>
      </c>
      <c r="R642" s="18" t="str">
        <f>IF(BITWISE_AND('Raw Data'!$L643, 1024),"X","")</f>
        <v/>
      </c>
      <c r="S642" s="18" t="str">
        <f>IF(BITWISE_AND('Raw Data'!$L643, 512),"X","")</f>
        <v/>
      </c>
      <c r="T642" s="18" t="str">
        <f>IF(BITWISE_AND('Raw Data'!$L643, 256),"X","")</f>
        <v/>
      </c>
      <c r="U642" s="18" t="str">
        <f>IF(BITWISE_AND('Raw Data'!$L643, 64),"X","")</f>
        <v/>
      </c>
      <c r="V642" s="18" t="str">
        <f>IF(BITWISE_AND('Raw Data'!$L643, 2),"X","")</f>
        <v/>
      </c>
      <c r="W642" s="18" t="str">
        <f>IF(BITWISE_AND('Raw Data'!$L643, 1),"X","")</f>
        <v/>
      </c>
      <c r="X642" s="19" t="str">
        <f>IF(BITWISE_AND('Raw Data'!M643, 1),"Bat Voltage", IF(BITWISE_AND('Raw Data'!M643, 2), "Charge Current", IF(BITWISE_AND('Raw Data'!M643, 4),"Input Ilim", IF(BITWISE_AND('Raw Data'!M643, 8), "Input UV", "none"))))</f>
        <v>none</v>
      </c>
    </row>
    <row r="643" spans="1:24" x14ac:dyDescent="0.2">
      <c r="A643" s="15">
        <f>A642+TIME(0,0,'Raw Data'!B643)</f>
        <v>0</v>
      </c>
      <c r="B643" s="4">
        <f>'Raw Data'!C644*0.025</f>
        <v>0</v>
      </c>
      <c r="C643" s="4">
        <f t="shared" si="30"/>
        <v>0</v>
      </c>
      <c r="D643" s="4">
        <f>'Raw Data'!D644*0.025</f>
        <v>0</v>
      </c>
      <c r="E643" s="4">
        <f t="shared" si="31"/>
        <v>0</v>
      </c>
      <c r="F643" s="4">
        <f>'Raw Data'!E644*0.001648</f>
        <v>0</v>
      </c>
      <c r="G643" s="4">
        <f>'Raw Data'!F644*0.001648</f>
        <v>0</v>
      </c>
      <c r="H643" s="4">
        <f>'Raw Data'!G644*6*0.000128176</f>
        <v>0</v>
      </c>
      <c r="I643" s="4">
        <f>'Raw Data'!H644*0.000732435</f>
        <v>0</v>
      </c>
      <c r="J643" s="4">
        <f t="shared" ref="J643:J706" si="32">H643*I643</f>
        <v>0</v>
      </c>
      <c r="K643" s="36">
        <f>IF(('Raw Data'!I644-16384)/32768&lt;0,0,('Raw Data'!I644-16384)/32768)</f>
        <v>0</v>
      </c>
      <c r="L643" s="4">
        <f>IF(('Raw Data'!J644-12010)/45.6=-263.377192982456,0,('Raw Data'!J644-12010)/45.6)</f>
        <v>0</v>
      </c>
      <c r="M643" s="16">
        <f>'Raw Data'!N644*2^-8</f>
        <v>0</v>
      </c>
      <c r="N643" s="16">
        <f>'Raw Data'!O644*2^-8</f>
        <v>0</v>
      </c>
      <c r="O643" s="17" t="str">
        <f>IF(BITWISE_AND('Raw Data'!$K644, 8192),"X","")</f>
        <v/>
      </c>
      <c r="P643" s="17" t="str">
        <f>IF(BITWISE_AND('Raw Data'!$K644, 2048),"X","")</f>
        <v/>
      </c>
      <c r="Q643" s="17" t="str">
        <f>IF(BITWISE_AND('Raw Data'!$K644, 64),"X","")</f>
        <v/>
      </c>
      <c r="R643" s="18" t="str">
        <f>IF(BITWISE_AND('Raw Data'!$L644, 1024),"X","")</f>
        <v/>
      </c>
      <c r="S643" s="18" t="str">
        <f>IF(BITWISE_AND('Raw Data'!$L644, 512),"X","")</f>
        <v/>
      </c>
      <c r="T643" s="18" t="str">
        <f>IF(BITWISE_AND('Raw Data'!$L644, 256),"X","")</f>
        <v/>
      </c>
      <c r="U643" s="18" t="str">
        <f>IF(BITWISE_AND('Raw Data'!$L644, 64),"X","")</f>
        <v/>
      </c>
      <c r="V643" s="18" t="str">
        <f>IF(BITWISE_AND('Raw Data'!$L644, 2),"X","")</f>
        <v/>
      </c>
      <c r="W643" s="18" t="str">
        <f>IF(BITWISE_AND('Raw Data'!$L644, 1),"X","")</f>
        <v/>
      </c>
      <c r="X643" s="19" t="str">
        <f>IF(BITWISE_AND('Raw Data'!M644, 1),"Bat Voltage", IF(BITWISE_AND('Raw Data'!M644, 2), "Charge Current", IF(BITWISE_AND('Raw Data'!M644, 4),"Input Ilim", IF(BITWISE_AND('Raw Data'!M644, 8), "Input UV", "none"))))</f>
        <v>none</v>
      </c>
    </row>
    <row r="644" spans="1:24" x14ac:dyDescent="0.2">
      <c r="A644" s="15">
        <f>A643+TIME(0,0,'Raw Data'!B644)</f>
        <v>0</v>
      </c>
      <c r="B644" s="4">
        <f>'Raw Data'!C645*0.025</f>
        <v>0</v>
      </c>
      <c r="C644" s="4">
        <f t="shared" si="30"/>
        <v>0</v>
      </c>
      <c r="D644" s="4">
        <f>'Raw Data'!D645*0.025</f>
        <v>0</v>
      </c>
      <c r="E644" s="4">
        <f t="shared" si="31"/>
        <v>0</v>
      </c>
      <c r="F644" s="4">
        <f>'Raw Data'!E645*0.001648</f>
        <v>0</v>
      </c>
      <c r="G644" s="4">
        <f>'Raw Data'!F645*0.001648</f>
        <v>0</v>
      </c>
      <c r="H644" s="4">
        <f>'Raw Data'!G645*6*0.000128176</f>
        <v>0</v>
      </c>
      <c r="I644" s="4">
        <f>'Raw Data'!H645*0.000732435</f>
        <v>0</v>
      </c>
      <c r="J644" s="4">
        <f t="shared" si="32"/>
        <v>0</v>
      </c>
      <c r="K644" s="36">
        <f>IF(('Raw Data'!I645-16384)/32768&lt;0,0,('Raw Data'!I645-16384)/32768)</f>
        <v>0</v>
      </c>
      <c r="L644" s="4">
        <f>IF(('Raw Data'!J645-12010)/45.6=-263.377192982456,0,('Raw Data'!J645-12010)/45.6)</f>
        <v>0</v>
      </c>
      <c r="M644" s="16">
        <f>'Raw Data'!N645*2^-8</f>
        <v>0</v>
      </c>
      <c r="N644" s="16">
        <f>'Raw Data'!O645*2^-8</f>
        <v>0</v>
      </c>
      <c r="O644" s="17" t="str">
        <f>IF(BITWISE_AND('Raw Data'!$K645, 8192),"X","")</f>
        <v/>
      </c>
      <c r="P644" s="17" t="str">
        <f>IF(BITWISE_AND('Raw Data'!$K645, 2048),"X","")</f>
        <v/>
      </c>
      <c r="Q644" s="17" t="str">
        <f>IF(BITWISE_AND('Raw Data'!$K645, 64),"X","")</f>
        <v/>
      </c>
      <c r="R644" s="18" t="str">
        <f>IF(BITWISE_AND('Raw Data'!$L645, 1024),"X","")</f>
        <v/>
      </c>
      <c r="S644" s="18" t="str">
        <f>IF(BITWISE_AND('Raw Data'!$L645, 512),"X","")</f>
        <v/>
      </c>
      <c r="T644" s="18" t="str">
        <f>IF(BITWISE_AND('Raw Data'!$L645, 256),"X","")</f>
        <v/>
      </c>
      <c r="U644" s="18" t="str">
        <f>IF(BITWISE_AND('Raw Data'!$L645, 64),"X","")</f>
        <v/>
      </c>
      <c r="V644" s="18" t="str">
        <f>IF(BITWISE_AND('Raw Data'!$L645, 2),"X","")</f>
        <v/>
      </c>
      <c r="W644" s="18" t="str">
        <f>IF(BITWISE_AND('Raw Data'!$L645, 1),"X","")</f>
        <v/>
      </c>
      <c r="X644" s="19" t="str">
        <f>IF(BITWISE_AND('Raw Data'!M645, 1),"Bat Voltage", IF(BITWISE_AND('Raw Data'!M645, 2), "Charge Current", IF(BITWISE_AND('Raw Data'!M645, 4),"Input Ilim", IF(BITWISE_AND('Raw Data'!M645, 8), "Input UV", "none"))))</f>
        <v>none</v>
      </c>
    </row>
    <row r="645" spans="1:24" x14ac:dyDescent="0.2">
      <c r="A645" s="15">
        <f>A644+TIME(0,0,'Raw Data'!B645)</f>
        <v>0</v>
      </c>
      <c r="B645" s="4">
        <f>'Raw Data'!C646*0.025</f>
        <v>0</v>
      </c>
      <c r="C645" s="4">
        <f t="shared" si="30"/>
        <v>0</v>
      </c>
      <c r="D645" s="4">
        <f>'Raw Data'!D646*0.025</f>
        <v>0</v>
      </c>
      <c r="E645" s="4">
        <f t="shared" si="31"/>
        <v>0</v>
      </c>
      <c r="F645" s="4">
        <f>'Raw Data'!E646*0.001648</f>
        <v>0</v>
      </c>
      <c r="G645" s="4">
        <f>'Raw Data'!F646*0.001648</f>
        <v>0</v>
      </c>
      <c r="H645" s="4">
        <f>'Raw Data'!G646*6*0.000128176</f>
        <v>0</v>
      </c>
      <c r="I645" s="4">
        <f>'Raw Data'!H646*0.000732435</f>
        <v>0</v>
      </c>
      <c r="J645" s="4">
        <f t="shared" si="32"/>
        <v>0</v>
      </c>
      <c r="K645" s="36">
        <f>IF(('Raw Data'!I646-16384)/32768&lt;0,0,('Raw Data'!I646-16384)/32768)</f>
        <v>0</v>
      </c>
      <c r="L645" s="4">
        <f>IF(('Raw Data'!J646-12010)/45.6=-263.377192982456,0,('Raw Data'!J646-12010)/45.6)</f>
        <v>0</v>
      </c>
      <c r="M645" s="16">
        <f>'Raw Data'!N646*2^-8</f>
        <v>0</v>
      </c>
      <c r="N645" s="16">
        <f>'Raw Data'!O646*2^-8</f>
        <v>0</v>
      </c>
      <c r="O645" s="17" t="str">
        <f>IF(BITWISE_AND('Raw Data'!$K646, 8192),"X","")</f>
        <v/>
      </c>
      <c r="P645" s="17" t="str">
        <f>IF(BITWISE_AND('Raw Data'!$K646, 2048),"X","")</f>
        <v/>
      </c>
      <c r="Q645" s="17" t="str">
        <f>IF(BITWISE_AND('Raw Data'!$K646, 64),"X","")</f>
        <v/>
      </c>
      <c r="R645" s="18" t="str">
        <f>IF(BITWISE_AND('Raw Data'!$L646, 1024),"X","")</f>
        <v/>
      </c>
      <c r="S645" s="18" t="str">
        <f>IF(BITWISE_AND('Raw Data'!$L646, 512),"X","")</f>
        <v/>
      </c>
      <c r="T645" s="18" t="str">
        <f>IF(BITWISE_AND('Raw Data'!$L646, 256),"X","")</f>
        <v/>
      </c>
      <c r="U645" s="18" t="str">
        <f>IF(BITWISE_AND('Raw Data'!$L646, 64),"X","")</f>
        <v/>
      </c>
      <c r="V645" s="18" t="str">
        <f>IF(BITWISE_AND('Raw Data'!$L646, 2),"X","")</f>
        <v/>
      </c>
      <c r="W645" s="18" t="str">
        <f>IF(BITWISE_AND('Raw Data'!$L646, 1),"X","")</f>
        <v/>
      </c>
      <c r="X645" s="19" t="str">
        <f>IF(BITWISE_AND('Raw Data'!M646, 1),"Bat Voltage", IF(BITWISE_AND('Raw Data'!M646, 2), "Charge Current", IF(BITWISE_AND('Raw Data'!M646, 4),"Input Ilim", IF(BITWISE_AND('Raw Data'!M646, 8), "Input UV", "none"))))</f>
        <v>none</v>
      </c>
    </row>
    <row r="646" spans="1:24" x14ac:dyDescent="0.2">
      <c r="A646" s="15">
        <f>A645+TIME(0,0,'Raw Data'!B646)</f>
        <v>0</v>
      </c>
      <c r="B646" s="4">
        <f>'Raw Data'!C647*0.025</f>
        <v>0</v>
      </c>
      <c r="C646" s="4">
        <f t="shared" si="30"/>
        <v>0</v>
      </c>
      <c r="D646" s="4">
        <f>'Raw Data'!D647*0.025</f>
        <v>0</v>
      </c>
      <c r="E646" s="4">
        <f t="shared" si="31"/>
        <v>0</v>
      </c>
      <c r="F646" s="4">
        <f>'Raw Data'!E647*0.001648</f>
        <v>0</v>
      </c>
      <c r="G646" s="4">
        <f>'Raw Data'!F647*0.001648</f>
        <v>0</v>
      </c>
      <c r="H646" s="4">
        <f>'Raw Data'!G647*6*0.000128176</f>
        <v>0</v>
      </c>
      <c r="I646" s="4">
        <f>'Raw Data'!H647*0.000732435</f>
        <v>0</v>
      </c>
      <c r="J646" s="4">
        <f t="shared" si="32"/>
        <v>0</v>
      </c>
      <c r="K646" s="36">
        <f>IF(('Raw Data'!I647-16384)/32768&lt;0,0,('Raw Data'!I647-16384)/32768)</f>
        <v>0</v>
      </c>
      <c r="L646" s="4">
        <f>IF(('Raw Data'!J647-12010)/45.6=-263.377192982456,0,('Raw Data'!J647-12010)/45.6)</f>
        <v>0</v>
      </c>
      <c r="M646" s="16">
        <f>'Raw Data'!N647*2^-8</f>
        <v>0</v>
      </c>
      <c r="N646" s="16">
        <f>'Raw Data'!O647*2^-8</f>
        <v>0</v>
      </c>
      <c r="O646" s="17" t="str">
        <f>IF(BITWISE_AND('Raw Data'!$K647, 8192),"X","")</f>
        <v/>
      </c>
      <c r="P646" s="17" t="str">
        <f>IF(BITWISE_AND('Raw Data'!$K647, 2048),"X","")</f>
        <v/>
      </c>
      <c r="Q646" s="17" t="str">
        <f>IF(BITWISE_AND('Raw Data'!$K647, 64),"X","")</f>
        <v/>
      </c>
      <c r="R646" s="18" t="str">
        <f>IF(BITWISE_AND('Raw Data'!$L647, 1024),"X","")</f>
        <v/>
      </c>
      <c r="S646" s="18" t="str">
        <f>IF(BITWISE_AND('Raw Data'!$L647, 512),"X","")</f>
        <v/>
      </c>
      <c r="T646" s="18" t="str">
        <f>IF(BITWISE_AND('Raw Data'!$L647, 256),"X","")</f>
        <v/>
      </c>
      <c r="U646" s="18" t="str">
        <f>IF(BITWISE_AND('Raw Data'!$L647, 64),"X","")</f>
        <v/>
      </c>
      <c r="V646" s="18" t="str">
        <f>IF(BITWISE_AND('Raw Data'!$L647, 2),"X","")</f>
        <v/>
      </c>
      <c r="W646" s="18" t="str">
        <f>IF(BITWISE_AND('Raw Data'!$L647, 1),"X","")</f>
        <v/>
      </c>
      <c r="X646" s="19" t="str">
        <f>IF(BITWISE_AND('Raw Data'!M647, 1),"Bat Voltage", IF(BITWISE_AND('Raw Data'!M647, 2), "Charge Current", IF(BITWISE_AND('Raw Data'!M647, 4),"Input Ilim", IF(BITWISE_AND('Raw Data'!M647, 8), "Input UV", "none"))))</f>
        <v>none</v>
      </c>
    </row>
    <row r="647" spans="1:24" x14ac:dyDescent="0.2">
      <c r="A647" s="15">
        <f>A646+TIME(0,0,'Raw Data'!B647)</f>
        <v>0</v>
      </c>
      <c r="B647" s="4">
        <f>'Raw Data'!C648*0.025</f>
        <v>0</v>
      </c>
      <c r="C647" s="4">
        <f t="shared" si="30"/>
        <v>0</v>
      </c>
      <c r="D647" s="4">
        <f>'Raw Data'!D648*0.025</f>
        <v>0</v>
      </c>
      <c r="E647" s="4">
        <f t="shared" si="31"/>
        <v>0</v>
      </c>
      <c r="F647" s="4">
        <f>'Raw Data'!E648*0.001648</f>
        <v>0</v>
      </c>
      <c r="G647" s="4">
        <f>'Raw Data'!F648*0.001648</f>
        <v>0</v>
      </c>
      <c r="H647" s="4">
        <f>'Raw Data'!G648*6*0.000128176</f>
        <v>0</v>
      </c>
      <c r="I647" s="4">
        <f>'Raw Data'!H648*0.000732435</f>
        <v>0</v>
      </c>
      <c r="J647" s="4">
        <f t="shared" si="32"/>
        <v>0</v>
      </c>
      <c r="K647" s="36">
        <f>IF(('Raw Data'!I648-16384)/32768&lt;0,0,('Raw Data'!I648-16384)/32768)</f>
        <v>0</v>
      </c>
      <c r="L647" s="4">
        <f>IF(('Raw Data'!J648-12010)/45.6=-263.377192982456,0,('Raw Data'!J648-12010)/45.6)</f>
        <v>0</v>
      </c>
      <c r="M647" s="16">
        <f>'Raw Data'!N648*2^-8</f>
        <v>0</v>
      </c>
      <c r="N647" s="16">
        <f>'Raw Data'!O648*2^-8</f>
        <v>0</v>
      </c>
      <c r="O647" s="17" t="str">
        <f>IF(BITWISE_AND('Raw Data'!$K648, 8192),"X","")</f>
        <v/>
      </c>
      <c r="P647" s="17" t="str">
        <f>IF(BITWISE_AND('Raw Data'!$K648, 2048),"X","")</f>
        <v/>
      </c>
      <c r="Q647" s="17" t="str">
        <f>IF(BITWISE_AND('Raw Data'!$K648, 64),"X","")</f>
        <v/>
      </c>
      <c r="R647" s="18" t="str">
        <f>IF(BITWISE_AND('Raw Data'!$L648, 1024),"X","")</f>
        <v/>
      </c>
      <c r="S647" s="18" t="str">
        <f>IF(BITWISE_AND('Raw Data'!$L648, 512),"X","")</f>
        <v/>
      </c>
      <c r="T647" s="18" t="str">
        <f>IF(BITWISE_AND('Raw Data'!$L648, 256),"X","")</f>
        <v/>
      </c>
      <c r="U647" s="18" t="str">
        <f>IF(BITWISE_AND('Raw Data'!$L648, 64),"X","")</f>
        <v/>
      </c>
      <c r="V647" s="18" t="str">
        <f>IF(BITWISE_AND('Raw Data'!$L648, 2),"X","")</f>
        <v/>
      </c>
      <c r="W647" s="18" t="str">
        <f>IF(BITWISE_AND('Raw Data'!$L648, 1),"X","")</f>
        <v/>
      </c>
      <c r="X647" s="19" t="str">
        <f>IF(BITWISE_AND('Raw Data'!M648, 1),"Bat Voltage", IF(BITWISE_AND('Raw Data'!M648, 2), "Charge Current", IF(BITWISE_AND('Raw Data'!M648, 4),"Input Ilim", IF(BITWISE_AND('Raw Data'!M648, 8), "Input UV", "none"))))</f>
        <v>none</v>
      </c>
    </row>
    <row r="648" spans="1:24" x14ac:dyDescent="0.2">
      <c r="A648" s="15">
        <f>A647+TIME(0,0,'Raw Data'!B648)</f>
        <v>0</v>
      </c>
      <c r="B648" s="4">
        <f>'Raw Data'!C649*0.025</f>
        <v>0</v>
      </c>
      <c r="C648" s="4">
        <f t="shared" si="30"/>
        <v>0</v>
      </c>
      <c r="D648" s="4">
        <f>'Raw Data'!D649*0.025</f>
        <v>0</v>
      </c>
      <c r="E648" s="4">
        <f t="shared" si="31"/>
        <v>0</v>
      </c>
      <c r="F648" s="4">
        <f>'Raw Data'!E649*0.001648</f>
        <v>0</v>
      </c>
      <c r="G648" s="4">
        <f>'Raw Data'!F649*0.001648</f>
        <v>0</v>
      </c>
      <c r="H648" s="4">
        <f>'Raw Data'!G649*6*0.000128176</f>
        <v>0</v>
      </c>
      <c r="I648" s="4">
        <f>'Raw Data'!H649*0.000732435</f>
        <v>0</v>
      </c>
      <c r="J648" s="4">
        <f t="shared" si="32"/>
        <v>0</v>
      </c>
      <c r="K648" s="36">
        <f>IF(('Raw Data'!I649-16384)/32768&lt;0,0,('Raw Data'!I649-16384)/32768)</f>
        <v>0</v>
      </c>
      <c r="L648" s="4">
        <f>IF(('Raw Data'!J649-12010)/45.6=-263.377192982456,0,('Raw Data'!J649-12010)/45.6)</f>
        <v>0</v>
      </c>
      <c r="M648" s="16">
        <f>'Raw Data'!N649*2^-8</f>
        <v>0</v>
      </c>
      <c r="N648" s="16">
        <f>'Raw Data'!O649*2^-8</f>
        <v>0</v>
      </c>
      <c r="O648" s="17" t="str">
        <f>IF(BITWISE_AND('Raw Data'!$K649, 8192),"X","")</f>
        <v/>
      </c>
      <c r="P648" s="17" t="str">
        <f>IF(BITWISE_AND('Raw Data'!$K649, 2048),"X","")</f>
        <v/>
      </c>
      <c r="Q648" s="17" t="str">
        <f>IF(BITWISE_AND('Raw Data'!$K649, 64),"X","")</f>
        <v/>
      </c>
      <c r="R648" s="18" t="str">
        <f>IF(BITWISE_AND('Raw Data'!$L649, 1024),"X","")</f>
        <v/>
      </c>
      <c r="S648" s="18" t="str">
        <f>IF(BITWISE_AND('Raw Data'!$L649, 512),"X","")</f>
        <v/>
      </c>
      <c r="T648" s="18" t="str">
        <f>IF(BITWISE_AND('Raw Data'!$L649, 256),"X","")</f>
        <v/>
      </c>
      <c r="U648" s="18" t="str">
        <f>IF(BITWISE_AND('Raw Data'!$L649, 64),"X","")</f>
        <v/>
      </c>
      <c r="V648" s="18" t="str">
        <f>IF(BITWISE_AND('Raw Data'!$L649, 2),"X","")</f>
        <v/>
      </c>
      <c r="W648" s="18" t="str">
        <f>IF(BITWISE_AND('Raw Data'!$L649, 1),"X","")</f>
        <v/>
      </c>
      <c r="X648" s="19" t="str">
        <f>IF(BITWISE_AND('Raw Data'!M649, 1),"Bat Voltage", IF(BITWISE_AND('Raw Data'!M649, 2), "Charge Current", IF(BITWISE_AND('Raw Data'!M649, 4),"Input Ilim", IF(BITWISE_AND('Raw Data'!M649, 8), "Input UV", "none"))))</f>
        <v>none</v>
      </c>
    </row>
    <row r="649" spans="1:24" x14ac:dyDescent="0.2">
      <c r="A649" s="15">
        <f>A648+TIME(0,0,'Raw Data'!B649)</f>
        <v>0</v>
      </c>
      <c r="B649" s="4">
        <f>'Raw Data'!C650*0.025</f>
        <v>0</v>
      </c>
      <c r="C649" s="4">
        <f t="shared" si="30"/>
        <v>0</v>
      </c>
      <c r="D649" s="4">
        <f>'Raw Data'!D650*0.025</f>
        <v>0</v>
      </c>
      <c r="E649" s="4">
        <f t="shared" si="31"/>
        <v>0</v>
      </c>
      <c r="F649" s="4">
        <f>'Raw Data'!E650*0.001648</f>
        <v>0</v>
      </c>
      <c r="G649" s="4">
        <f>'Raw Data'!F650*0.001648</f>
        <v>0</v>
      </c>
      <c r="H649" s="4">
        <f>'Raw Data'!G650*6*0.000128176</f>
        <v>0</v>
      </c>
      <c r="I649" s="4">
        <f>'Raw Data'!H650*0.000732435</f>
        <v>0</v>
      </c>
      <c r="J649" s="4">
        <f t="shared" si="32"/>
        <v>0</v>
      </c>
      <c r="K649" s="36">
        <f>IF(('Raw Data'!I650-16384)/32768&lt;0,0,('Raw Data'!I650-16384)/32768)</f>
        <v>0</v>
      </c>
      <c r="L649" s="4">
        <f>IF(('Raw Data'!J650-12010)/45.6=-263.377192982456,0,('Raw Data'!J650-12010)/45.6)</f>
        <v>0</v>
      </c>
      <c r="M649" s="16">
        <f>'Raw Data'!N650*2^-8</f>
        <v>0</v>
      </c>
      <c r="N649" s="16">
        <f>'Raw Data'!O650*2^-8</f>
        <v>0</v>
      </c>
      <c r="O649" s="17" t="str">
        <f>IF(BITWISE_AND('Raw Data'!$K650, 8192),"X","")</f>
        <v/>
      </c>
      <c r="P649" s="17" t="str">
        <f>IF(BITWISE_AND('Raw Data'!$K650, 2048),"X","")</f>
        <v/>
      </c>
      <c r="Q649" s="17" t="str">
        <f>IF(BITWISE_AND('Raw Data'!$K650, 64),"X","")</f>
        <v/>
      </c>
      <c r="R649" s="18" t="str">
        <f>IF(BITWISE_AND('Raw Data'!$L650, 1024),"X","")</f>
        <v/>
      </c>
      <c r="S649" s="18" t="str">
        <f>IF(BITWISE_AND('Raw Data'!$L650, 512),"X","")</f>
        <v/>
      </c>
      <c r="T649" s="18" t="str">
        <f>IF(BITWISE_AND('Raw Data'!$L650, 256),"X","")</f>
        <v/>
      </c>
      <c r="U649" s="18" t="str">
        <f>IF(BITWISE_AND('Raw Data'!$L650, 64),"X","")</f>
        <v/>
      </c>
      <c r="V649" s="18" t="str">
        <f>IF(BITWISE_AND('Raw Data'!$L650, 2),"X","")</f>
        <v/>
      </c>
      <c r="W649" s="18" t="str">
        <f>IF(BITWISE_AND('Raw Data'!$L650, 1),"X","")</f>
        <v/>
      </c>
      <c r="X649" s="19" t="str">
        <f>IF(BITWISE_AND('Raw Data'!M650, 1),"Bat Voltage", IF(BITWISE_AND('Raw Data'!M650, 2), "Charge Current", IF(BITWISE_AND('Raw Data'!M650, 4),"Input Ilim", IF(BITWISE_AND('Raw Data'!M650, 8), "Input UV", "none"))))</f>
        <v>none</v>
      </c>
    </row>
    <row r="650" spans="1:24" x14ac:dyDescent="0.2">
      <c r="A650" s="15">
        <f>A649+TIME(0,0,'Raw Data'!B650)</f>
        <v>0</v>
      </c>
      <c r="B650" s="4">
        <f>'Raw Data'!C651*0.025</f>
        <v>0</v>
      </c>
      <c r="C650" s="4">
        <f t="shared" si="30"/>
        <v>0</v>
      </c>
      <c r="D650" s="4">
        <f>'Raw Data'!D651*0.025</f>
        <v>0</v>
      </c>
      <c r="E650" s="4">
        <f t="shared" si="31"/>
        <v>0</v>
      </c>
      <c r="F650" s="4">
        <f>'Raw Data'!E651*0.001648</f>
        <v>0</v>
      </c>
      <c r="G650" s="4">
        <f>'Raw Data'!F651*0.001648</f>
        <v>0</v>
      </c>
      <c r="H650" s="4">
        <f>'Raw Data'!G651*6*0.000128176</f>
        <v>0</v>
      </c>
      <c r="I650" s="4">
        <f>'Raw Data'!H651*0.000732435</f>
        <v>0</v>
      </c>
      <c r="J650" s="4">
        <f t="shared" si="32"/>
        <v>0</v>
      </c>
      <c r="K650" s="36">
        <f>IF(('Raw Data'!I651-16384)/32768&lt;0,0,('Raw Data'!I651-16384)/32768)</f>
        <v>0</v>
      </c>
      <c r="L650" s="4">
        <f>IF(('Raw Data'!J651-12010)/45.6=-263.377192982456,0,('Raw Data'!J651-12010)/45.6)</f>
        <v>0</v>
      </c>
      <c r="M650" s="16">
        <f>'Raw Data'!N651*2^-8</f>
        <v>0</v>
      </c>
      <c r="N650" s="16">
        <f>'Raw Data'!O651*2^-8</f>
        <v>0</v>
      </c>
      <c r="O650" s="17" t="str">
        <f>IF(BITWISE_AND('Raw Data'!$K651, 8192),"X","")</f>
        <v/>
      </c>
      <c r="P650" s="17" t="str">
        <f>IF(BITWISE_AND('Raw Data'!$K651, 2048),"X","")</f>
        <v/>
      </c>
      <c r="Q650" s="17" t="str">
        <f>IF(BITWISE_AND('Raw Data'!$K651, 64),"X","")</f>
        <v/>
      </c>
      <c r="R650" s="18" t="str">
        <f>IF(BITWISE_AND('Raw Data'!$L651, 1024),"X","")</f>
        <v/>
      </c>
      <c r="S650" s="18" t="str">
        <f>IF(BITWISE_AND('Raw Data'!$L651, 512),"X","")</f>
        <v/>
      </c>
      <c r="T650" s="18" t="str">
        <f>IF(BITWISE_AND('Raw Data'!$L651, 256),"X","")</f>
        <v/>
      </c>
      <c r="U650" s="18" t="str">
        <f>IF(BITWISE_AND('Raw Data'!$L651, 64),"X","")</f>
        <v/>
      </c>
      <c r="V650" s="18" t="str">
        <f>IF(BITWISE_AND('Raw Data'!$L651, 2),"X","")</f>
        <v/>
      </c>
      <c r="W650" s="18" t="str">
        <f>IF(BITWISE_AND('Raw Data'!$L651, 1),"X","")</f>
        <v/>
      </c>
      <c r="X650" s="19" t="str">
        <f>IF(BITWISE_AND('Raw Data'!M651, 1),"Bat Voltage", IF(BITWISE_AND('Raw Data'!M651, 2), "Charge Current", IF(BITWISE_AND('Raw Data'!M651, 4),"Input Ilim", IF(BITWISE_AND('Raw Data'!M651, 8), "Input UV", "none"))))</f>
        <v>none</v>
      </c>
    </row>
    <row r="651" spans="1:24" x14ac:dyDescent="0.2">
      <c r="A651" s="15">
        <f>A650+TIME(0,0,'Raw Data'!B651)</f>
        <v>0</v>
      </c>
      <c r="B651" s="4">
        <f>'Raw Data'!C652*0.025</f>
        <v>0</v>
      </c>
      <c r="C651" s="4">
        <f t="shared" si="30"/>
        <v>0</v>
      </c>
      <c r="D651" s="4">
        <f>'Raw Data'!D652*0.025</f>
        <v>0</v>
      </c>
      <c r="E651" s="4">
        <f t="shared" si="31"/>
        <v>0</v>
      </c>
      <c r="F651" s="4">
        <f>'Raw Data'!E652*0.001648</f>
        <v>0</v>
      </c>
      <c r="G651" s="4">
        <f>'Raw Data'!F652*0.001648</f>
        <v>0</v>
      </c>
      <c r="H651" s="4">
        <f>'Raw Data'!G652*6*0.000128176</f>
        <v>0</v>
      </c>
      <c r="I651" s="4">
        <f>'Raw Data'!H652*0.000732435</f>
        <v>0</v>
      </c>
      <c r="J651" s="4">
        <f t="shared" si="32"/>
        <v>0</v>
      </c>
      <c r="K651" s="36">
        <f>IF(('Raw Data'!I652-16384)/32768&lt;0,0,('Raw Data'!I652-16384)/32768)</f>
        <v>0</v>
      </c>
      <c r="L651" s="4">
        <f>IF(('Raw Data'!J652-12010)/45.6=-263.377192982456,0,('Raw Data'!J652-12010)/45.6)</f>
        <v>0</v>
      </c>
      <c r="M651" s="16">
        <f>'Raw Data'!N652*2^-8</f>
        <v>0</v>
      </c>
      <c r="N651" s="16">
        <f>'Raw Data'!O652*2^-8</f>
        <v>0</v>
      </c>
      <c r="O651" s="17" t="str">
        <f>IF(BITWISE_AND('Raw Data'!$K652, 8192),"X","")</f>
        <v/>
      </c>
      <c r="P651" s="17" t="str">
        <f>IF(BITWISE_AND('Raw Data'!$K652, 2048),"X","")</f>
        <v/>
      </c>
      <c r="Q651" s="17" t="str">
        <f>IF(BITWISE_AND('Raw Data'!$K652, 64),"X","")</f>
        <v/>
      </c>
      <c r="R651" s="18" t="str">
        <f>IF(BITWISE_AND('Raw Data'!$L652, 1024),"X","")</f>
        <v/>
      </c>
      <c r="S651" s="18" t="str">
        <f>IF(BITWISE_AND('Raw Data'!$L652, 512),"X","")</f>
        <v/>
      </c>
      <c r="T651" s="18" t="str">
        <f>IF(BITWISE_AND('Raw Data'!$L652, 256),"X","")</f>
        <v/>
      </c>
      <c r="U651" s="18" t="str">
        <f>IF(BITWISE_AND('Raw Data'!$L652, 64),"X","")</f>
        <v/>
      </c>
      <c r="V651" s="18" t="str">
        <f>IF(BITWISE_AND('Raw Data'!$L652, 2),"X","")</f>
        <v/>
      </c>
      <c r="W651" s="18" t="str">
        <f>IF(BITWISE_AND('Raw Data'!$L652, 1),"X","")</f>
        <v/>
      </c>
      <c r="X651" s="19" t="str">
        <f>IF(BITWISE_AND('Raw Data'!M652, 1),"Bat Voltage", IF(BITWISE_AND('Raw Data'!M652, 2), "Charge Current", IF(BITWISE_AND('Raw Data'!M652, 4),"Input Ilim", IF(BITWISE_AND('Raw Data'!M652, 8), "Input UV", "none"))))</f>
        <v>none</v>
      </c>
    </row>
    <row r="652" spans="1:24" x14ac:dyDescent="0.2">
      <c r="A652" s="15">
        <f>A651+TIME(0,0,'Raw Data'!B652)</f>
        <v>0</v>
      </c>
      <c r="B652" s="4">
        <f>'Raw Data'!C653*0.025</f>
        <v>0</v>
      </c>
      <c r="C652" s="4">
        <f t="shared" si="30"/>
        <v>0</v>
      </c>
      <c r="D652" s="4">
        <f>'Raw Data'!D653*0.025</f>
        <v>0</v>
      </c>
      <c r="E652" s="4">
        <f t="shared" si="31"/>
        <v>0</v>
      </c>
      <c r="F652" s="4">
        <f>'Raw Data'!E653*0.001648</f>
        <v>0</v>
      </c>
      <c r="G652" s="4">
        <f>'Raw Data'!F653*0.001648</f>
        <v>0</v>
      </c>
      <c r="H652" s="4">
        <f>'Raw Data'!G653*6*0.000128176</f>
        <v>0</v>
      </c>
      <c r="I652" s="4">
        <f>'Raw Data'!H653*0.000732435</f>
        <v>0</v>
      </c>
      <c r="J652" s="4">
        <f t="shared" si="32"/>
        <v>0</v>
      </c>
      <c r="K652" s="36">
        <f>IF(('Raw Data'!I653-16384)/32768&lt;0,0,('Raw Data'!I653-16384)/32768)</f>
        <v>0</v>
      </c>
      <c r="L652" s="4">
        <f>IF(('Raw Data'!J653-12010)/45.6=-263.377192982456,0,('Raw Data'!J653-12010)/45.6)</f>
        <v>0</v>
      </c>
      <c r="M652" s="16">
        <f>'Raw Data'!N653*2^-8</f>
        <v>0</v>
      </c>
      <c r="N652" s="16">
        <f>'Raw Data'!O653*2^-8</f>
        <v>0</v>
      </c>
      <c r="O652" s="17" t="str">
        <f>IF(BITWISE_AND('Raw Data'!$K653, 8192),"X","")</f>
        <v/>
      </c>
      <c r="P652" s="17" t="str">
        <f>IF(BITWISE_AND('Raw Data'!$K653, 2048),"X","")</f>
        <v/>
      </c>
      <c r="Q652" s="17" t="str">
        <f>IF(BITWISE_AND('Raw Data'!$K653, 64),"X","")</f>
        <v/>
      </c>
      <c r="R652" s="18" t="str">
        <f>IF(BITWISE_AND('Raw Data'!$L653, 1024),"X","")</f>
        <v/>
      </c>
      <c r="S652" s="18" t="str">
        <f>IF(BITWISE_AND('Raw Data'!$L653, 512),"X","")</f>
        <v/>
      </c>
      <c r="T652" s="18" t="str">
        <f>IF(BITWISE_AND('Raw Data'!$L653, 256),"X","")</f>
        <v/>
      </c>
      <c r="U652" s="18" t="str">
        <f>IF(BITWISE_AND('Raw Data'!$L653, 64),"X","")</f>
        <v/>
      </c>
      <c r="V652" s="18" t="str">
        <f>IF(BITWISE_AND('Raw Data'!$L653, 2),"X","")</f>
        <v/>
      </c>
      <c r="W652" s="18" t="str">
        <f>IF(BITWISE_AND('Raw Data'!$L653, 1),"X","")</f>
        <v/>
      </c>
      <c r="X652" s="19" t="str">
        <f>IF(BITWISE_AND('Raw Data'!M653, 1),"Bat Voltage", IF(BITWISE_AND('Raw Data'!M653, 2), "Charge Current", IF(BITWISE_AND('Raw Data'!M653, 4),"Input Ilim", IF(BITWISE_AND('Raw Data'!M653, 8), "Input UV", "none"))))</f>
        <v>none</v>
      </c>
    </row>
    <row r="653" spans="1:24" x14ac:dyDescent="0.2">
      <c r="A653" s="15">
        <f>A652+TIME(0,0,'Raw Data'!B653)</f>
        <v>0</v>
      </c>
      <c r="B653" s="4">
        <f>'Raw Data'!C654*0.025</f>
        <v>0</v>
      </c>
      <c r="C653" s="4">
        <f t="shared" si="30"/>
        <v>0</v>
      </c>
      <c r="D653" s="4">
        <f>'Raw Data'!D654*0.025</f>
        <v>0</v>
      </c>
      <c r="E653" s="4">
        <f t="shared" si="31"/>
        <v>0</v>
      </c>
      <c r="F653" s="4">
        <f>'Raw Data'!E654*0.001648</f>
        <v>0</v>
      </c>
      <c r="G653" s="4">
        <f>'Raw Data'!F654*0.001648</f>
        <v>0</v>
      </c>
      <c r="H653" s="4">
        <f>'Raw Data'!G654*6*0.000128176</f>
        <v>0</v>
      </c>
      <c r="I653" s="4">
        <f>'Raw Data'!H654*0.000732435</f>
        <v>0</v>
      </c>
      <c r="J653" s="4">
        <f t="shared" si="32"/>
        <v>0</v>
      </c>
      <c r="K653" s="36">
        <f>IF(('Raw Data'!I654-16384)/32768&lt;0,0,('Raw Data'!I654-16384)/32768)</f>
        <v>0</v>
      </c>
      <c r="L653" s="4">
        <f>IF(('Raw Data'!J654-12010)/45.6=-263.377192982456,0,('Raw Data'!J654-12010)/45.6)</f>
        <v>0</v>
      </c>
      <c r="M653" s="16">
        <f>'Raw Data'!N654*2^-8</f>
        <v>0</v>
      </c>
      <c r="N653" s="16">
        <f>'Raw Data'!O654*2^-8</f>
        <v>0</v>
      </c>
      <c r="O653" s="17" t="str">
        <f>IF(BITWISE_AND('Raw Data'!$K654, 8192),"X","")</f>
        <v/>
      </c>
      <c r="P653" s="17" t="str">
        <f>IF(BITWISE_AND('Raw Data'!$K654, 2048),"X","")</f>
        <v/>
      </c>
      <c r="Q653" s="17" t="str">
        <f>IF(BITWISE_AND('Raw Data'!$K654, 64),"X","")</f>
        <v/>
      </c>
      <c r="R653" s="18" t="str">
        <f>IF(BITWISE_AND('Raw Data'!$L654, 1024),"X","")</f>
        <v/>
      </c>
      <c r="S653" s="18" t="str">
        <f>IF(BITWISE_AND('Raw Data'!$L654, 512),"X","")</f>
        <v/>
      </c>
      <c r="T653" s="18" t="str">
        <f>IF(BITWISE_AND('Raw Data'!$L654, 256),"X","")</f>
        <v/>
      </c>
      <c r="U653" s="18" t="str">
        <f>IF(BITWISE_AND('Raw Data'!$L654, 64),"X","")</f>
        <v/>
      </c>
      <c r="V653" s="18" t="str">
        <f>IF(BITWISE_AND('Raw Data'!$L654, 2),"X","")</f>
        <v/>
      </c>
      <c r="W653" s="18" t="str">
        <f>IF(BITWISE_AND('Raw Data'!$L654, 1),"X","")</f>
        <v/>
      </c>
      <c r="X653" s="19" t="str">
        <f>IF(BITWISE_AND('Raw Data'!M654, 1),"Bat Voltage", IF(BITWISE_AND('Raw Data'!M654, 2), "Charge Current", IF(BITWISE_AND('Raw Data'!M654, 4),"Input Ilim", IF(BITWISE_AND('Raw Data'!M654, 8), "Input UV", "none"))))</f>
        <v>none</v>
      </c>
    </row>
    <row r="654" spans="1:24" x14ac:dyDescent="0.2">
      <c r="A654" s="15">
        <f>A653+TIME(0,0,'Raw Data'!B654)</f>
        <v>0</v>
      </c>
      <c r="B654" s="4">
        <f>'Raw Data'!C655*0.025</f>
        <v>0</v>
      </c>
      <c r="C654" s="4">
        <f t="shared" si="30"/>
        <v>0</v>
      </c>
      <c r="D654" s="4">
        <f>'Raw Data'!D655*0.025</f>
        <v>0</v>
      </c>
      <c r="E654" s="4">
        <f t="shared" si="31"/>
        <v>0</v>
      </c>
      <c r="F654" s="4">
        <f>'Raw Data'!E655*0.001648</f>
        <v>0</v>
      </c>
      <c r="G654" s="4">
        <f>'Raw Data'!F655*0.001648</f>
        <v>0</v>
      </c>
      <c r="H654" s="4">
        <f>'Raw Data'!G655*6*0.000128176</f>
        <v>0</v>
      </c>
      <c r="I654" s="4">
        <f>'Raw Data'!H655*0.000732435</f>
        <v>0</v>
      </c>
      <c r="J654" s="4">
        <f t="shared" si="32"/>
        <v>0</v>
      </c>
      <c r="K654" s="36">
        <f>IF(('Raw Data'!I655-16384)/32768&lt;0,0,('Raw Data'!I655-16384)/32768)</f>
        <v>0</v>
      </c>
      <c r="L654" s="4">
        <f>IF(('Raw Data'!J655-12010)/45.6=-263.377192982456,0,('Raw Data'!J655-12010)/45.6)</f>
        <v>0</v>
      </c>
      <c r="M654" s="16">
        <f>'Raw Data'!N655*2^-8</f>
        <v>0</v>
      </c>
      <c r="N654" s="16">
        <f>'Raw Data'!O655*2^-8</f>
        <v>0</v>
      </c>
      <c r="O654" s="17" t="str">
        <f>IF(BITWISE_AND('Raw Data'!$K655, 8192),"X","")</f>
        <v/>
      </c>
      <c r="P654" s="17" t="str">
        <f>IF(BITWISE_AND('Raw Data'!$K655, 2048),"X","")</f>
        <v/>
      </c>
      <c r="Q654" s="17" t="str">
        <f>IF(BITWISE_AND('Raw Data'!$K655, 64),"X","")</f>
        <v/>
      </c>
      <c r="R654" s="18" t="str">
        <f>IF(BITWISE_AND('Raw Data'!$L655, 1024),"X","")</f>
        <v/>
      </c>
      <c r="S654" s="18" t="str">
        <f>IF(BITWISE_AND('Raw Data'!$L655, 512),"X","")</f>
        <v/>
      </c>
      <c r="T654" s="18" t="str">
        <f>IF(BITWISE_AND('Raw Data'!$L655, 256),"X","")</f>
        <v/>
      </c>
      <c r="U654" s="18" t="str">
        <f>IF(BITWISE_AND('Raw Data'!$L655, 64),"X","")</f>
        <v/>
      </c>
      <c r="V654" s="18" t="str">
        <f>IF(BITWISE_AND('Raw Data'!$L655, 2),"X","")</f>
        <v/>
      </c>
      <c r="W654" s="18" t="str">
        <f>IF(BITWISE_AND('Raw Data'!$L655, 1),"X","")</f>
        <v/>
      </c>
      <c r="X654" s="19" t="str">
        <f>IF(BITWISE_AND('Raw Data'!M655, 1),"Bat Voltage", IF(BITWISE_AND('Raw Data'!M655, 2), "Charge Current", IF(BITWISE_AND('Raw Data'!M655, 4),"Input Ilim", IF(BITWISE_AND('Raw Data'!M655, 8), "Input UV", "none"))))</f>
        <v>none</v>
      </c>
    </row>
    <row r="655" spans="1:24" x14ac:dyDescent="0.2">
      <c r="A655" s="15">
        <f>A654+TIME(0,0,'Raw Data'!B655)</f>
        <v>0</v>
      </c>
      <c r="B655" s="4">
        <f>'Raw Data'!C656*0.025</f>
        <v>0</v>
      </c>
      <c r="C655" s="4">
        <f t="shared" si="30"/>
        <v>0</v>
      </c>
      <c r="D655" s="4">
        <f>'Raw Data'!D656*0.025</f>
        <v>0</v>
      </c>
      <c r="E655" s="4">
        <f t="shared" si="31"/>
        <v>0</v>
      </c>
      <c r="F655" s="4">
        <f>'Raw Data'!E656*0.001648</f>
        <v>0</v>
      </c>
      <c r="G655" s="4">
        <f>'Raw Data'!F656*0.001648</f>
        <v>0</v>
      </c>
      <c r="H655" s="4">
        <f>'Raw Data'!G656*6*0.000128176</f>
        <v>0</v>
      </c>
      <c r="I655" s="4">
        <f>'Raw Data'!H656*0.000732435</f>
        <v>0</v>
      </c>
      <c r="J655" s="4">
        <f t="shared" si="32"/>
        <v>0</v>
      </c>
      <c r="K655" s="36">
        <f>IF(('Raw Data'!I656-16384)/32768&lt;0,0,('Raw Data'!I656-16384)/32768)</f>
        <v>0</v>
      </c>
      <c r="L655" s="4">
        <f>IF(('Raw Data'!J656-12010)/45.6=-263.377192982456,0,('Raw Data'!J656-12010)/45.6)</f>
        <v>0</v>
      </c>
      <c r="M655" s="16">
        <f>'Raw Data'!N656*2^-8</f>
        <v>0</v>
      </c>
      <c r="N655" s="16">
        <f>'Raw Data'!O656*2^-8</f>
        <v>0</v>
      </c>
      <c r="O655" s="17" t="str">
        <f>IF(BITWISE_AND('Raw Data'!$K656, 8192),"X","")</f>
        <v/>
      </c>
      <c r="P655" s="17" t="str">
        <f>IF(BITWISE_AND('Raw Data'!$K656, 2048),"X","")</f>
        <v/>
      </c>
      <c r="Q655" s="17" t="str">
        <f>IF(BITWISE_AND('Raw Data'!$K656, 64),"X","")</f>
        <v/>
      </c>
      <c r="R655" s="18" t="str">
        <f>IF(BITWISE_AND('Raw Data'!$L656, 1024),"X","")</f>
        <v/>
      </c>
      <c r="S655" s="18" t="str">
        <f>IF(BITWISE_AND('Raw Data'!$L656, 512),"X","")</f>
        <v/>
      </c>
      <c r="T655" s="18" t="str">
        <f>IF(BITWISE_AND('Raw Data'!$L656, 256),"X","")</f>
        <v/>
      </c>
      <c r="U655" s="18" t="str">
        <f>IF(BITWISE_AND('Raw Data'!$L656, 64),"X","")</f>
        <v/>
      </c>
      <c r="V655" s="18" t="str">
        <f>IF(BITWISE_AND('Raw Data'!$L656, 2),"X","")</f>
        <v/>
      </c>
      <c r="W655" s="18" t="str">
        <f>IF(BITWISE_AND('Raw Data'!$L656, 1),"X","")</f>
        <v/>
      </c>
      <c r="X655" s="19" t="str">
        <f>IF(BITWISE_AND('Raw Data'!M656, 1),"Bat Voltage", IF(BITWISE_AND('Raw Data'!M656, 2), "Charge Current", IF(BITWISE_AND('Raw Data'!M656, 4),"Input Ilim", IF(BITWISE_AND('Raw Data'!M656, 8), "Input UV", "none"))))</f>
        <v>none</v>
      </c>
    </row>
    <row r="656" spans="1:24" x14ac:dyDescent="0.2">
      <c r="A656" s="15">
        <f>A655+TIME(0,0,'Raw Data'!B656)</f>
        <v>0</v>
      </c>
      <c r="B656" s="4">
        <f>'Raw Data'!C657*0.025</f>
        <v>0</v>
      </c>
      <c r="C656" s="4">
        <f t="shared" si="30"/>
        <v>0</v>
      </c>
      <c r="D656" s="4">
        <f>'Raw Data'!D657*0.025</f>
        <v>0</v>
      </c>
      <c r="E656" s="4">
        <f t="shared" si="31"/>
        <v>0</v>
      </c>
      <c r="F656" s="4">
        <f>'Raw Data'!E657*0.001648</f>
        <v>0</v>
      </c>
      <c r="G656" s="4">
        <f>'Raw Data'!F657*0.001648</f>
        <v>0</v>
      </c>
      <c r="H656" s="4">
        <f>'Raw Data'!G657*6*0.000128176</f>
        <v>0</v>
      </c>
      <c r="I656" s="4">
        <f>'Raw Data'!H657*0.000732435</f>
        <v>0</v>
      </c>
      <c r="J656" s="4">
        <f t="shared" si="32"/>
        <v>0</v>
      </c>
      <c r="K656" s="36">
        <f>IF(('Raw Data'!I657-16384)/32768&lt;0,0,('Raw Data'!I657-16384)/32768)</f>
        <v>0</v>
      </c>
      <c r="L656" s="4">
        <f>IF(('Raw Data'!J657-12010)/45.6=-263.377192982456,0,('Raw Data'!J657-12010)/45.6)</f>
        <v>0</v>
      </c>
      <c r="M656" s="16">
        <f>'Raw Data'!N657*2^-8</f>
        <v>0</v>
      </c>
      <c r="N656" s="16">
        <f>'Raw Data'!O657*2^-8</f>
        <v>0</v>
      </c>
      <c r="O656" s="17" t="str">
        <f>IF(BITWISE_AND('Raw Data'!$K657, 8192),"X","")</f>
        <v/>
      </c>
      <c r="P656" s="17" t="str">
        <f>IF(BITWISE_AND('Raw Data'!$K657, 2048),"X","")</f>
        <v/>
      </c>
      <c r="Q656" s="17" t="str">
        <f>IF(BITWISE_AND('Raw Data'!$K657, 64),"X","")</f>
        <v/>
      </c>
      <c r="R656" s="18" t="str">
        <f>IF(BITWISE_AND('Raw Data'!$L657, 1024),"X","")</f>
        <v/>
      </c>
      <c r="S656" s="18" t="str">
        <f>IF(BITWISE_AND('Raw Data'!$L657, 512),"X","")</f>
        <v/>
      </c>
      <c r="T656" s="18" t="str">
        <f>IF(BITWISE_AND('Raw Data'!$L657, 256),"X","")</f>
        <v/>
      </c>
      <c r="U656" s="18" t="str">
        <f>IF(BITWISE_AND('Raw Data'!$L657, 64),"X","")</f>
        <v/>
      </c>
      <c r="V656" s="18" t="str">
        <f>IF(BITWISE_AND('Raw Data'!$L657, 2),"X","")</f>
        <v/>
      </c>
      <c r="W656" s="18" t="str">
        <f>IF(BITWISE_AND('Raw Data'!$L657, 1),"X","")</f>
        <v/>
      </c>
      <c r="X656" s="19" t="str">
        <f>IF(BITWISE_AND('Raw Data'!M657, 1),"Bat Voltage", IF(BITWISE_AND('Raw Data'!M657, 2), "Charge Current", IF(BITWISE_AND('Raw Data'!M657, 4),"Input Ilim", IF(BITWISE_AND('Raw Data'!M657, 8), "Input UV", "none"))))</f>
        <v>none</v>
      </c>
    </row>
    <row r="657" spans="1:24" x14ac:dyDescent="0.2">
      <c r="A657" s="15">
        <f>A656+TIME(0,0,'Raw Data'!B657)</f>
        <v>0</v>
      </c>
      <c r="B657" s="4">
        <f>'Raw Data'!C658*0.025</f>
        <v>0</v>
      </c>
      <c r="C657" s="4">
        <f t="shared" si="30"/>
        <v>0</v>
      </c>
      <c r="D657" s="4">
        <f>'Raw Data'!D658*0.025</f>
        <v>0</v>
      </c>
      <c r="E657" s="4">
        <f t="shared" si="31"/>
        <v>0</v>
      </c>
      <c r="F657" s="4">
        <f>'Raw Data'!E658*0.001648</f>
        <v>0</v>
      </c>
      <c r="G657" s="4">
        <f>'Raw Data'!F658*0.001648</f>
        <v>0</v>
      </c>
      <c r="H657" s="4">
        <f>'Raw Data'!G658*6*0.000128176</f>
        <v>0</v>
      </c>
      <c r="I657" s="4">
        <f>'Raw Data'!H658*0.000732435</f>
        <v>0</v>
      </c>
      <c r="J657" s="4">
        <f t="shared" si="32"/>
        <v>0</v>
      </c>
      <c r="K657" s="36">
        <f>IF(('Raw Data'!I658-16384)/32768&lt;0,0,('Raw Data'!I658-16384)/32768)</f>
        <v>0</v>
      </c>
      <c r="L657" s="4">
        <f>IF(('Raw Data'!J658-12010)/45.6=-263.377192982456,0,('Raw Data'!J658-12010)/45.6)</f>
        <v>0</v>
      </c>
      <c r="M657" s="16">
        <f>'Raw Data'!N658*2^-8</f>
        <v>0</v>
      </c>
      <c r="N657" s="16">
        <f>'Raw Data'!O658*2^-8</f>
        <v>0</v>
      </c>
      <c r="O657" s="17" t="str">
        <f>IF(BITWISE_AND('Raw Data'!$K658, 8192),"X","")</f>
        <v/>
      </c>
      <c r="P657" s="17" t="str">
        <f>IF(BITWISE_AND('Raw Data'!$K658, 2048),"X","")</f>
        <v/>
      </c>
      <c r="Q657" s="17" t="str">
        <f>IF(BITWISE_AND('Raw Data'!$K658, 64),"X","")</f>
        <v/>
      </c>
      <c r="R657" s="18" t="str">
        <f>IF(BITWISE_AND('Raw Data'!$L658, 1024),"X","")</f>
        <v/>
      </c>
      <c r="S657" s="18" t="str">
        <f>IF(BITWISE_AND('Raw Data'!$L658, 512),"X","")</f>
        <v/>
      </c>
      <c r="T657" s="18" t="str">
        <f>IF(BITWISE_AND('Raw Data'!$L658, 256),"X","")</f>
        <v/>
      </c>
      <c r="U657" s="18" t="str">
        <f>IF(BITWISE_AND('Raw Data'!$L658, 64),"X","")</f>
        <v/>
      </c>
      <c r="V657" s="18" t="str">
        <f>IF(BITWISE_AND('Raw Data'!$L658, 2),"X","")</f>
        <v/>
      </c>
      <c r="W657" s="18" t="str">
        <f>IF(BITWISE_AND('Raw Data'!$L658, 1),"X","")</f>
        <v/>
      </c>
      <c r="X657" s="19" t="str">
        <f>IF(BITWISE_AND('Raw Data'!M658, 1),"Bat Voltage", IF(BITWISE_AND('Raw Data'!M658, 2), "Charge Current", IF(BITWISE_AND('Raw Data'!M658, 4),"Input Ilim", IF(BITWISE_AND('Raw Data'!M658, 8), "Input UV", "none"))))</f>
        <v>none</v>
      </c>
    </row>
    <row r="658" spans="1:24" x14ac:dyDescent="0.2">
      <c r="A658" s="15">
        <f>A657+TIME(0,0,'Raw Data'!B658)</f>
        <v>0</v>
      </c>
      <c r="B658" s="4">
        <f>'Raw Data'!C659*0.025</f>
        <v>0</v>
      </c>
      <c r="C658" s="4">
        <f t="shared" si="30"/>
        <v>0</v>
      </c>
      <c r="D658" s="4">
        <f>'Raw Data'!D659*0.025</f>
        <v>0</v>
      </c>
      <c r="E658" s="4">
        <f t="shared" si="31"/>
        <v>0</v>
      </c>
      <c r="F658" s="4">
        <f>'Raw Data'!E659*0.001648</f>
        <v>0</v>
      </c>
      <c r="G658" s="4">
        <f>'Raw Data'!F659*0.001648</f>
        <v>0</v>
      </c>
      <c r="H658" s="4">
        <f>'Raw Data'!G659*6*0.000128176</f>
        <v>0</v>
      </c>
      <c r="I658" s="4">
        <f>'Raw Data'!H659*0.000732435</f>
        <v>0</v>
      </c>
      <c r="J658" s="4">
        <f t="shared" si="32"/>
        <v>0</v>
      </c>
      <c r="K658" s="36">
        <f>IF(('Raw Data'!I659-16384)/32768&lt;0,0,('Raw Data'!I659-16384)/32768)</f>
        <v>0</v>
      </c>
      <c r="L658" s="4">
        <f>IF(('Raw Data'!J659-12010)/45.6=-263.377192982456,0,('Raw Data'!J659-12010)/45.6)</f>
        <v>0</v>
      </c>
      <c r="M658" s="16">
        <f>'Raw Data'!N659*2^-8</f>
        <v>0</v>
      </c>
      <c r="N658" s="16">
        <f>'Raw Data'!O659*2^-8</f>
        <v>0</v>
      </c>
      <c r="O658" s="17" t="str">
        <f>IF(BITWISE_AND('Raw Data'!$K659, 8192),"X","")</f>
        <v/>
      </c>
      <c r="P658" s="17" t="str">
        <f>IF(BITWISE_AND('Raw Data'!$K659, 2048),"X","")</f>
        <v/>
      </c>
      <c r="Q658" s="17" t="str">
        <f>IF(BITWISE_AND('Raw Data'!$K659, 64),"X","")</f>
        <v/>
      </c>
      <c r="R658" s="18" t="str">
        <f>IF(BITWISE_AND('Raw Data'!$L659, 1024),"X","")</f>
        <v/>
      </c>
      <c r="S658" s="18" t="str">
        <f>IF(BITWISE_AND('Raw Data'!$L659, 512),"X","")</f>
        <v/>
      </c>
      <c r="T658" s="18" t="str">
        <f>IF(BITWISE_AND('Raw Data'!$L659, 256),"X","")</f>
        <v/>
      </c>
      <c r="U658" s="18" t="str">
        <f>IF(BITWISE_AND('Raw Data'!$L659, 64),"X","")</f>
        <v/>
      </c>
      <c r="V658" s="18" t="str">
        <f>IF(BITWISE_AND('Raw Data'!$L659, 2),"X","")</f>
        <v/>
      </c>
      <c r="W658" s="18" t="str">
        <f>IF(BITWISE_AND('Raw Data'!$L659, 1),"X","")</f>
        <v/>
      </c>
      <c r="X658" s="19" t="str">
        <f>IF(BITWISE_AND('Raw Data'!M659, 1),"Bat Voltage", IF(BITWISE_AND('Raw Data'!M659, 2), "Charge Current", IF(BITWISE_AND('Raw Data'!M659, 4),"Input Ilim", IF(BITWISE_AND('Raw Data'!M659, 8), "Input UV", "none"))))</f>
        <v>none</v>
      </c>
    </row>
    <row r="659" spans="1:24" x14ac:dyDescent="0.2">
      <c r="A659" s="15">
        <f>A658+TIME(0,0,'Raw Data'!B659)</f>
        <v>0</v>
      </c>
      <c r="B659" s="4">
        <f>'Raw Data'!C660*0.025</f>
        <v>0</v>
      </c>
      <c r="C659" s="4">
        <f t="shared" si="30"/>
        <v>0</v>
      </c>
      <c r="D659" s="4">
        <f>'Raw Data'!D660*0.025</f>
        <v>0</v>
      </c>
      <c r="E659" s="4">
        <f t="shared" si="31"/>
        <v>0</v>
      </c>
      <c r="F659" s="4">
        <f>'Raw Data'!E660*0.001648</f>
        <v>0</v>
      </c>
      <c r="G659" s="4">
        <f>'Raw Data'!F660*0.001648</f>
        <v>0</v>
      </c>
      <c r="H659" s="4">
        <f>'Raw Data'!G660*6*0.000128176</f>
        <v>0</v>
      </c>
      <c r="I659" s="4">
        <f>'Raw Data'!H660*0.000732435</f>
        <v>0</v>
      </c>
      <c r="J659" s="4">
        <f t="shared" si="32"/>
        <v>0</v>
      </c>
      <c r="K659" s="36">
        <f>IF(('Raw Data'!I660-16384)/32768&lt;0,0,('Raw Data'!I660-16384)/32768)</f>
        <v>0</v>
      </c>
      <c r="L659" s="4">
        <f>IF(('Raw Data'!J660-12010)/45.6=-263.377192982456,0,('Raw Data'!J660-12010)/45.6)</f>
        <v>0</v>
      </c>
      <c r="M659" s="16">
        <f>'Raw Data'!N660*2^-8</f>
        <v>0</v>
      </c>
      <c r="N659" s="16">
        <f>'Raw Data'!O660*2^-8</f>
        <v>0</v>
      </c>
      <c r="O659" s="17" t="str">
        <f>IF(BITWISE_AND('Raw Data'!$K660, 8192),"X","")</f>
        <v/>
      </c>
      <c r="P659" s="17" t="str">
        <f>IF(BITWISE_AND('Raw Data'!$K660, 2048),"X","")</f>
        <v/>
      </c>
      <c r="Q659" s="17" t="str">
        <f>IF(BITWISE_AND('Raw Data'!$K660, 64),"X","")</f>
        <v/>
      </c>
      <c r="R659" s="18" t="str">
        <f>IF(BITWISE_AND('Raw Data'!$L660, 1024),"X","")</f>
        <v/>
      </c>
      <c r="S659" s="18" t="str">
        <f>IF(BITWISE_AND('Raw Data'!$L660, 512),"X","")</f>
        <v/>
      </c>
      <c r="T659" s="18" t="str">
        <f>IF(BITWISE_AND('Raw Data'!$L660, 256),"X","")</f>
        <v/>
      </c>
      <c r="U659" s="18" t="str">
        <f>IF(BITWISE_AND('Raw Data'!$L660, 64),"X","")</f>
        <v/>
      </c>
      <c r="V659" s="18" t="str">
        <f>IF(BITWISE_AND('Raw Data'!$L660, 2),"X","")</f>
        <v/>
      </c>
      <c r="W659" s="18" t="str">
        <f>IF(BITWISE_AND('Raw Data'!$L660, 1),"X","")</f>
        <v/>
      </c>
      <c r="X659" s="19" t="str">
        <f>IF(BITWISE_AND('Raw Data'!M660, 1),"Bat Voltage", IF(BITWISE_AND('Raw Data'!M660, 2), "Charge Current", IF(BITWISE_AND('Raw Data'!M660, 4),"Input Ilim", IF(BITWISE_AND('Raw Data'!M660, 8), "Input UV", "none"))))</f>
        <v>none</v>
      </c>
    </row>
    <row r="660" spans="1:24" x14ac:dyDescent="0.2">
      <c r="A660" s="15">
        <f>A659+TIME(0,0,'Raw Data'!B660)</f>
        <v>0</v>
      </c>
      <c r="B660" s="4">
        <f>'Raw Data'!C661*0.025</f>
        <v>0</v>
      </c>
      <c r="C660" s="4">
        <f t="shared" si="30"/>
        <v>0</v>
      </c>
      <c r="D660" s="4">
        <f>'Raw Data'!D661*0.025</f>
        <v>0</v>
      </c>
      <c r="E660" s="4">
        <f t="shared" si="31"/>
        <v>0</v>
      </c>
      <c r="F660" s="4">
        <f>'Raw Data'!E661*0.001648</f>
        <v>0</v>
      </c>
      <c r="G660" s="4">
        <f>'Raw Data'!F661*0.001648</f>
        <v>0</v>
      </c>
      <c r="H660" s="4">
        <f>'Raw Data'!G661*6*0.000128176</f>
        <v>0</v>
      </c>
      <c r="I660" s="4">
        <f>'Raw Data'!H661*0.000732435</f>
        <v>0</v>
      </c>
      <c r="J660" s="4">
        <f t="shared" si="32"/>
        <v>0</v>
      </c>
      <c r="K660" s="36">
        <f>IF(('Raw Data'!I661-16384)/32768&lt;0,0,('Raw Data'!I661-16384)/32768)</f>
        <v>0</v>
      </c>
      <c r="L660" s="4">
        <f>IF(('Raw Data'!J661-12010)/45.6=-263.377192982456,0,('Raw Data'!J661-12010)/45.6)</f>
        <v>0</v>
      </c>
      <c r="M660" s="16">
        <f>'Raw Data'!N661*2^-8</f>
        <v>0</v>
      </c>
      <c r="N660" s="16">
        <f>'Raw Data'!O661*2^-8</f>
        <v>0</v>
      </c>
      <c r="O660" s="17" t="str">
        <f>IF(BITWISE_AND('Raw Data'!$K661, 8192),"X","")</f>
        <v/>
      </c>
      <c r="P660" s="17" t="str">
        <f>IF(BITWISE_AND('Raw Data'!$K661, 2048),"X","")</f>
        <v/>
      </c>
      <c r="Q660" s="17" t="str">
        <f>IF(BITWISE_AND('Raw Data'!$K661, 64),"X","")</f>
        <v/>
      </c>
      <c r="R660" s="18" t="str">
        <f>IF(BITWISE_AND('Raw Data'!$L661, 1024),"X","")</f>
        <v/>
      </c>
      <c r="S660" s="18" t="str">
        <f>IF(BITWISE_AND('Raw Data'!$L661, 512),"X","")</f>
        <v/>
      </c>
      <c r="T660" s="18" t="str">
        <f>IF(BITWISE_AND('Raw Data'!$L661, 256),"X","")</f>
        <v/>
      </c>
      <c r="U660" s="18" t="str">
        <f>IF(BITWISE_AND('Raw Data'!$L661, 64),"X","")</f>
        <v/>
      </c>
      <c r="V660" s="18" t="str">
        <f>IF(BITWISE_AND('Raw Data'!$L661, 2),"X","")</f>
        <v/>
      </c>
      <c r="W660" s="18" t="str">
        <f>IF(BITWISE_AND('Raw Data'!$L661, 1),"X","")</f>
        <v/>
      </c>
      <c r="X660" s="19" t="str">
        <f>IF(BITWISE_AND('Raw Data'!M661, 1),"Bat Voltage", IF(BITWISE_AND('Raw Data'!M661, 2), "Charge Current", IF(BITWISE_AND('Raw Data'!M661, 4),"Input Ilim", IF(BITWISE_AND('Raw Data'!M661, 8), "Input UV", "none"))))</f>
        <v>none</v>
      </c>
    </row>
    <row r="661" spans="1:24" x14ac:dyDescent="0.2">
      <c r="A661" s="15">
        <f>A660+TIME(0,0,'Raw Data'!B661)</f>
        <v>0</v>
      </c>
      <c r="B661" s="4">
        <f>'Raw Data'!C662*0.025</f>
        <v>0</v>
      </c>
      <c r="C661" s="4">
        <f t="shared" ref="C661:C724" si="33">C660+B661/60</f>
        <v>0</v>
      </c>
      <c r="D661" s="4">
        <f>'Raw Data'!D662*0.025</f>
        <v>0</v>
      </c>
      <c r="E661" s="4">
        <f t="shared" ref="E661:E724" si="34">E660+D661/60</f>
        <v>0</v>
      </c>
      <c r="F661" s="4">
        <f>'Raw Data'!E662*0.001648</f>
        <v>0</v>
      </c>
      <c r="G661" s="4">
        <f>'Raw Data'!F662*0.001648</f>
        <v>0</v>
      </c>
      <c r="H661" s="4">
        <f>'Raw Data'!G662*6*0.000128176</f>
        <v>0</v>
      </c>
      <c r="I661" s="4">
        <f>'Raw Data'!H662*0.000732435</f>
        <v>0</v>
      </c>
      <c r="J661" s="4">
        <f t="shared" si="32"/>
        <v>0</v>
      </c>
      <c r="K661" s="36">
        <f>IF(('Raw Data'!I662-16384)/32768&lt;0,0,('Raw Data'!I662-16384)/32768)</f>
        <v>0</v>
      </c>
      <c r="L661" s="4">
        <f>IF(('Raw Data'!J662-12010)/45.6=-263.377192982456,0,('Raw Data'!J662-12010)/45.6)</f>
        <v>0</v>
      </c>
      <c r="M661" s="16">
        <f>'Raw Data'!N662*2^-8</f>
        <v>0</v>
      </c>
      <c r="N661" s="16">
        <f>'Raw Data'!O662*2^-8</f>
        <v>0</v>
      </c>
      <c r="O661" s="17" t="str">
        <f>IF(BITWISE_AND('Raw Data'!$K662, 8192),"X","")</f>
        <v/>
      </c>
      <c r="P661" s="17" t="str">
        <f>IF(BITWISE_AND('Raw Data'!$K662, 2048),"X","")</f>
        <v/>
      </c>
      <c r="Q661" s="17" t="str">
        <f>IF(BITWISE_AND('Raw Data'!$K662, 64),"X","")</f>
        <v/>
      </c>
      <c r="R661" s="18" t="str">
        <f>IF(BITWISE_AND('Raw Data'!$L662, 1024),"X","")</f>
        <v/>
      </c>
      <c r="S661" s="18" t="str">
        <f>IF(BITWISE_AND('Raw Data'!$L662, 512),"X","")</f>
        <v/>
      </c>
      <c r="T661" s="18" t="str">
        <f>IF(BITWISE_AND('Raw Data'!$L662, 256),"X","")</f>
        <v/>
      </c>
      <c r="U661" s="18" t="str">
        <f>IF(BITWISE_AND('Raw Data'!$L662, 64),"X","")</f>
        <v/>
      </c>
      <c r="V661" s="18" t="str">
        <f>IF(BITWISE_AND('Raw Data'!$L662, 2),"X","")</f>
        <v/>
      </c>
      <c r="W661" s="18" t="str">
        <f>IF(BITWISE_AND('Raw Data'!$L662, 1),"X","")</f>
        <v/>
      </c>
      <c r="X661" s="19" t="str">
        <f>IF(BITWISE_AND('Raw Data'!M662, 1),"Bat Voltage", IF(BITWISE_AND('Raw Data'!M662, 2), "Charge Current", IF(BITWISE_AND('Raw Data'!M662, 4),"Input Ilim", IF(BITWISE_AND('Raw Data'!M662, 8), "Input UV", "none"))))</f>
        <v>none</v>
      </c>
    </row>
    <row r="662" spans="1:24" x14ac:dyDescent="0.2">
      <c r="A662" s="15">
        <f>A661+TIME(0,0,'Raw Data'!B662)</f>
        <v>0</v>
      </c>
      <c r="B662" s="4">
        <f>'Raw Data'!C663*0.025</f>
        <v>0</v>
      </c>
      <c r="C662" s="4">
        <f t="shared" si="33"/>
        <v>0</v>
      </c>
      <c r="D662" s="4">
        <f>'Raw Data'!D663*0.025</f>
        <v>0</v>
      </c>
      <c r="E662" s="4">
        <f t="shared" si="34"/>
        <v>0</v>
      </c>
      <c r="F662" s="4">
        <f>'Raw Data'!E663*0.001648</f>
        <v>0</v>
      </c>
      <c r="G662" s="4">
        <f>'Raw Data'!F663*0.001648</f>
        <v>0</v>
      </c>
      <c r="H662" s="4">
        <f>'Raw Data'!G663*6*0.000128176</f>
        <v>0</v>
      </c>
      <c r="I662" s="4">
        <f>'Raw Data'!H663*0.000732435</f>
        <v>0</v>
      </c>
      <c r="J662" s="4">
        <f t="shared" si="32"/>
        <v>0</v>
      </c>
      <c r="K662" s="36">
        <f>IF(('Raw Data'!I663-16384)/32768&lt;0,0,('Raw Data'!I663-16384)/32768)</f>
        <v>0</v>
      </c>
      <c r="L662" s="4">
        <f>IF(('Raw Data'!J663-12010)/45.6=-263.377192982456,0,('Raw Data'!J663-12010)/45.6)</f>
        <v>0</v>
      </c>
      <c r="M662" s="16">
        <f>'Raw Data'!N663*2^-8</f>
        <v>0</v>
      </c>
      <c r="N662" s="16">
        <f>'Raw Data'!O663*2^-8</f>
        <v>0</v>
      </c>
      <c r="O662" s="17" t="str">
        <f>IF(BITWISE_AND('Raw Data'!$K663, 8192),"X","")</f>
        <v/>
      </c>
      <c r="P662" s="17" t="str">
        <f>IF(BITWISE_AND('Raw Data'!$K663, 2048),"X","")</f>
        <v/>
      </c>
      <c r="Q662" s="17" t="str">
        <f>IF(BITWISE_AND('Raw Data'!$K663, 64),"X","")</f>
        <v/>
      </c>
      <c r="R662" s="18" t="str">
        <f>IF(BITWISE_AND('Raw Data'!$L663, 1024),"X","")</f>
        <v/>
      </c>
      <c r="S662" s="18" t="str">
        <f>IF(BITWISE_AND('Raw Data'!$L663, 512),"X","")</f>
        <v/>
      </c>
      <c r="T662" s="18" t="str">
        <f>IF(BITWISE_AND('Raw Data'!$L663, 256),"X","")</f>
        <v/>
      </c>
      <c r="U662" s="18" t="str">
        <f>IF(BITWISE_AND('Raw Data'!$L663, 64),"X","")</f>
        <v/>
      </c>
      <c r="V662" s="18" t="str">
        <f>IF(BITWISE_AND('Raw Data'!$L663, 2),"X","")</f>
        <v/>
      </c>
      <c r="W662" s="18" t="str">
        <f>IF(BITWISE_AND('Raw Data'!$L663, 1),"X","")</f>
        <v/>
      </c>
      <c r="X662" s="19" t="str">
        <f>IF(BITWISE_AND('Raw Data'!M663, 1),"Bat Voltage", IF(BITWISE_AND('Raw Data'!M663, 2), "Charge Current", IF(BITWISE_AND('Raw Data'!M663, 4),"Input Ilim", IF(BITWISE_AND('Raw Data'!M663, 8), "Input UV", "none"))))</f>
        <v>none</v>
      </c>
    </row>
    <row r="663" spans="1:24" x14ac:dyDescent="0.2">
      <c r="A663" s="15">
        <f>A662+TIME(0,0,'Raw Data'!B663)</f>
        <v>0</v>
      </c>
      <c r="B663" s="4">
        <f>'Raw Data'!C664*0.025</f>
        <v>0</v>
      </c>
      <c r="C663" s="4">
        <f t="shared" si="33"/>
        <v>0</v>
      </c>
      <c r="D663" s="4">
        <f>'Raw Data'!D664*0.025</f>
        <v>0</v>
      </c>
      <c r="E663" s="4">
        <f t="shared" si="34"/>
        <v>0</v>
      </c>
      <c r="F663" s="4">
        <f>'Raw Data'!E664*0.001648</f>
        <v>0</v>
      </c>
      <c r="G663" s="4">
        <f>'Raw Data'!F664*0.001648</f>
        <v>0</v>
      </c>
      <c r="H663" s="4">
        <f>'Raw Data'!G664*6*0.000128176</f>
        <v>0</v>
      </c>
      <c r="I663" s="4">
        <f>'Raw Data'!H664*0.000732435</f>
        <v>0</v>
      </c>
      <c r="J663" s="4">
        <f t="shared" si="32"/>
        <v>0</v>
      </c>
      <c r="K663" s="36">
        <f>IF(('Raw Data'!I664-16384)/32768&lt;0,0,('Raw Data'!I664-16384)/32768)</f>
        <v>0</v>
      </c>
      <c r="L663" s="4">
        <f>IF(('Raw Data'!J664-12010)/45.6=-263.377192982456,0,('Raw Data'!J664-12010)/45.6)</f>
        <v>0</v>
      </c>
      <c r="M663" s="16">
        <f>'Raw Data'!N664*2^-8</f>
        <v>0</v>
      </c>
      <c r="N663" s="16">
        <f>'Raw Data'!O664*2^-8</f>
        <v>0</v>
      </c>
      <c r="O663" s="17" t="str">
        <f>IF(BITWISE_AND('Raw Data'!$K664, 8192),"X","")</f>
        <v/>
      </c>
      <c r="P663" s="17" t="str">
        <f>IF(BITWISE_AND('Raw Data'!$K664, 2048),"X","")</f>
        <v/>
      </c>
      <c r="Q663" s="17" t="str">
        <f>IF(BITWISE_AND('Raw Data'!$K664, 64),"X","")</f>
        <v/>
      </c>
      <c r="R663" s="18" t="str">
        <f>IF(BITWISE_AND('Raw Data'!$L664, 1024),"X","")</f>
        <v/>
      </c>
      <c r="S663" s="18" t="str">
        <f>IF(BITWISE_AND('Raw Data'!$L664, 512),"X","")</f>
        <v/>
      </c>
      <c r="T663" s="18" t="str">
        <f>IF(BITWISE_AND('Raw Data'!$L664, 256),"X","")</f>
        <v/>
      </c>
      <c r="U663" s="18" t="str">
        <f>IF(BITWISE_AND('Raw Data'!$L664, 64),"X","")</f>
        <v/>
      </c>
      <c r="V663" s="18" t="str">
        <f>IF(BITWISE_AND('Raw Data'!$L664, 2),"X","")</f>
        <v/>
      </c>
      <c r="W663" s="18" t="str">
        <f>IF(BITWISE_AND('Raw Data'!$L664, 1),"X","")</f>
        <v/>
      </c>
      <c r="X663" s="19" t="str">
        <f>IF(BITWISE_AND('Raw Data'!M664, 1),"Bat Voltage", IF(BITWISE_AND('Raw Data'!M664, 2), "Charge Current", IF(BITWISE_AND('Raw Data'!M664, 4),"Input Ilim", IF(BITWISE_AND('Raw Data'!M664, 8), "Input UV", "none"))))</f>
        <v>none</v>
      </c>
    </row>
    <row r="664" spans="1:24" x14ac:dyDescent="0.2">
      <c r="A664" s="15">
        <f>A663+TIME(0,0,'Raw Data'!B664)</f>
        <v>0</v>
      </c>
      <c r="B664" s="4">
        <f>'Raw Data'!C665*0.025</f>
        <v>0</v>
      </c>
      <c r="C664" s="4">
        <f t="shared" si="33"/>
        <v>0</v>
      </c>
      <c r="D664" s="4">
        <f>'Raw Data'!D665*0.025</f>
        <v>0</v>
      </c>
      <c r="E664" s="4">
        <f t="shared" si="34"/>
        <v>0</v>
      </c>
      <c r="F664" s="4">
        <f>'Raw Data'!E665*0.001648</f>
        <v>0</v>
      </c>
      <c r="G664" s="4">
        <f>'Raw Data'!F665*0.001648</f>
        <v>0</v>
      </c>
      <c r="H664" s="4">
        <f>'Raw Data'!G665*6*0.000128176</f>
        <v>0</v>
      </c>
      <c r="I664" s="4">
        <f>'Raw Data'!H665*0.000732435</f>
        <v>0</v>
      </c>
      <c r="J664" s="4">
        <f t="shared" si="32"/>
        <v>0</v>
      </c>
      <c r="K664" s="36">
        <f>IF(('Raw Data'!I665-16384)/32768&lt;0,0,('Raw Data'!I665-16384)/32768)</f>
        <v>0</v>
      </c>
      <c r="L664" s="4">
        <f>IF(('Raw Data'!J665-12010)/45.6=-263.377192982456,0,('Raw Data'!J665-12010)/45.6)</f>
        <v>0</v>
      </c>
      <c r="M664" s="16">
        <f>'Raw Data'!N665*2^-8</f>
        <v>0</v>
      </c>
      <c r="N664" s="16">
        <f>'Raw Data'!O665*2^-8</f>
        <v>0</v>
      </c>
      <c r="O664" s="17" t="str">
        <f>IF(BITWISE_AND('Raw Data'!$K665, 8192),"X","")</f>
        <v/>
      </c>
      <c r="P664" s="17" t="str">
        <f>IF(BITWISE_AND('Raw Data'!$K665, 2048),"X","")</f>
        <v/>
      </c>
      <c r="Q664" s="17" t="str">
        <f>IF(BITWISE_AND('Raw Data'!$K665, 64),"X","")</f>
        <v/>
      </c>
      <c r="R664" s="18" t="str">
        <f>IF(BITWISE_AND('Raw Data'!$L665, 1024),"X","")</f>
        <v/>
      </c>
      <c r="S664" s="18" t="str">
        <f>IF(BITWISE_AND('Raw Data'!$L665, 512),"X","")</f>
        <v/>
      </c>
      <c r="T664" s="18" t="str">
        <f>IF(BITWISE_AND('Raw Data'!$L665, 256),"X","")</f>
        <v/>
      </c>
      <c r="U664" s="18" t="str">
        <f>IF(BITWISE_AND('Raw Data'!$L665, 64),"X","")</f>
        <v/>
      </c>
      <c r="V664" s="18" t="str">
        <f>IF(BITWISE_AND('Raw Data'!$L665, 2),"X","")</f>
        <v/>
      </c>
      <c r="W664" s="18" t="str">
        <f>IF(BITWISE_AND('Raw Data'!$L665, 1),"X","")</f>
        <v/>
      </c>
      <c r="X664" s="19" t="str">
        <f>IF(BITWISE_AND('Raw Data'!M665, 1),"Bat Voltage", IF(BITWISE_AND('Raw Data'!M665, 2), "Charge Current", IF(BITWISE_AND('Raw Data'!M665, 4),"Input Ilim", IF(BITWISE_AND('Raw Data'!M665, 8), "Input UV", "none"))))</f>
        <v>none</v>
      </c>
    </row>
    <row r="665" spans="1:24" x14ac:dyDescent="0.2">
      <c r="A665" s="15">
        <f>A664+TIME(0,0,'Raw Data'!B665)</f>
        <v>0</v>
      </c>
      <c r="B665" s="4">
        <f>'Raw Data'!C666*0.025</f>
        <v>0</v>
      </c>
      <c r="C665" s="4">
        <f t="shared" si="33"/>
        <v>0</v>
      </c>
      <c r="D665" s="4">
        <f>'Raw Data'!D666*0.025</f>
        <v>0</v>
      </c>
      <c r="E665" s="4">
        <f t="shared" si="34"/>
        <v>0</v>
      </c>
      <c r="F665" s="4">
        <f>'Raw Data'!E666*0.001648</f>
        <v>0</v>
      </c>
      <c r="G665" s="4">
        <f>'Raw Data'!F666*0.001648</f>
        <v>0</v>
      </c>
      <c r="H665" s="4">
        <f>'Raw Data'!G666*6*0.000128176</f>
        <v>0</v>
      </c>
      <c r="I665" s="4">
        <f>'Raw Data'!H666*0.000732435</f>
        <v>0</v>
      </c>
      <c r="J665" s="4">
        <f t="shared" si="32"/>
        <v>0</v>
      </c>
      <c r="K665" s="36">
        <f>IF(('Raw Data'!I666-16384)/32768&lt;0,0,('Raw Data'!I666-16384)/32768)</f>
        <v>0</v>
      </c>
      <c r="L665" s="4">
        <f>IF(('Raw Data'!J666-12010)/45.6=-263.377192982456,0,('Raw Data'!J666-12010)/45.6)</f>
        <v>0</v>
      </c>
      <c r="M665" s="16">
        <f>'Raw Data'!N666*2^-8</f>
        <v>0</v>
      </c>
      <c r="N665" s="16">
        <f>'Raw Data'!O666*2^-8</f>
        <v>0</v>
      </c>
      <c r="O665" s="17" t="str">
        <f>IF(BITWISE_AND('Raw Data'!$K666, 8192),"X","")</f>
        <v/>
      </c>
      <c r="P665" s="17" t="str">
        <f>IF(BITWISE_AND('Raw Data'!$K666, 2048),"X","")</f>
        <v/>
      </c>
      <c r="Q665" s="17" t="str">
        <f>IF(BITWISE_AND('Raw Data'!$K666, 64),"X","")</f>
        <v/>
      </c>
      <c r="R665" s="18" t="str">
        <f>IF(BITWISE_AND('Raw Data'!$L666, 1024),"X","")</f>
        <v/>
      </c>
      <c r="S665" s="18" t="str">
        <f>IF(BITWISE_AND('Raw Data'!$L666, 512),"X","")</f>
        <v/>
      </c>
      <c r="T665" s="18" t="str">
        <f>IF(BITWISE_AND('Raw Data'!$L666, 256),"X","")</f>
        <v/>
      </c>
      <c r="U665" s="18" t="str">
        <f>IF(BITWISE_AND('Raw Data'!$L666, 64),"X","")</f>
        <v/>
      </c>
      <c r="V665" s="18" t="str">
        <f>IF(BITWISE_AND('Raw Data'!$L666, 2),"X","")</f>
        <v/>
      </c>
      <c r="W665" s="18" t="str">
        <f>IF(BITWISE_AND('Raw Data'!$L666, 1),"X","")</f>
        <v/>
      </c>
      <c r="X665" s="19" t="str">
        <f>IF(BITWISE_AND('Raw Data'!M666, 1),"Bat Voltage", IF(BITWISE_AND('Raw Data'!M666, 2), "Charge Current", IF(BITWISE_AND('Raw Data'!M666, 4),"Input Ilim", IF(BITWISE_AND('Raw Data'!M666, 8), "Input UV", "none"))))</f>
        <v>none</v>
      </c>
    </row>
    <row r="666" spans="1:24" x14ac:dyDescent="0.2">
      <c r="A666" s="15">
        <f>A665+TIME(0,0,'Raw Data'!B666)</f>
        <v>0</v>
      </c>
      <c r="B666" s="4">
        <f>'Raw Data'!C667*0.025</f>
        <v>0</v>
      </c>
      <c r="C666" s="4">
        <f t="shared" si="33"/>
        <v>0</v>
      </c>
      <c r="D666" s="4">
        <f>'Raw Data'!D667*0.025</f>
        <v>0</v>
      </c>
      <c r="E666" s="4">
        <f t="shared" si="34"/>
        <v>0</v>
      </c>
      <c r="F666" s="4">
        <f>'Raw Data'!E667*0.001648</f>
        <v>0</v>
      </c>
      <c r="G666" s="4">
        <f>'Raw Data'!F667*0.001648</f>
        <v>0</v>
      </c>
      <c r="H666" s="4">
        <f>'Raw Data'!G667*6*0.000128176</f>
        <v>0</v>
      </c>
      <c r="I666" s="4">
        <f>'Raw Data'!H667*0.000732435</f>
        <v>0</v>
      </c>
      <c r="J666" s="4">
        <f t="shared" si="32"/>
        <v>0</v>
      </c>
      <c r="K666" s="36">
        <f>IF(('Raw Data'!I667-16384)/32768&lt;0,0,('Raw Data'!I667-16384)/32768)</f>
        <v>0</v>
      </c>
      <c r="L666" s="4">
        <f>IF(('Raw Data'!J667-12010)/45.6=-263.377192982456,0,('Raw Data'!J667-12010)/45.6)</f>
        <v>0</v>
      </c>
      <c r="M666" s="16">
        <f>'Raw Data'!N667*2^-8</f>
        <v>0</v>
      </c>
      <c r="N666" s="16">
        <f>'Raw Data'!O667*2^-8</f>
        <v>0</v>
      </c>
      <c r="O666" s="17" t="str">
        <f>IF(BITWISE_AND('Raw Data'!$K667, 8192),"X","")</f>
        <v/>
      </c>
      <c r="P666" s="17" t="str">
        <f>IF(BITWISE_AND('Raw Data'!$K667, 2048),"X","")</f>
        <v/>
      </c>
      <c r="Q666" s="17" t="str">
        <f>IF(BITWISE_AND('Raw Data'!$K667, 64),"X","")</f>
        <v/>
      </c>
      <c r="R666" s="18" t="str">
        <f>IF(BITWISE_AND('Raw Data'!$L667, 1024),"X","")</f>
        <v/>
      </c>
      <c r="S666" s="18" t="str">
        <f>IF(BITWISE_AND('Raw Data'!$L667, 512),"X","")</f>
        <v/>
      </c>
      <c r="T666" s="18" t="str">
        <f>IF(BITWISE_AND('Raw Data'!$L667, 256),"X","")</f>
        <v/>
      </c>
      <c r="U666" s="18" t="str">
        <f>IF(BITWISE_AND('Raw Data'!$L667, 64),"X","")</f>
        <v/>
      </c>
      <c r="V666" s="18" t="str">
        <f>IF(BITWISE_AND('Raw Data'!$L667, 2),"X","")</f>
        <v/>
      </c>
      <c r="W666" s="18" t="str">
        <f>IF(BITWISE_AND('Raw Data'!$L667, 1),"X","")</f>
        <v/>
      </c>
      <c r="X666" s="19" t="str">
        <f>IF(BITWISE_AND('Raw Data'!M667, 1),"Bat Voltage", IF(BITWISE_AND('Raw Data'!M667, 2), "Charge Current", IF(BITWISE_AND('Raw Data'!M667, 4),"Input Ilim", IF(BITWISE_AND('Raw Data'!M667, 8), "Input UV", "none"))))</f>
        <v>none</v>
      </c>
    </row>
    <row r="667" spans="1:24" x14ac:dyDescent="0.2">
      <c r="A667" s="15">
        <f>A666+TIME(0,0,'Raw Data'!B667)</f>
        <v>0</v>
      </c>
      <c r="B667" s="4">
        <f>'Raw Data'!C668*0.025</f>
        <v>0</v>
      </c>
      <c r="C667" s="4">
        <f t="shared" si="33"/>
        <v>0</v>
      </c>
      <c r="D667" s="4">
        <f>'Raw Data'!D668*0.025</f>
        <v>0</v>
      </c>
      <c r="E667" s="4">
        <f t="shared" si="34"/>
        <v>0</v>
      </c>
      <c r="F667" s="4">
        <f>'Raw Data'!E668*0.001648</f>
        <v>0</v>
      </c>
      <c r="G667" s="4">
        <f>'Raw Data'!F668*0.001648</f>
        <v>0</v>
      </c>
      <c r="H667" s="4">
        <f>'Raw Data'!G668*6*0.000128176</f>
        <v>0</v>
      </c>
      <c r="I667" s="4">
        <f>'Raw Data'!H668*0.000732435</f>
        <v>0</v>
      </c>
      <c r="J667" s="4">
        <f t="shared" si="32"/>
        <v>0</v>
      </c>
      <c r="K667" s="36">
        <f>IF(('Raw Data'!I668-16384)/32768&lt;0,0,('Raw Data'!I668-16384)/32768)</f>
        <v>0</v>
      </c>
      <c r="L667" s="4">
        <f>IF(('Raw Data'!J668-12010)/45.6=-263.377192982456,0,('Raw Data'!J668-12010)/45.6)</f>
        <v>0</v>
      </c>
      <c r="M667" s="16">
        <f>'Raw Data'!N668*2^-8</f>
        <v>0</v>
      </c>
      <c r="N667" s="16">
        <f>'Raw Data'!O668*2^-8</f>
        <v>0</v>
      </c>
      <c r="O667" s="17" t="str">
        <f>IF(BITWISE_AND('Raw Data'!$K668, 8192),"X","")</f>
        <v/>
      </c>
      <c r="P667" s="17" t="str">
        <f>IF(BITWISE_AND('Raw Data'!$K668, 2048),"X","")</f>
        <v/>
      </c>
      <c r="Q667" s="17" t="str">
        <f>IF(BITWISE_AND('Raw Data'!$K668, 64),"X","")</f>
        <v/>
      </c>
      <c r="R667" s="18" t="str">
        <f>IF(BITWISE_AND('Raw Data'!$L668, 1024),"X","")</f>
        <v/>
      </c>
      <c r="S667" s="18" t="str">
        <f>IF(BITWISE_AND('Raw Data'!$L668, 512),"X","")</f>
        <v/>
      </c>
      <c r="T667" s="18" t="str">
        <f>IF(BITWISE_AND('Raw Data'!$L668, 256),"X","")</f>
        <v/>
      </c>
      <c r="U667" s="18" t="str">
        <f>IF(BITWISE_AND('Raw Data'!$L668, 64),"X","")</f>
        <v/>
      </c>
      <c r="V667" s="18" t="str">
        <f>IF(BITWISE_AND('Raw Data'!$L668, 2),"X","")</f>
        <v/>
      </c>
      <c r="W667" s="18" t="str">
        <f>IF(BITWISE_AND('Raw Data'!$L668, 1),"X","")</f>
        <v/>
      </c>
      <c r="X667" s="19" t="str">
        <f>IF(BITWISE_AND('Raw Data'!M668, 1),"Bat Voltage", IF(BITWISE_AND('Raw Data'!M668, 2), "Charge Current", IF(BITWISE_AND('Raw Data'!M668, 4),"Input Ilim", IF(BITWISE_AND('Raw Data'!M668, 8), "Input UV", "none"))))</f>
        <v>none</v>
      </c>
    </row>
    <row r="668" spans="1:24" x14ac:dyDescent="0.2">
      <c r="A668" s="15">
        <f>A667+TIME(0,0,'Raw Data'!B668)</f>
        <v>0</v>
      </c>
      <c r="B668" s="4">
        <f>'Raw Data'!C669*0.025</f>
        <v>0</v>
      </c>
      <c r="C668" s="4">
        <f t="shared" si="33"/>
        <v>0</v>
      </c>
      <c r="D668" s="4">
        <f>'Raw Data'!D669*0.025</f>
        <v>0</v>
      </c>
      <c r="E668" s="4">
        <f t="shared" si="34"/>
        <v>0</v>
      </c>
      <c r="F668" s="4">
        <f>'Raw Data'!E669*0.001648</f>
        <v>0</v>
      </c>
      <c r="G668" s="4">
        <f>'Raw Data'!F669*0.001648</f>
        <v>0</v>
      </c>
      <c r="H668" s="4">
        <f>'Raw Data'!G669*6*0.000128176</f>
        <v>0</v>
      </c>
      <c r="I668" s="4">
        <f>'Raw Data'!H669*0.000732435</f>
        <v>0</v>
      </c>
      <c r="J668" s="4">
        <f t="shared" si="32"/>
        <v>0</v>
      </c>
      <c r="K668" s="36">
        <f>IF(('Raw Data'!I669-16384)/32768&lt;0,0,('Raw Data'!I669-16384)/32768)</f>
        <v>0</v>
      </c>
      <c r="L668" s="4">
        <f>IF(('Raw Data'!J669-12010)/45.6=-263.377192982456,0,('Raw Data'!J669-12010)/45.6)</f>
        <v>0</v>
      </c>
      <c r="M668" s="16">
        <f>'Raw Data'!N669*2^-8</f>
        <v>0</v>
      </c>
      <c r="N668" s="16">
        <f>'Raw Data'!O669*2^-8</f>
        <v>0</v>
      </c>
      <c r="O668" s="17" t="str">
        <f>IF(BITWISE_AND('Raw Data'!$K669, 8192),"X","")</f>
        <v/>
      </c>
      <c r="P668" s="17" t="str">
        <f>IF(BITWISE_AND('Raw Data'!$K669, 2048),"X","")</f>
        <v/>
      </c>
      <c r="Q668" s="17" t="str">
        <f>IF(BITWISE_AND('Raw Data'!$K669, 64),"X","")</f>
        <v/>
      </c>
      <c r="R668" s="18" t="str">
        <f>IF(BITWISE_AND('Raw Data'!$L669, 1024),"X","")</f>
        <v/>
      </c>
      <c r="S668" s="18" t="str">
        <f>IF(BITWISE_AND('Raw Data'!$L669, 512),"X","")</f>
        <v/>
      </c>
      <c r="T668" s="18" t="str">
        <f>IF(BITWISE_AND('Raw Data'!$L669, 256),"X","")</f>
        <v/>
      </c>
      <c r="U668" s="18" t="str">
        <f>IF(BITWISE_AND('Raw Data'!$L669, 64),"X","")</f>
        <v/>
      </c>
      <c r="V668" s="18" t="str">
        <f>IF(BITWISE_AND('Raw Data'!$L669, 2),"X","")</f>
        <v/>
      </c>
      <c r="W668" s="18" t="str">
        <f>IF(BITWISE_AND('Raw Data'!$L669, 1),"X","")</f>
        <v/>
      </c>
      <c r="X668" s="19" t="str">
        <f>IF(BITWISE_AND('Raw Data'!M669, 1),"Bat Voltage", IF(BITWISE_AND('Raw Data'!M669, 2), "Charge Current", IF(BITWISE_AND('Raw Data'!M669, 4),"Input Ilim", IF(BITWISE_AND('Raw Data'!M669, 8), "Input UV", "none"))))</f>
        <v>none</v>
      </c>
    </row>
    <row r="669" spans="1:24" x14ac:dyDescent="0.2">
      <c r="A669" s="15">
        <f>A668+TIME(0,0,'Raw Data'!B669)</f>
        <v>0</v>
      </c>
      <c r="B669" s="4">
        <f>'Raw Data'!C670*0.025</f>
        <v>0</v>
      </c>
      <c r="C669" s="4">
        <f t="shared" si="33"/>
        <v>0</v>
      </c>
      <c r="D669" s="4">
        <f>'Raw Data'!D670*0.025</f>
        <v>0</v>
      </c>
      <c r="E669" s="4">
        <f t="shared" si="34"/>
        <v>0</v>
      </c>
      <c r="F669" s="4">
        <f>'Raw Data'!E670*0.001648</f>
        <v>0</v>
      </c>
      <c r="G669" s="4">
        <f>'Raw Data'!F670*0.001648</f>
        <v>0</v>
      </c>
      <c r="H669" s="4">
        <f>'Raw Data'!G670*6*0.000128176</f>
        <v>0</v>
      </c>
      <c r="I669" s="4">
        <f>'Raw Data'!H670*0.000732435</f>
        <v>0</v>
      </c>
      <c r="J669" s="4">
        <f t="shared" si="32"/>
        <v>0</v>
      </c>
      <c r="K669" s="36">
        <f>IF(('Raw Data'!I670-16384)/32768&lt;0,0,('Raw Data'!I670-16384)/32768)</f>
        <v>0</v>
      </c>
      <c r="L669" s="4">
        <f>IF(('Raw Data'!J670-12010)/45.6=-263.377192982456,0,('Raw Data'!J670-12010)/45.6)</f>
        <v>0</v>
      </c>
      <c r="M669" s="16">
        <f>'Raw Data'!N670*2^-8</f>
        <v>0</v>
      </c>
      <c r="N669" s="16">
        <f>'Raw Data'!O670*2^-8</f>
        <v>0</v>
      </c>
      <c r="O669" s="17" t="str">
        <f>IF(BITWISE_AND('Raw Data'!$K670, 8192),"X","")</f>
        <v/>
      </c>
      <c r="P669" s="17" t="str">
        <f>IF(BITWISE_AND('Raw Data'!$K670, 2048),"X","")</f>
        <v/>
      </c>
      <c r="Q669" s="17" t="str">
        <f>IF(BITWISE_AND('Raw Data'!$K670, 64),"X","")</f>
        <v/>
      </c>
      <c r="R669" s="18" t="str">
        <f>IF(BITWISE_AND('Raw Data'!$L670, 1024),"X","")</f>
        <v/>
      </c>
      <c r="S669" s="18" t="str">
        <f>IF(BITWISE_AND('Raw Data'!$L670, 512),"X","")</f>
        <v/>
      </c>
      <c r="T669" s="18" t="str">
        <f>IF(BITWISE_AND('Raw Data'!$L670, 256),"X","")</f>
        <v/>
      </c>
      <c r="U669" s="18" t="str">
        <f>IF(BITWISE_AND('Raw Data'!$L670, 64),"X","")</f>
        <v/>
      </c>
      <c r="V669" s="18" t="str">
        <f>IF(BITWISE_AND('Raw Data'!$L670, 2),"X","")</f>
        <v/>
      </c>
      <c r="W669" s="18" t="str">
        <f>IF(BITWISE_AND('Raw Data'!$L670, 1),"X","")</f>
        <v/>
      </c>
      <c r="X669" s="19" t="str">
        <f>IF(BITWISE_AND('Raw Data'!M670, 1),"Bat Voltage", IF(BITWISE_AND('Raw Data'!M670, 2), "Charge Current", IF(BITWISE_AND('Raw Data'!M670, 4),"Input Ilim", IF(BITWISE_AND('Raw Data'!M670, 8), "Input UV", "none"))))</f>
        <v>none</v>
      </c>
    </row>
    <row r="670" spans="1:24" x14ac:dyDescent="0.2">
      <c r="A670" s="15">
        <f>A669+TIME(0,0,'Raw Data'!B670)</f>
        <v>0</v>
      </c>
      <c r="B670" s="4">
        <f>'Raw Data'!C671*0.025</f>
        <v>0</v>
      </c>
      <c r="C670" s="4">
        <f t="shared" si="33"/>
        <v>0</v>
      </c>
      <c r="D670" s="4">
        <f>'Raw Data'!D671*0.025</f>
        <v>0</v>
      </c>
      <c r="E670" s="4">
        <f t="shared" si="34"/>
        <v>0</v>
      </c>
      <c r="F670" s="4">
        <f>'Raw Data'!E671*0.001648</f>
        <v>0</v>
      </c>
      <c r="G670" s="4">
        <f>'Raw Data'!F671*0.001648</f>
        <v>0</v>
      </c>
      <c r="H670" s="4">
        <f>'Raw Data'!G671*6*0.000128176</f>
        <v>0</v>
      </c>
      <c r="I670" s="4">
        <f>'Raw Data'!H671*0.000732435</f>
        <v>0</v>
      </c>
      <c r="J670" s="4">
        <f t="shared" si="32"/>
        <v>0</v>
      </c>
      <c r="K670" s="36">
        <f>IF(('Raw Data'!I671-16384)/32768&lt;0,0,('Raw Data'!I671-16384)/32768)</f>
        <v>0</v>
      </c>
      <c r="L670" s="4">
        <f>IF(('Raw Data'!J671-12010)/45.6=-263.377192982456,0,('Raw Data'!J671-12010)/45.6)</f>
        <v>0</v>
      </c>
      <c r="M670" s="16">
        <f>'Raw Data'!N671*2^-8</f>
        <v>0</v>
      </c>
      <c r="N670" s="16">
        <f>'Raw Data'!O671*2^-8</f>
        <v>0</v>
      </c>
      <c r="O670" s="17" t="str">
        <f>IF(BITWISE_AND('Raw Data'!$K671, 8192),"X","")</f>
        <v/>
      </c>
      <c r="P670" s="17" t="str">
        <f>IF(BITWISE_AND('Raw Data'!$K671, 2048),"X","")</f>
        <v/>
      </c>
      <c r="Q670" s="17" t="str">
        <f>IF(BITWISE_AND('Raw Data'!$K671, 64),"X","")</f>
        <v/>
      </c>
      <c r="R670" s="18" t="str">
        <f>IF(BITWISE_AND('Raw Data'!$L671, 1024),"X","")</f>
        <v/>
      </c>
      <c r="S670" s="18" t="str">
        <f>IF(BITWISE_AND('Raw Data'!$L671, 512),"X","")</f>
        <v/>
      </c>
      <c r="T670" s="18" t="str">
        <f>IF(BITWISE_AND('Raw Data'!$L671, 256),"X","")</f>
        <v/>
      </c>
      <c r="U670" s="18" t="str">
        <f>IF(BITWISE_AND('Raw Data'!$L671, 64),"X","")</f>
        <v/>
      </c>
      <c r="V670" s="18" t="str">
        <f>IF(BITWISE_AND('Raw Data'!$L671, 2),"X","")</f>
        <v/>
      </c>
      <c r="W670" s="18" t="str">
        <f>IF(BITWISE_AND('Raw Data'!$L671, 1),"X","")</f>
        <v/>
      </c>
      <c r="X670" s="19" t="str">
        <f>IF(BITWISE_AND('Raw Data'!M671, 1),"Bat Voltage", IF(BITWISE_AND('Raw Data'!M671, 2), "Charge Current", IF(BITWISE_AND('Raw Data'!M671, 4),"Input Ilim", IF(BITWISE_AND('Raw Data'!M671, 8), "Input UV", "none"))))</f>
        <v>none</v>
      </c>
    </row>
    <row r="671" spans="1:24" x14ac:dyDescent="0.2">
      <c r="A671" s="15">
        <f>A670+TIME(0,0,'Raw Data'!B671)</f>
        <v>0</v>
      </c>
      <c r="B671" s="4">
        <f>'Raw Data'!C672*0.025</f>
        <v>0</v>
      </c>
      <c r="C671" s="4">
        <f t="shared" si="33"/>
        <v>0</v>
      </c>
      <c r="D671" s="4">
        <f>'Raw Data'!D672*0.025</f>
        <v>0</v>
      </c>
      <c r="E671" s="4">
        <f t="shared" si="34"/>
        <v>0</v>
      </c>
      <c r="F671" s="4">
        <f>'Raw Data'!E672*0.001648</f>
        <v>0</v>
      </c>
      <c r="G671" s="4">
        <f>'Raw Data'!F672*0.001648</f>
        <v>0</v>
      </c>
      <c r="H671" s="4">
        <f>'Raw Data'!G672*6*0.000128176</f>
        <v>0</v>
      </c>
      <c r="I671" s="4">
        <f>'Raw Data'!H672*0.000732435</f>
        <v>0</v>
      </c>
      <c r="J671" s="4">
        <f t="shared" si="32"/>
        <v>0</v>
      </c>
      <c r="K671" s="36">
        <f>IF(('Raw Data'!I672-16384)/32768&lt;0,0,('Raw Data'!I672-16384)/32768)</f>
        <v>0</v>
      </c>
      <c r="L671" s="4">
        <f>IF(('Raw Data'!J672-12010)/45.6=-263.377192982456,0,('Raw Data'!J672-12010)/45.6)</f>
        <v>0</v>
      </c>
      <c r="M671" s="16">
        <f>'Raw Data'!N672*2^-8</f>
        <v>0</v>
      </c>
      <c r="N671" s="16">
        <f>'Raw Data'!O672*2^-8</f>
        <v>0</v>
      </c>
      <c r="O671" s="17" t="str">
        <f>IF(BITWISE_AND('Raw Data'!$K672, 8192),"X","")</f>
        <v/>
      </c>
      <c r="P671" s="17" t="str">
        <f>IF(BITWISE_AND('Raw Data'!$K672, 2048),"X","")</f>
        <v/>
      </c>
      <c r="Q671" s="17" t="str">
        <f>IF(BITWISE_AND('Raw Data'!$K672, 64),"X","")</f>
        <v/>
      </c>
      <c r="R671" s="18" t="str">
        <f>IF(BITWISE_AND('Raw Data'!$L672, 1024),"X","")</f>
        <v/>
      </c>
      <c r="S671" s="18" t="str">
        <f>IF(BITWISE_AND('Raw Data'!$L672, 512),"X","")</f>
        <v/>
      </c>
      <c r="T671" s="18" t="str">
        <f>IF(BITWISE_AND('Raw Data'!$L672, 256),"X","")</f>
        <v/>
      </c>
      <c r="U671" s="18" t="str">
        <f>IF(BITWISE_AND('Raw Data'!$L672, 64),"X","")</f>
        <v/>
      </c>
      <c r="V671" s="18" t="str">
        <f>IF(BITWISE_AND('Raw Data'!$L672, 2),"X","")</f>
        <v/>
      </c>
      <c r="W671" s="18" t="str">
        <f>IF(BITWISE_AND('Raw Data'!$L672, 1),"X","")</f>
        <v/>
      </c>
      <c r="X671" s="19" t="str">
        <f>IF(BITWISE_AND('Raw Data'!M672, 1),"Bat Voltage", IF(BITWISE_AND('Raw Data'!M672, 2), "Charge Current", IF(BITWISE_AND('Raw Data'!M672, 4),"Input Ilim", IF(BITWISE_AND('Raw Data'!M672, 8), "Input UV", "none"))))</f>
        <v>none</v>
      </c>
    </row>
    <row r="672" spans="1:24" x14ac:dyDescent="0.2">
      <c r="A672" s="15">
        <f>A671+TIME(0,0,'Raw Data'!B672)</f>
        <v>0</v>
      </c>
      <c r="B672" s="4">
        <f>'Raw Data'!C673*0.025</f>
        <v>0</v>
      </c>
      <c r="C672" s="4">
        <f t="shared" si="33"/>
        <v>0</v>
      </c>
      <c r="D672" s="4">
        <f>'Raw Data'!D673*0.025</f>
        <v>0</v>
      </c>
      <c r="E672" s="4">
        <f t="shared" si="34"/>
        <v>0</v>
      </c>
      <c r="F672" s="4">
        <f>'Raw Data'!E673*0.001648</f>
        <v>0</v>
      </c>
      <c r="G672" s="4">
        <f>'Raw Data'!F673*0.001648</f>
        <v>0</v>
      </c>
      <c r="H672" s="4">
        <f>'Raw Data'!G673*6*0.000128176</f>
        <v>0</v>
      </c>
      <c r="I672" s="4">
        <f>'Raw Data'!H673*0.000732435</f>
        <v>0</v>
      </c>
      <c r="J672" s="4">
        <f t="shared" si="32"/>
        <v>0</v>
      </c>
      <c r="K672" s="36">
        <f>IF(('Raw Data'!I673-16384)/32768&lt;0,0,('Raw Data'!I673-16384)/32768)</f>
        <v>0</v>
      </c>
      <c r="L672" s="4">
        <f>IF(('Raw Data'!J673-12010)/45.6=-263.377192982456,0,('Raw Data'!J673-12010)/45.6)</f>
        <v>0</v>
      </c>
      <c r="M672" s="16">
        <f>'Raw Data'!N673*2^-8</f>
        <v>0</v>
      </c>
      <c r="N672" s="16">
        <f>'Raw Data'!O673*2^-8</f>
        <v>0</v>
      </c>
      <c r="O672" s="17" t="str">
        <f>IF(BITWISE_AND('Raw Data'!$K673, 8192),"X","")</f>
        <v/>
      </c>
      <c r="P672" s="17" t="str">
        <f>IF(BITWISE_AND('Raw Data'!$K673, 2048),"X","")</f>
        <v/>
      </c>
      <c r="Q672" s="17" t="str">
        <f>IF(BITWISE_AND('Raw Data'!$K673, 64),"X","")</f>
        <v/>
      </c>
      <c r="R672" s="18" t="str">
        <f>IF(BITWISE_AND('Raw Data'!$L673, 1024),"X","")</f>
        <v/>
      </c>
      <c r="S672" s="18" t="str">
        <f>IF(BITWISE_AND('Raw Data'!$L673, 512),"X","")</f>
        <v/>
      </c>
      <c r="T672" s="18" t="str">
        <f>IF(BITWISE_AND('Raw Data'!$L673, 256),"X","")</f>
        <v/>
      </c>
      <c r="U672" s="18" t="str">
        <f>IF(BITWISE_AND('Raw Data'!$L673, 64),"X","")</f>
        <v/>
      </c>
      <c r="V672" s="18" t="str">
        <f>IF(BITWISE_AND('Raw Data'!$L673, 2),"X","")</f>
        <v/>
      </c>
      <c r="W672" s="18" t="str">
        <f>IF(BITWISE_AND('Raw Data'!$L673, 1),"X","")</f>
        <v/>
      </c>
      <c r="X672" s="19" t="str">
        <f>IF(BITWISE_AND('Raw Data'!M673, 1),"Bat Voltage", IF(BITWISE_AND('Raw Data'!M673, 2), "Charge Current", IF(BITWISE_AND('Raw Data'!M673, 4),"Input Ilim", IF(BITWISE_AND('Raw Data'!M673, 8), "Input UV", "none"))))</f>
        <v>none</v>
      </c>
    </row>
    <row r="673" spans="1:24" x14ac:dyDescent="0.2">
      <c r="A673" s="15">
        <f>A672+TIME(0,0,'Raw Data'!B673)</f>
        <v>0</v>
      </c>
      <c r="B673" s="4">
        <f>'Raw Data'!C674*0.025</f>
        <v>0</v>
      </c>
      <c r="C673" s="4">
        <f t="shared" si="33"/>
        <v>0</v>
      </c>
      <c r="D673" s="4">
        <f>'Raw Data'!D674*0.025</f>
        <v>0</v>
      </c>
      <c r="E673" s="4">
        <f t="shared" si="34"/>
        <v>0</v>
      </c>
      <c r="F673" s="4">
        <f>'Raw Data'!E674*0.001648</f>
        <v>0</v>
      </c>
      <c r="G673" s="4">
        <f>'Raw Data'!F674*0.001648</f>
        <v>0</v>
      </c>
      <c r="H673" s="4">
        <f>'Raw Data'!G674*6*0.000128176</f>
        <v>0</v>
      </c>
      <c r="I673" s="4">
        <f>'Raw Data'!H674*0.000732435</f>
        <v>0</v>
      </c>
      <c r="J673" s="4">
        <f t="shared" si="32"/>
        <v>0</v>
      </c>
      <c r="K673" s="36">
        <f>IF(('Raw Data'!I674-16384)/32768&lt;0,0,('Raw Data'!I674-16384)/32768)</f>
        <v>0</v>
      </c>
      <c r="L673" s="4">
        <f>IF(('Raw Data'!J674-12010)/45.6=-263.377192982456,0,('Raw Data'!J674-12010)/45.6)</f>
        <v>0</v>
      </c>
      <c r="M673" s="16">
        <f>'Raw Data'!N674*2^-8</f>
        <v>0</v>
      </c>
      <c r="N673" s="16">
        <f>'Raw Data'!O674*2^-8</f>
        <v>0</v>
      </c>
      <c r="O673" s="17" t="str">
        <f>IF(BITWISE_AND('Raw Data'!$K674, 8192),"X","")</f>
        <v/>
      </c>
      <c r="P673" s="17" t="str">
        <f>IF(BITWISE_AND('Raw Data'!$K674, 2048),"X","")</f>
        <v/>
      </c>
      <c r="Q673" s="17" t="str">
        <f>IF(BITWISE_AND('Raw Data'!$K674, 64),"X","")</f>
        <v/>
      </c>
      <c r="R673" s="18" t="str">
        <f>IF(BITWISE_AND('Raw Data'!$L674, 1024),"X","")</f>
        <v/>
      </c>
      <c r="S673" s="18" t="str">
        <f>IF(BITWISE_AND('Raw Data'!$L674, 512),"X","")</f>
        <v/>
      </c>
      <c r="T673" s="18" t="str">
        <f>IF(BITWISE_AND('Raw Data'!$L674, 256),"X","")</f>
        <v/>
      </c>
      <c r="U673" s="18" t="str">
        <f>IF(BITWISE_AND('Raw Data'!$L674, 64),"X","")</f>
        <v/>
      </c>
      <c r="V673" s="18" t="str">
        <f>IF(BITWISE_AND('Raw Data'!$L674, 2),"X","")</f>
        <v/>
      </c>
      <c r="W673" s="18" t="str">
        <f>IF(BITWISE_AND('Raw Data'!$L674, 1),"X","")</f>
        <v/>
      </c>
      <c r="X673" s="19" t="str">
        <f>IF(BITWISE_AND('Raw Data'!M674, 1),"Bat Voltage", IF(BITWISE_AND('Raw Data'!M674, 2), "Charge Current", IF(BITWISE_AND('Raw Data'!M674, 4),"Input Ilim", IF(BITWISE_AND('Raw Data'!M674, 8), "Input UV", "none"))))</f>
        <v>none</v>
      </c>
    </row>
    <row r="674" spans="1:24" x14ac:dyDescent="0.2">
      <c r="A674" s="15">
        <f>A673+TIME(0,0,'Raw Data'!B674)</f>
        <v>0</v>
      </c>
      <c r="B674" s="4">
        <f>'Raw Data'!C675*0.025</f>
        <v>0</v>
      </c>
      <c r="C674" s="4">
        <f t="shared" si="33"/>
        <v>0</v>
      </c>
      <c r="D674" s="4">
        <f>'Raw Data'!D675*0.025</f>
        <v>0</v>
      </c>
      <c r="E674" s="4">
        <f t="shared" si="34"/>
        <v>0</v>
      </c>
      <c r="F674" s="4">
        <f>'Raw Data'!E675*0.001648</f>
        <v>0</v>
      </c>
      <c r="G674" s="4">
        <f>'Raw Data'!F675*0.001648</f>
        <v>0</v>
      </c>
      <c r="H674" s="4">
        <f>'Raw Data'!G675*6*0.000128176</f>
        <v>0</v>
      </c>
      <c r="I674" s="4">
        <f>'Raw Data'!H675*0.000732435</f>
        <v>0</v>
      </c>
      <c r="J674" s="4">
        <f t="shared" si="32"/>
        <v>0</v>
      </c>
      <c r="K674" s="36">
        <f>IF(('Raw Data'!I675-16384)/32768&lt;0,0,('Raw Data'!I675-16384)/32768)</f>
        <v>0</v>
      </c>
      <c r="L674" s="4">
        <f>IF(('Raw Data'!J675-12010)/45.6=-263.377192982456,0,('Raw Data'!J675-12010)/45.6)</f>
        <v>0</v>
      </c>
      <c r="M674" s="16">
        <f>'Raw Data'!N675*2^-8</f>
        <v>0</v>
      </c>
      <c r="N674" s="16">
        <f>'Raw Data'!O675*2^-8</f>
        <v>0</v>
      </c>
      <c r="O674" s="17" t="str">
        <f>IF(BITWISE_AND('Raw Data'!$K675, 8192),"X","")</f>
        <v/>
      </c>
      <c r="P674" s="17" t="str">
        <f>IF(BITWISE_AND('Raw Data'!$K675, 2048),"X","")</f>
        <v/>
      </c>
      <c r="Q674" s="17" t="str">
        <f>IF(BITWISE_AND('Raw Data'!$K675, 64),"X","")</f>
        <v/>
      </c>
      <c r="R674" s="18" t="str">
        <f>IF(BITWISE_AND('Raw Data'!$L675, 1024),"X","")</f>
        <v/>
      </c>
      <c r="S674" s="18" t="str">
        <f>IF(BITWISE_AND('Raw Data'!$L675, 512),"X","")</f>
        <v/>
      </c>
      <c r="T674" s="18" t="str">
        <f>IF(BITWISE_AND('Raw Data'!$L675, 256),"X","")</f>
        <v/>
      </c>
      <c r="U674" s="18" t="str">
        <f>IF(BITWISE_AND('Raw Data'!$L675, 64),"X","")</f>
        <v/>
      </c>
      <c r="V674" s="18" t="str">
        <f>IF(BITWISE_AND('Raw Data'!$L675, 2),"X","")</f>
        <v/>
      </c>
      <c r="W674" s="18" t="str">
        <f>IF(BITWISE_AND('Raw Data'!$L675, 1),"X","")</f>
        <v/>
      </c>
      <c r="X674" s="19" t="str">
        <f>IF(BITWISE_AND('Raw Data'!M675, 1),"Bat Voltage", IF(BITWISE_AND('Raw Data'!M675, 2), "Charge Current", IF(BITWISE_AND('Raw Data'!M675, 4),"Input Ilim", IF(BITWISE_AND('Raw Data'!M675, 8), "Input UV", "none"))))</f>
        <v>none</v>
      </c>
    </row>
    <row r="675" spans="1:24" x14ac:dyDescent="0.2">
      <c r="A675" s="15">
        <f>A674+TIME(0,0,'Raw Data'!B675)</f>
        <v>0</v>
      </c>
      <c r="B675" s="4">
        <f>'Raw Data'!C676*0.025</f>
        <v>0</v>
      </c>
      <c r="C675" s="4">
        <f t="shared" si="33"/>
        <v>0</v>
      </c>
      <c r="D675" s="4">
        <f>'Raw Data'!D676*0.025</f>
        <v>0</v>
      </c>
      <c r="E675" s="4">
        <f t="shared" si="34"/>
        <v>0</v>
      </c>
      <c r="F675" s="4">
        <f>'Raw Data'!E676*0.001648</f>
        <v>0</v>
      </c>
      <c r="G675" s="4">
        <f>'Raw Data'!F676*0.001648</f>
        <v>0</v>
      </c>
      <c r="H675" s="4">
        <f>'Raw Data'!G676*6*0.000128176</f>
        <v>0</v>
      </c>
      <c r="I675" s="4">
        <f>'Raw Data'!H676*0.000732435</f>
        <v>0</v>
      </c>
      <c r="J675" s="4">
        <f t="shared" si="32"/>
        <v>0</v>
      </c>
      <c r="K675" s="36">
        <f>IF(('Raw Data'!I676-16384)/32768&lt;0,0,('Raw Data'!I676-16384)/32768)</f>
        <v>0</v>
      </c>
      <c r="L675" s="4">
        <f>IF(('Raw Data'!J676-12010)/45.6=-263.377192982456,0,('Raw Data'!J676-12010)/45.6)</f>
        <v>0</v>
      </c>
      <c r="M675" s="16">
        <f>'Raw Data'!N676*2^-8</f>
        <v>0</v>
      </c>
      <c r="N675" s="16">
        <f>'Raw Data'!O676*2^-8</f>
        <v>0</v>
      </c>
      <c r="O675" s="17" t="str">
        <f>IF(BITWISE_AND('Raw Data'!$K676, 8192),"X","")</f>
        <v/>
      </c>
      <c r="P675" s="17" t="str">
        <f>IF(BITWISE_AND('Raw Data'!$K676, 2048),"X","")</f>
        <v/>
      </c>
      <c r="Q675" s="17" t="str">
        <f>IF(BITWISE_AND('Raw Data'!$K676, 64),"X","")</f>
        <v/>
      </c>
      <c r="R675" s="18" t="str">
        <f>IF(BITWISE_AND('Raw Data'!$L676, 1024),"X","")</f>
        <v/>
      </c>
      <c r="S675" s="18" t="str">
        <f>IF(BITWISE_AND('Raw Data'!$L676, 512),"X","")</f>
        <v/>
      </c>
      <c r="T675" s="18" t="str">
        <f>IF(BITWISE_AND('Raw Data'!$L676, 256),"X","")</f>
        <v/>
      </c>
      <c r="U675" s="18" t="str">
        <f>IF(BITWISE_AND('Raw Data'!$L676, 64),"X","")</f>
        <v/>
      </c>
      <c r="V675" s="18" t="str">
        <f>IF(BITWISE_AND('Raw Data'!$L676, 2),"X","")</f>
        <v/>
      </c>
      <c r="W675" s="18" t="str">
        <f>IF(BITWISE_AND('Raw Data'!$L676, 1),"X","")</f>
        <v/>
      </c>
      <c r="X675" s="19" t="str">
        <f>IF(BITWISE_AND('Raw Data'!M676, 1),"Bat Voltage", IF(BITWISE_AND('Raw Data'!M676, 2), "Charge Current", IF(BITWISE_AND('Raw Data'!M676, 4),"Input Ilim", IF(BITWISE_AND('Raw Data'!M676, 8), "Input UV", "none"))))</f>
        <v>none</v>
      </c>
    </row>
    <row r="676" spans="1:24" x14ac:dyDescent="0.2">
      <c r="A676" s="15">
        <f>A675+TIME(0,0,'Raw Data'!B676)</f>
        <v>0</v>
      </c>
      <c r="B676" s="4">
        <f>'Raw Data'!C677*0.025</f>
        <v>0</v>
      </c>
      <c r="C676" s="4">
        <f t="shared" si="33"/>
        <v>0</v>
      </c>
      <c r="D676" s="4">
        <f>'Raw Data'!D677*0.025</f>
        <v>0</v>
      </c>
      <c r="E676" s="4">
        <f t="shared" si="34"/>
        <v>0</v>
      </c>
      <c r="F676" s="4">
        <f>'Raw Data'!E677*0.001648</f>
        <v>0</v>
      </c>
      <c r="G676" s="4">
        <f>'Raw Data'!F677*0.001648</f>
        <v>0</v>
      </c>
      <c r="H676" s="4">
        <f>'Raw Data'!G677*6*0.000128176</f>
        <v>0</v>
      </c>
      <c r="I676" s="4">
        <f>'Raw Data'!H677*0.000732435</f>
        <v>0</v>
      </c>
      <c r="J676" s="4">
        <f t="shared" si="32"/>
        <v>0</v>
      </c>
      <c r="K676" s="36">
        <f>IF(('Raw Data'!I677-16384)/32768&lt;0,0,('Raw Data'!I677-16384)/32768)</f>
        <v>0</v>
      </c>
      <c r="L676" s="4">
        <f>IF(('Raw Data'!J677-12010)/45.6=-263.377192982456,0,('Raw Data'!J677-12010)/45.6)</f>
        <v>0</v>
      </c>
      <c r="M676" s="16">
        <f>'Raw Data'!N677*2^-8</f>
        <v>0</v>
      </c>
      <c r="N676" s="16">
        <f>'Raw Data'!O677*2^-8</f>
        <v>0</v>
      </c>
      <c r="O676" s="17" t="str">
        <f>IF(BITWISE_AND('Raw Data'!$K677, 8192),"X","")</f>
        <v/>
      </c>
      <c r="P676" s="17" t="str">
        <f>IF(BITWISE_AND('Raw Data'!$K677, 2048),"X","")</f>
        <v/>
      </c>
      <c r="Q676" s="17" t="str">
        <f>IF(BITWISE_AND('Raw Data'!$K677, 64),"X","")</f>
        <v/>
      </c>
      <c r="R676" s="18" t="str">
        <f>IF(BITWISE_AND('Raw Data'!$L677, 1024),"X","")</f>
        <v/>
      </c>
      <c r="S676" s="18" t="str">
        <f>IF(BITWISE_AND('Raw Data'!$L677, 512),"X","")</f>
        <v/>
      </c>
      <c r="T676" s="18" t="str">
        <f>IF(BITWISE_AND('Raw Data'!$L677, 256),"X","")</f>
        <v/>
      </c>
      <c r="U676" s="18" t="str">
        <f>IF(BITWISE_AND('Raw Data'!$L677, 64),"X","")</f>
        <v/>
      </c>
      <c r="V676" s="18" t="str">
        <f>IF(BITWISE_AND('Raw Data'!$L677, 2),"X","")</f>
        <v/>
      </c>
      <c r="W676" s="18" t="str">
        <f>IF(BITWISE_AND('Raw Data'!$L677, 1),"X","")</f>
        <v/>
      </c>
      <c r="X676" s="19" t="str">
        <f>IF(BITWISE_AND('Raw Data'!M677, 1),"Bat Voltage", IF(BITWISE_AND('Raw Data'!M677, 2), "Charge Current", IF(BITWISE_AND('Raw Data'!M677, 4),"Input Ilim", IF(BITWISE_AND('Raw Data'!M677, 8), "Input UV", "none"))))</f>
        <v>none</v>
      </c>
    </row>
    <row r="677" spans="1:24" x14ac:dyDescent="0.2">
      <c r="A677" s="15">
        <f>A676+TIME(0,0,'Raw Data'!B677)</f>
        <v>0</v>
      </c>
      <c r="B677" s="4">
        <f>'Raw Data'!C678*0.025</f>
        <v>0</v>
      </c>
      <c r="C677" s="4">
        <f t="shared" si="33"/>
        <v>0</v>
      </c>
      <c r="D677" s="4">
        <f>'Raw Data'!D678*0.025</f>
        <v>0</v>
      </c>
      <c r="E677" s="4">
        <f t="shared" si="34"/>
        <v>0</v>
      </c>
      <c r="F677" s="4">
        <f>'Raw Data'!E678*0.001648</f>
        <v>0</v>
      </c>
      <c r="G677" s="4">
        <f>'Raw Data'!F678*0.001648</f>
        <v>0</v>
      </c>
      <c r="H677" s="4">
        <f>'Raw Data'!G678*6*0.000128176</f>
        <v>0</v>
      </c>
      <c r="I677" s="4">
        <f>'Raw Data'!H678*0.000732435</f>
        <v>0</v>
      </c>
      <c r="J677" s="4">
        <f t="shared" si="32"/>
        <v>0</v>
      </c>
      <c r="K677" s="36">
        <f>IF(('Raw Data'!I678-16384)/32768&lt;0,0,('Raw Data'!I678-16384)/32768)</f>
        <v>0</v>
      </c>
      <c r="L677" s="4">
        <f>IF(('Raw Data'!J678-12010)/45.6=-263.377192982456,0,('Raw Data'!J678-12010)/45.6)</f>
        <v>0</v>
      </c>
      <c r="M677" s="16">
        <f>'Raw Data'!N678*2^-8</f>
        <v>0</v>
      </c>
      <c r="N677" s="16">
        <f>'Raw Data'!O678*2^-8</f>
        <v>0</v>
      </c>
      <c r="O677" s="17" t="str">
        <f>IF(BITWISE_AND('Raw Data'!$K678, 8192),"X","")</f>
        <v/>
      </c>
      <c r="P677" s="17" t="str">
        <f>IF(BITWISE_AND('Raw Data'!$K678, 2048),"X","")</f>
        <v/>
      </c>
      <c r="Q677" s="17" t="str">
        <f>IF(BITWISE_AND('Raw Data'!$K678, 64),"X","")</f>
        <v/>
      </c>
      <c r="R677" s="18" t="str">
        <f>IF(BITWISE_AND('Raw Data'!$L678, 1024),"X","")</f>
        <v/>
      </c>
      <c r="S677" s="18" t="str">
        <f>IF(BITWISE_AND('Raw Data'!$L678, 512),"X","")</f>
        <v/>
      </c>
      <c r="T677" s="18" t="str">
        <f>IF(BITWISE_AND('Raw Data'!$L678, 256),"X","")</f>
        <v/>
      </c>
      <c r="U677" s="18" t="str">
        <f>IF(BITWISE_AND('Raw Data'!$L678, 64),"X","")</f>
        <v/>
      </c>
      <c r="V677" s="18" t="str">
        <f>IF(BITWISE_AND('Raw Data'!$L678, 2),"X","")</f>
        <v/>
      </c>
      <c r="W677" s="18" t="str">
        <f>IF(BITWISE_AND('Raw Data'!$L678, 1),"X","")</f>
        <v/>
      </c>
      <c r="X677" s="19" t="str">
        <f>IF(BITWISE_AND('Raw Data'!M678, 1),"Bat Voltage", IF(BITWISE_AND('Raw Data'!M678, 2), "Charge Current", IF(BITWISE_AND('Raw Data'!M678, 4),"Input Ilim", IF(BITWISE_AND('Raw Data'!M678, 8), "Input UV", "none"))))</f>
        <v>none</v>
      </c>
    </row>
    <row r="678" spans="1:24" x14ac:dyDescent="0.2">
      <c r="A678" s="15">
        <f>A677+TIME(0,0,'Raw Data'!B678)</f>
        <v>0</v>
      </c>
      <c r="B678" s="4">
        <f>'Raw Data'!C679*0.025</f>
        <v>0</v>
      </c>
      <c r="C678" s="4">
        <f t="shared" si="33"/>
        <v>0</v>
      </c>
      <c r="D678" s="4">
        <f>'Raw Data'!D679*0.025</f>
        <v>0</v>
      </c>
      <c r="E678" s="4">
        <f t="shared" si="34"/>
        <v>0</v>
      </c>
      <c r="F678" s="4">
        <f>'Raw Data'!E679*0.001648</f>
        <v>0</v>
      </c>
      <c r="G678" s="4">
        <f>'Raw Data'!F679*0.001648</f>
        <v>0</v>
      </c>
      <c r="H678" s="4">
        <f>'Raw Data'!G679*6*0.000128176</f>
        <v>0</v>
      </c>
      <c r="I678" s="4">
        <f>'Raw Data'!H679*0.000732435</f>
        <v>0</v>
      </c>
      <c r="J678" s="4">
        <f t="shared" si="32"/>
        <v>0</v>
      </c>
      <c r="K678" s="36">
        <f>IF(('Raw Data'!I679-16384)/32768&lt;0,0,('Raw Data'!I679-16384)/32768)</f>
        <v>0</v>
      </c>
      <c r="L678" s="4">
        <f>IF(('Raw Data'!J679-12010)/45.6=-263.377192982456,0,('Raw Data'!J679-12010)/45.6)</f>
        <v>0</v>
      </c>
      <c r="M678" s="16">
        <f>'Raw Data'!N679*2^-8</f>
        <v>0</v>
      </c>
      <c r="N678" s="16">
        <f>'Raw Data'!O679*2^-8</f>
        <v>0</v>
      </c>
      <c r="O678" s="17" t="str">
        <f>IF(BITWISE_AND('Raw Data'!$K679, 8192),"X","")</f>
        <v/>
      </c>
      <c r="P678" s="17" t="str">
        <f>IF(BITWISE_AND('Raw Data'!$K679, 2048),"X","")</f>
        <v/>
      </c>
      <c r="Q678" s="17" t="str">
        <f>IF(BITWISE_AND('Raw Data'!$K679, 64),"X","")</f>
        <v/>
      </c>
      <c r="R678" s="18" t="str">
        <f>IF(BITWISE_AND('Raw Data'!$L679, 1024),"X","")</f>
        <v/>
      </c>
      <c r="S678" s="18" t="str">
        <f>IF(BITWISE_AND('Raw Data'!$L679, 512),"X","")</f>
        <v/>
      </c>
      <c r="T678" s="18" t="str">
        <f>IF(BITWISE_AND('Raw Data'!$L679, 256),"X","")</f>
        <v/>
      </c>
      <c r="U678" s="18" t="str">
        <f>IF(BITWISE_AND('Raw Data'!$L679, 64),"X","")</f>
        <v/>
      </c>
      <c r="V678" s="18" t="str">
        <f>IF(BITWISE_AND('Raw Data'!$L679, 2),"X","")</f>
        <v/>
      </c>
      <c r="W678" s="18" t="str">
        <f>IF(BITWISE_AND('Raw Data'!$L679, 1),"X","")</f>
        <v/>
      </c>
      <c r="X678" s="19" t="str">
        <f>IF(BITWISE_AND('Raw Data'!M679, 1),"Bat Voltage", IF(BITWISE_AND('Raw Data'!M679, 2), "Charge Current", IF(BITWISE_AND('Raw Data'!M679, 4),"Input Ilim", IF(BITWISE_AND('Raw Data'!M679, 8), "Input UV", "none"))))</f>
        <v>none</v>
      </c>
    </row>
    <row r="679" spans="1:24" x14ac:dyDescent="0.2">
      <c r="A679" s="15">
        <f>A678+TIME(0,0,'Raw Data'!B679)</f>
        <v>0</v>
      </c>
      <c r="B679" s="4">
        <f>'Raw Data'!C680*0.025</f>
        <v>0</v>
      </c>
      <c r="C679" s="4">
        <f t="shared" si="33"/>
        <v>0</v>
      </c>
      <c r="D679" s="4">
        <f>'Raw Data'!D680*0.025</f>
        <v>0</v>
      </c>
      <c r="E679" s="4">
        <f t="shared" si="34"/>
        <v>0</v>
      </c>
      <c r="F679" s="4">
        <f>'Raw Data'!E680*0.001648</f>
        <v>0</v>
      </c>
      <c r="G679" s="4">
        <f>'Raw Data'!F680*0.001648</f>
        <v>0</v>
      </c>
      <c r="H679" s="4">
        <f>'Raw Data'!G680*6*0.000128176</f>
        <v>0</v>
      </c>
      <c r="I679" s="4">
        <f>'Raw Data'!H680*0.000732435</f>
        <v>0</v>
      </c>
      <c r="J679" s="4">
        <f t="shared" si="32"/>
        <v>0</v>
      </c>
      <c r="K679" s="36">
        <f>IF(('Raw Data'!I680-16384)/32768&lt;0,0,('Raw Data'!I680-16384)/32768)</f>
        <v>0</v>
      </c>
      <c r="L679" s="4">
        <f>IF(('Raw Data'!J680-12010)/45.6=-263.377192982456,0,('Raw Data'!J680-12010)/45.6)</f>
        <v>0</v>
      </c>
      <c r="M679" s="16">
        <f>'Raw Data'!N680*2^-8</f>
        <v>0</v>
      </c>
      <c r="N679" s="16">
        <f>'Raw Data'!O680*2^-8</f>
        <v>0</v>
      </c>
      <c r="O679" s="17" t="str">
        <f>IF(BITWISE_AND('Raw Data'!$K680, 8192),"X","")</f>
        <v/>
      </c>
      <c r="P679" s="17" t="str">
        <f>IF(BITWISE_AND('Raw Data'!$K680, 2048),"X","")</f>
        <v/>
      </c>
      <c r="Q679" s="17" t="str">
        <f>IF(BITWISE_AND('Raw Data'!$K680, 64),"X","")</f>
        <v/>
      </c>
      <c r="R679" s="18" t="str">
        <f>IF(BITWISE_AND('Raw Data'!$L680, 1024),"X","")</f>
        <v/>
      </c>
      <c r="S679" s="18" t="str">
        <f>IF(BITWISE_AND('Raw Data'!$L680, 512),"X","")</f>
        <v/>
      </c>
      <c r="T679" s="18" t="str">
        <f>IF(BITWISE_AND('Raw Data'!$L680, 256),"X","")</f>
        <v/>
      </c>
      <c r="U679" s="18" t="str">
        <f>IF(BITWISE_AND('Raw Data'!$L680, 64),"X","")</f>
        <v/>
      </c>
      <c r="V679" s="18" t="str">
        <f>IF(BITWISE_AND('Raw Data'!$L680, 2),"X","")</f>
        <v/>
      </c>
      <c r="W679" s="18" t="str">
        <f>IF(BITWISE_AND('Raw Data'!$L680, 1),"X","")</f>
        <v/>
      </c>
      <c r="X679" s="19" t="str">
        <f>IF(BITWISE_AND('Raw Data'!M680, 1),"Bat Voltage", IF(BITWISE_AND('Raw Data'!M680, 2), "Charge Current", IF(BITWISE_AND('Raw Data'!M680, 4),"Input Ilim", IF(BITWISE_AND('Raw Data'!M680, 8), "Input UV", "none"))))</f>
        <v>none</v>
      </c>
    </row>
    <row r="680" spans="1:24" x14ac:dyDescent="0.2">
      <c r="A680" s="15">
        <f>A679+TIME(0,0,'Raw Data'!B680)</f>
        <v>0</v>
      </c>
      <c r="B680" s="4">
        <f>'Raw Data'!C681*0.025</f>
        <v>0</v>
      </c>
      <c r="C680" s="4">
        <f t="shared" si="33"/>
        <v>0</v>
      </c>
      <c r="D680" s="4">
        <f>'Raw Data'!D681*0.025</f>
        <v>0</v>
      </c>
      <c r="E680" s="4">
        <f t="shared" si="34"/>
        <v>0</v>
      </c>
      <c r="F680" s="4">
        <f>'Raw Data'!E681*0.001648</f>
        <v>0</v>
      </c>
      <c r="G680" s="4">
        <f>'Raw Data'!F681*0.001648</f>
        <v>0</v>
      </c>
      <c r="H680" s="4">
        <f>'Raw Data'!G681*6*0.000128176</f>
        <v>0</v>
      </c>
      <c r="I680" s="4">
        <f>'Raw Data'!H681*0.000732435</f>
        <v>0</v>
      </c>
      <c r="J680" s="4">
        <f t="shared" si="32"/>
        <v>0</v>
      </c>
      <c r="K680" s="36">
        <f>IF(('Raw Data'!I681-16384)/32768&lt;0,0,('Raw Data'!I681-16384)/32768)</f>
        <v>0</v>
      </c>
      <c r="L680" s="4">
        <f>IF(('Raw Data'!J681-12010)/45.6=-263.377192982456,0,('Raw Data'!J681-12010)/45.6)</f>
        <v>0</v>
      </c>
      <c r="M680" s="16">
        <f>'Raw Data'!N681*2^-8</f>
        <v>0</v>
      </c>
      <c r="N680" s="16">
        <f>'Raw Data'!O681*2^-8</f>
        <v>0</v>
      </c>
      <c r="O680" s="17" t="str">
        <f>IF(BITWISE_AND('Raw Data'!$K681, 8192),"X","")</f>
        <v/>
      </c>
      <c r="P680" s="17" t="str">
        <f>IF(BITWISE_AND('Raw Data'!$K681, 2048),"X","")</f>
        <v/>
      </c>
      <c r="Q680" s="17" t="str">
        <f>IF(BITWISE_AND('Raw Data'!$K681, 64),"X","")</f>
        <v/>
      </c>
      <c r="R680" s="18" t="str">
        <f>IF(BITWISE_AND('Raw Data'!$L681, 1024),"X","")</f>
        <v/>
      </c>
      <c r="S680" s="18" t="str">
        <f>IF(BITWISE_AND('Raw Data'!$L681, 512),"X","")</f>
        <v/>
      </c>
      <c r="T680" s="18" t="str">
        <f>IF(BITWISE_AND('Raw Data'!$L681, 256),"X","")</f>
        <v/>
      </c>
      <c r="U680" s="18" t="str">
        <f>IF(BITWISE_AND('Raw Data'!$L681, 64),"X","")</f>
        <v/>
      </c>
      <c r="V680" s="18" t="str">
        <f>IF(BITWISE_AND('Raw Data'!$L681, 2),"X","")</f>
        <v/>
      </c>
      <c r="W680" s="18" t="str">
        <f>IF(BITWISE_AND('Raw Data'!$L681, 1),"X","")</f>
        <v/>
      </c>
      <c r="X680" s="19" t="str">
        <f>IF(BITWISE_AND('Raw Data'!M681, 1),"Bat Voltage", IF(BITWISE_AND('Raw Data'!M681, 2), "Charge Current", IF(BITWISE_AND('Raw Data'!M681, 4),"Input Ilim", IF(BITWISE_AND('Raw Data'!M681, 8), "Input UV", "none"))))</f>
        <v>none</v>
      </c>
    </row>
    <row r="681" spans="1:24" x14ac:dyDescent="0.2">
      <c r="A681" s="15">
        <f>A680+TIME(0,0,'Raw Data'!B681)</f>
        <v>0</v>
      </c>
      <c r="B681" s="4">
        <f>'Raw Data'!C682*0.025</f>
        <v>0</v>
      </c>
      <c r="C681" s="4">
        <f t="shared" si="33"/>
        <v>0</v>
      </c>
      <c r="D681" s="4">
        <f>'Raw Data'!D682*0.025</f>
        <v>0</v>
      </c>
      <c r="E681" s="4">
        <f t="shared" si="34"/>
        <v>0</v>
      </c>
      <c r="F681" s="4">
        <f>'Raw Data'!E682*0.001648</f>
        <v>0</v>
      </c>
      <c r="G681" s="4">
        <f>'Raw Data'!F682*0.001648</f>
        <v>0</v>
      </c>
      <c r="H681" s="4">
        <f>'Raw Data'!G682*6*0.000128176</f>
        <v>0</v>
      </c>
      <c r="I681" s="4">
        <f>'Raw Data'!H682*0.000732435</f>
        <v>0</v>
      </c>
      <c r="J681" s="4">
        <f t="shared" si="32"/>
        <v>0</v>
      </c>
      <c r="K681" s="36">
        <f>IF(('Raw Data'!I682-16384)/32768&lt;0,0,('Raw Data'!I682-16384)/32768)</f>
        <v>0</v>
      </c>
      <c r="L681" s="4">
        <f>IF(('Raw Data'!J682-12010)/45.6=-263.377192982456,0,('Raw Data'!J682-12010)/45.6)</f>
        <v>0</v>
      </c>
      <c r="M681" s="16">
        <f>'Raw Data'!N682*2^-8</f>
        <v>0</v>
      </c>
      <c r="N681" s="16">
        <f>'Raw Data'!O682*2^-8</f>
        <v>0</v>
      </c>
      <c r="O681" s="17" t="str">
        <f>IF(BITWISE_AND('Raw Data'!$K682, 8192),"X","")</f>
        <v/>
      </c>
      <c r="P681" s="17" t="str">
        <f>IF(BITWISE_AND('Raw Data'!$K682, 2048),"X","")</f>
        <v/>
      </c>
      <c r="Q681" s="17" t="str">
        <f>IF(BITWISE_AND('Raw Data'!$K682, 64),"X","")</f>
        <v/>
      </c>
      <c r="R681" s="18" t="str">
        <f>IF(BITWISE_AND('Raw Data'!$L682, 1024),"X","")</f>
        <v/>
      </c>
      <c r="S681" s="18" t="str">
        <f>IF(BITWISE_AND('Raw Data'!$L682, 512),"X","")</f>
        <v/>
      </c>
      <c r="T681" s="18" t="str">
        <f>IF(BITWISE_AND('Raw Data'!$L682, 256),"X","")</f>
        <v/>
      </c>
      <c r="U681" s="18" t="str">
        <f>IF(BITWISE_AND('Raw Data'!$L682, 64),"X","")</f>
        <v/>
      </c>
      <c r="V681" s="18" t="str">
        <f>IF(BITWISE_AND('Raw Data'!$L682, 2),"X","")</f>
        <v/>
      </c>
      <c r="W681" s="18" t="str">
        <f>IF(BITWISE_AND('Raw Data'!$L682, 1),"X","")</f>
        <v/>
      </c>
      <c r="X681" s="19" t="str">
        <f>IF(BITWISE_AND('Raw Data'!M682, 1),"Bat Voltage", IF(BITWISE_AND('Raw Data'!M682, 2), "Charge Current", IF(BITWISE_AND('Raw Data'!M682, 4),"Input Ilim", IF(BITWISE_AND('Raw Data'!M682, 8), "Input UV", "none"))))</f>
        <v>none</v>
      </c>
    </row>
    <row r="682" spans="1:24" x14ac:dyDescent="0.2">
      <c r="A682" s="15">
        <f>A681+TIME(0,0,'Raw Data'!B682)</f>
        <v>0</v>
      </c>
      <c r="B682" s="4">
        <f>'Raw Data'!C683*0.025</f>
        <v>0</v>
      </c>
      <c r="C682" s="4">
        <f t="shared" si="33"/>
        <v>0</v>
      </c>
      <c r="D682" s="4">
        <f>'Raw Data'!D683*0.025</f>
        <v>0</v>
      </c>
      <c r="E682" s="4">
        <f t="shared" si="34"/>
        <v>0</v>
      </c>
      <c r="F682" s="4">
        <f>'Raw Data'!E683*0.001648</f>
        <v>0</v>
      </c>
      <c r="G682" s="4">
        <f>'Raw Data'!F683*0.001648</f>
        <v>0</v>
      </c>
      <c r="H682" s="4">
        <f>'Raw Data'!G683*6*0.000128176</f>
        <v>0</v>
      </c>
      <c r="I682" s="4">
        <f>'Raw Data'!H683*0.000732435</f>
        <v>0</v>
      </c>
      <c r="J682" s="4">
        <f t="shared" si="32"/>
        <v>0</v>
      </c>
      <c r="K682" s="36">
        <f>IF(('Raw Data'!I683-16384)/32768&lt;0,0,('Raw Data'!I683-16384)/32768)</f>
        <v>0</v>
      </c>
      <c r="L682" s="4">
        <f>IF(('Raw Data'!J683-12010)/45.6=-263.377192982456,0,('Raw Data'!J683-12010)/45.6)</f>
        <v>0</v>
      </c>
      <c r="M682" s="16">
        <f>'Raw Data'!N683*2^-8</f>
        <v>0</v>
      </c>
      <c r="N682" s="16">
        <f>'Raw Data'!O683*2^-8</f>
        <v>0</v>
      </c>
      <c r="O682" s="17" t="str">
        <f>IF(BITWISE_AND('Raw Data'!$K683, 8192),"X","")</f>
        <v/>
      </c>
      <c r="P682" s="17" t="str">
        <f>IF(BITWISE_AND('Raw Data'!$K683, 2048),"X","")</f>
        <v/>
      </c>
      <c r="Q682" s="17" t="str">
        <f>IF(BITWISE_AND('Raw Data'!$K683, 64),"X","")</f>
        <v/>
      </c>
      <c r="R682" s="18" t="str">
        <f>IF(BITWISE_AND('Raw Data'!$L683, 1024),"X","")</f>
        <v/>
      </c>
      <c r="S682" s="18" t="str">
        <f>IF(BITWISE_AND('Raw Data'!$L683, 512),"X","")</f>
        <v/>
      </c>
      <c r="T682" s="18" t="str">
        <f>IF(BITWISE_AND('Raw Data'!$L683, 256),"X","")</f>
        <v/>
      </c>
      <c r="U682" s="18" t="str">
        <f>IF(BITWISE_AND('Raw Data'!$L683, 64),"X","")</f>
        <v/>
      </c>
      <c r="V682" s="18" t="str">
        <f>IF(BITWISE_AND('Raw Data'!$L683, 2),"X","")</f>
        <v/>
      </c>
      <c r="W682" s="18" t="str">
        <f>IF(BITWISE_AND('Raw Data'!$L683, 1),"X","")</f>
        <v/>
      </c>
      <c r="X682" s="19" t="str">
        <f>IF(BITWISE_AND('Raw Data'!M683, 1),"Bat Voltage", IF(BITWISE_AND('Raw Data'!M683, 2), "Charge Current", IF(BITWISE_AND('Raw Data'!M683, 4),"Input Ilim", IF(BITWISE_AND('Raw Data'!M683, 8), "Input UV", "none"))))</f>
        <v>none</v>
      </c>
    </row>
    <row r="683" spans="1:24" x14ac:dyDescent="0.2">
      <c r="A683" s="15">
        <f>A682+TIME(0,0,'Raw Data'!B683)</f>
        <v>0</v>
      </c>
      <c r="B683" s="4">
        <f>'Raw Data'!C684*0.025</f>
        <v>0</v>
      </c>
      <c r="C683" s="4">
        <f t="shared" si="33"/>
        <v>0</v>
      </c>
      <c r="D683" s="4">
        <f>'Raw Data'!D684*0.025</f>
        <v>0</v>
      </c>
      <c r="E683" s="4">
        <f t="shared" si="34"/>
        <v>0</v>
      </c>
      <c r="F683" s="4">
        <f>'Raw Data'!E684*0.001648</f>
        <v>0</v>
      </c>
      <c r="G683" s="4">
        <f>'Raw Data'!F684*0.001648</f>
        <v>0</v>
      </c>
      <c r="H683" s="4">
        <f>'Raw Data'!G684*6*0.000128176</f>
        <v>0</v>
      </c>
      <c r="I683" s="4">
        <f>'Raw Data'!H684*0.000732435</f>
        <v>0</v>
      </c>
      <c r="J683" s="4">
        <f t="shared" si="32"/>
        <v>0</v>
      </c>
      <c r="K683" s="36">
        <f>IF(('Raw Data'!I684-16384)/32768&lt;0,0,('Raw Data'!I684-16384)/32768)</f>
        <v>0</v>
      </c>
      <c r="L683" s="4">
        <f>IF(('Raw Data'!J684-12010)/45.6=-263.377192982456,0,('Raw Data'!J684-12010)/45.6)</f>
        <v>0</v>
      </c>
      <c r="M683" s="16">
        <f>'Raw Data'!N684*2^-8</f>
        <v>0</v>
      </c>
      <c r="N683" s="16">
        <f>'Raw Data'!O684*2^-8</f>
        <v>0</v>
      </c>
      <c r="O683" s="17" t="str">
        <f>IF(BITWISE_AND('Raw Data'!$K684, 8192),"X","")</f>
        <v/>
      </c>
      <c r="P683" s="17" t="str">
        <f>IF(BITWISE_AND('Raw Data'!$K684, 2048),"X","")</f>
        <v/>
      </c>
      <c r="Q683" s="17" t="str">
        <f>IF(BITWISE_AND('Raw Data'!$K684, 64),"X","")</f>
        <v/>
      </c>
      <c r="R683" s="18" t="str">
        <f>IF(BITWISE_AND('Raw Data'!$L684, 1024),"X","")</f>
        <v/>
      </c>
      <c r="S683" s="18" t="str">
        <f>IF(BITWISE_AND('Raw Data'!$L684, 512),"X","")</f>
        <v/>
      </c>
      <c r="T683" s="18" t="str">
        <f>IF(BITWISE_AND('Raw Data'!$L684, 256),"X","")</f>
        <v/>
      </c>
      <c r="U683" s="18" t="str">
        <f>IF(BITWISE_AND('Raw Data'!$L684, 64),"X","")</f>
        <v/>
      </c>
      <c r="V683" s="18" t="str">
        <f>IF(BITWISE_AND('Raw Data'!$L684, 2),"X","")</f>
        <v/>
      </c>
      <c r="W683" s="18" t="str">
        <f>IF(BITWISE_AND('Raw Data'!$L684, 1),"X","")</f>
        <v/>
      </c>
      <c r="X683" s="19" t="str">
        <f>IF(BITWISE_AND('Raw Data'!M684, 1),"Bat Voltage", IF(BITWISE_AND('Raw Data'!M684, 2), "Charge Current", IF(BITWISE_AND('Raw Data'!M684, 4),"Input Ilim", IF(BITWISE_AND('Raw Data'!M684, 8), "Input UV", "none"))))</f>
        <v>none</v>
      </c>
    </row>
    <row r="684" spans="1:24" x14ac:dyDescent="0.2">
      <c r="A684" s="15">
        <f>A683+TIME(0,0,'Raw Data'!B684)</f>
        <v>0</v>
      </c>
      <c r="B684" s="4">
        <f>'Raw Data'!C685*0.025</f>
        <v>0</v>
      </c>
      <c r="C684" s="4">
        <f t="shared" si="33"/>
        <v>0</v>
      </c>
      <c r="D684" s="4">
        <f>'Raw Data'!D685*0.025</f>
        <v>0</v>
      </c>
      <c r="E684" s="4">
        <f t="shared" si="34"/>
        <v>0</v>
      </c>
      <c r="F684" s="4">
        <f>'Raw Data'!E685*0.001648</f>
        <v>0</v>
      </c>
      <c r="G684" s="4">
        <f>'Raw Data'!F685*0.001648</f>
        <v>0</v>
      </c>
      <c r="H684" s="4">
        <f>'Raw Data'!G685*6*0.000128176</f>
        <v>0</v>
      </c>
      <c r="I684" s="4">
        <f>'Raw Data'!H685*0.000732435</f>
        <v>0</v>
      </c>
      <c r="J684" s="4">
        <f t="shared" si="32"/>
        <v>0</v>
      </c>
      <c r="K684" s="36">
        <f>IF(('Raw Data'!I685-16384)/32768&lt;0,0,('Raw Data'!I685-16384)/32768)</f>
        <v>0</v>
      </c>
      <c r="L684" s="4">
        <f>IF(('Raw Data'!J685-12010)/45.6=-263.377192982456,0,('Raw Data'!J685-12010)/45.6)</f>
        <v>0</v>
      </c>
      <c r="M684" s="16">
        <f>'Raw Data'!N685*2^-8</f>
        <v>0</v>
      </c>
      <c r="N684" s="16">
        <f>'Raw Data'!O685*2^-8</f>
        <v>0</v>
      </c>
      <c r="O684" s="17" t="str">
        <f>IF(BITWISE_AND('Raw Data'!$K685, 8192),"X","")</f>
        <v/>
      </c>
      <c r="P684" s="17" t="str">
        <f>IF(BITWISE_AND('Raw Data'!$K685, 2048),"X","")</f>
        <v/>
      </c>
      <c r="Q684" s="17" t="str">
        <f>IF(BITWISE_AND('Raw Data'!$K685, 64),"X","")</f>
        <v/>
      </c>
      <c r="R684" s="18" t="str">
        <f>IF(BITWISE_AND('Raw Data'!$L685, 1024),"X","")</f>
        <v/>
      </c>
      <c r="S684" s="18" t="str">
        <f>IF(BITWISE_AND('Raw Data'!$L685, 512),"X","")</f>
        <v/>
      </c>
      <c r="T684" s="18" t="str">
        <f>IF(BITWISE_AND('Raw Data'!$L685, 256),"X","")</f>
        <v/>
      </c>
      <c r="U684" s="18" t="str">
        <f>IF(BITWISE_AND('Raw Data'!$L685, 64),"X","")</f>
        <v/>
      </c>
      <c r="V684" s="18" t="str">
        <f>IF(BITWISE_AND('Raw Data'!$L685, 2),"X","")</f>
        <v/>
      </c>
      <c r="W684" s="18" t="str">
        <f>IF(BITWISE_AND('Raw Data'!$L685, 1),"X","")</f>
        <v/>
      </c>
      <c r="X684" s="19" t="str">
        <f>IF(BITWISE_AND('Raw Data'!M685, 1),"Bat Voltage", IF(BITWISE_AND('Raw Data'!M685, 2), "Charge Current", IF(BITWISE_AND('Raw Data'!M685, 4),"Input Ilim", IF(BITWISE_AND('Raw Data'!M685, 8), "Input UV", "none"))))</f>
        <v>none</v>
      </c>
    </row>
    <row r="685" spans="1:24" x14ac:dyDescent="0.2">
      <c r="A685" s="15">
        <f>A684+TIME(0,0,'Raw Data'!B685)</f>
        <v>0</v>
      </c>
      <c r="B685" s="4">
        <f>'Raw Data'!C686*0.025</f>
        <v>0</v>
      </c>
      <c r="C685" s="4">
        <f t="shared" si="33"/>
        <v>0</v>
      </c>
      <c r="D685" s="4">
        <f>'Raw Data'!D686*0.025</f>
        <v>0</v>
      </c>
      <c r="E685" s="4">
        <f t="shared" si="34"/>
        <v>0</v>
      </c>
      <c r="F685" s="4">
        <f>'Raw Data'!E686*0.001648</f>
        <v>0</v>
      </c>
      <c r="G685" s="4">
        <f>'Raw Data'!F686*0.001648</f>
        <v>0</v>
      </c>
      <c r="H685" s="4">
        <f>'Raw Data'!G686*6*0.000128176</f>
        <v>0</v>
      </c>
      <c r="I685" s="4">
        <f>'Raw Data'!H686*0.000732435</f>
        <v>0</v>
      </c>
      <c r="J685" s="4">
        <f t="shared" si="32"/>
        <v>0</v>
      </c>
      <c r="K685" s="36">
        <f>IF(('Raw Data'!I686-16384)/32768&lt;0,0,('Raw Data'!I686-16384)/32768)</f>
        <v>0</v>
      </c>
      <c r="L685" s="4">
        <f>IF(('Raw Data'!J686-12010)/45.6=-263.377192982456,0,('Raw Data'!J686-12010)/45.6)</f>
        <v>0</v>
      </c>
      <c r="M685" s="16">
        <f>'Raw Data'!N686*2^-8</f>
        <v>0</v>
      </c>
      <c r="N685" s="16">
        <f>'Raw Data'!O686*2^-8</f>
        <v>0</v>
      </c>
      <c r="O685" s="17" t="str">
        <f>IF(BITWISE_AND('Raw Data'!$K686, 8192),"X","")</f>
        <v/>
      </c>
      <c r="P685" s="17" t="str">
        <f>IF(BITWISE_AND('Raw Data'!$K686, 2048),"X","")</f>
        <v/>
      </c>
      <c r="Q685" s="17" t="str">
        <f>IF(BITWISE_AND('Raw Data'!$K686, 64),"X","")</f>
        <v/>
      </c>
      <c r="R685" s="18" t="str">
        <f>IF(BITWISE_AND('Raw Data'!$L686, 1024),"X","")</f>
        <v/>
      </c>
      <c r="S685" s="18" t="str">
        <f>IF(BITWISE_AND('Raw Data'!$L686, 512),"X","")</f>
        <v/>
      </c>
      <c r="T685" s="18" t="str">
        <f>IF(BITWISE_AND('Raw Data'!$L686, 256),"X","")</f>
        <v/>
      </c>
      <c r="U685" s="18" t="str">
        <f>IF(BITWISE_AND('Raw Data'!$L686, 64),"X","")</f>
        <v/>
      </c>
      <c r="V685" s="18" t="str">
        <f>IF(BITWISE_AND('Raw Data'!$L686, 2),"X","")</f>
        <v/>
      </c>
      <c r="W685" s="18" t="str">
        <f>IF(BITWISE_AND('Raw Data'!$L686, 1),"X","")</f>
        <v/>
      </c>
      <c r="X685" s="19" t="str">
        <f>IF(BITWISE_AND('Raw Data'!M686, 1),"Bat Voltage", IF(BITWISE_AND('Raw Data'!M686, 2), "Charge Current", IF(BITWISE_AND('Raw Data'!M686, 4),"Input Ilim", IF(BITWISE_AND('Raw Data'!M686, 8), "Input UV", "none"))))</f>
        <v>none</v>
      </c>
    </row>
    <row r="686" spans="1:24" x14ac:dyDescent="0.2">
      <c r="A686" s="15">
        <f>A685+TIME(0,0,'Raw Data'!B686)</f>
        <v>0</v>
      </c>
      <c r="B686" s="4">
        <f>'Raw Data'!C687*0.025</f>
        <v>0</v>
      </c>
      <c r="C686" s="4">
        <f t="shared" si="33"/>
        <v>0</v>
      </c>
      <c r="D686" s="4">
        <f>'Raw Data'!D687*0.025</f>
        <v>0</v>
      </c>
      <c r="E686" s="4">
        <f t="shared" si="34"/>
        <v>0</v>
      </c>
      <c r="F686" s="4">
        <f>'Raw Data'!E687*0.001648</f>
        <v>0</v>
      </c>
      <c r="G686" s="4">
        <f>'Raw Data'!F687*0.001648</f>
        <v>0</v>
      </c>
      <c r="H686" s="4">
        <f>'Raw Data'!G687*6*0.000128176</f>
        <v>0</v>
      </c>
      <c r="I686" s="4">
        <f>'Raw Data'!H687*0.000732435</f>
        <v>0</v>
      </c>
      <c r="J686" s="4">
        <f t="shared" si="32"/>
        <v>0</v>
      </c>
      <c r="K686" s="36">
        <f>IF(('Raw Data'!I687-16384)/32768&lt;0,0,('Raw Data'!I687-16384)/32768)</f>
        <v>0</v>
      </c>
      <c r="L686" s="4">
        <f>IF(('Raw Data'!J687-12010)/45.6=-263.377192982456,0,('Raw Data'!J687-12010)/45.6)</f>
        <v>0</v>
      </c>
      <c r="M686" s="16">
        <f>'Raw Data'!N687*2^-8</f>
        <v>0</v>
      </c>
      <c r="N686" s="16">
        <f>'Raw Data'!O687*2^-8</f>
        <v>0</v>
      </c>
      <c r="O686" s="17" t="str">
        <f>IF(BITWISE_AND('Raw Data'!$K687, 8192),"X","")</f>
        <v/>
      </c>
      <c r="P686" s="17" t="str">
        <f>IF(BITWISE_AND('Raw Data'!$K687, 2048),"X","")</f>
        <v/>
      </c>
      <c r="Q686" s="17" t="str">
        <f>IF(BITWISE_AND('Raw Data'!$K687, 64),"X","")</f>
        <v/>
      </c>
      <c r="R686" s="18" t="str">
        <f>IF(BITWISE_AND('Raw Data'!$L687, 1024),"X","")</f>
        <v/>
      </c>
      <c r="S686" s="18" t="str">
        <f>IF(BITWISE_AND('Raw Data'!$L687, 512),"X","")</f>
        <v/>
      </c>
      <c r="T686" s="18" t="str">
        <f>IF(BITWISE_AND('Raw Data'!$L687, 256),"X","")</f>
        <v/>
      </c>
      <c r="U686" s="18" t="str">
        <f>IF(BITWISE_AND('Raw Data'!$L687, 64),"X","")</f>
        <v/>
      </c>
      <c r="V686" s="18" t="str">
        <f>IF(BITWISE_AND('Raw Data'!$L687, 2),"X","")</f>
        <v/>
      </c>
      <c r="W686" s="18" t="str">
        <f>IF(BITWISE_AND('Raw Data'!$L687, 1),"X","")</f>
        <v/>
      </c>
      <c r="X686" s="19" t="str">
        <f>IF(BITWISE_AND('Raw Data'!M687, 1),"Bat Voltage", IF(BITWISE_AND('Raw Data'!M687, 2), "Charge Current", IF(BITWISE_AND('Raw Data'!M687, 4),"Input Ilim", IF(BITWISE_AND('Raw Data'!M687, 8), "Input UV", "none"))))</f>
        <v>none</v>
      </c>
    </row>
    <row r="687" spans="1:24" x14ac:dyDescent="0.2">
      <c r="A687" s="15">
        <f>A686+TIME(0,0,'Raw Data'!B687)</f>
        <v>0</v>
      </c>
      <c r="B687" s="4">
        <f>'Raw Data'!C688*0.025</f>
        <v>0</v>
      </c>
      <c r="C687" s="4">
        <f t="shared" si="33"/>
        <v>0</v>
      </c>
      <c r="D687" s="4">
        <f>'Raw Data'!D688*0.025</f>
        <v>0</v>
      </c>
      <c r="E687" s="4">
        <f t="shared" si="34"/>
        <v>0</v>
      </c>
      <c r="F687" s="4">
        <f>'Raw Data'!E688*0.001648</f>
        <v>0</v>
      </c>
      <c r="G687" s="4">
        <f>'Raw Data'!F688*0.001648</f>
        <v>0</v>
      </c>
      <c r="H687" s="4">
        <f>'Raw Data'!G688*6*0.000128176</f>
        <v>0</v>
      </c>
      <c r="I687" s="4">
        <f>'Raw Data'!H688*0.000732435</f>
        <v>0</v>
      </c>
      <c r="J687" s="4">
        <f t="shared" si="32"/>
        <v>0</v>
      </c>
      <c r="K687" s="36">
        <f>IF(('Raw Data'!I688-16384)/32768&lt;0,0,('Raw Data'!I688-16384)/32768)</f>
        <v>0</v>
      </c>
      <c r="L687" s="4">
        <f>IF(('Raw Data'!J688-12010)/45.6=-263.377192982456,0,('Raw Data'!J688-12010)/45.6)</f>
        <v>0</v>
      </c>
      <c r="M687" s="16">
        <f>'Raw Data'!N688*2^-8</f>
        <v>0</v>
      </c>
      <c r="N687" s="16">
        <f>'Raw Data'!O688*2^-8</f>
        <v>0</v>
      </c>
      <c r="O687" s="17" t="str">
        <f>IF(BITWISE_AND('Raw Data'!$K688, 8192),"X","")</f>
        <v/>
      </c>
      <c r="P687" s="17" t="str">
        <f>IF(BITWISE_AND('Raw Data'!$K688, 2048),"X","")</f>
        <v/>
      </c>
      <c r="Q687" s="17" t="str">
        <f>IF(BITWISE_AND('Raw Data'!$K688, 64),"X","")</f>
        <v/>
      </c>
      <c r="R687" s="18" t="str">
        <f>IF(BITWISE_AND('Raw Data'!$L688, 1024),"X","")</f>
        <v/>
      </c>
      <c r="S687" s="18" t="str">
        <f>IF(BITWISE_AND('Raw Data'!$L688, 512),"X","")</f>
        <v/>
      </c>
      <c r="T687" s="18" t="str">
        <f>IF(BITWISE_AND('Raw Data'!$L688, 256),"X","")</f>
        <v/>
      </c>
      <c r="U687" s="18" t="str">
        <f>IF(BITWISE_AND('Raw Data'!$L688, 64),"X","")</f>
        <v/>
      </c>
      <c r="V687" s="18" t="str">
        <f>IF(BITWISE_AND('Raw Data'!$L688, 2),"X","")</f>
        <v/>
      </c>
      <c r="W687" s="18" t="str">
        <f>IF(BITWISE_AND('Raw Data'!$L688, 1),"X","")</f>
        <v/>
      </c>
      <c r="X687" s="19" t="str">
        <f>IF(BITWISE_AND('Raw Data'!M688, 1),"Bat Voltage", IF(BITWISE_AND('Raw Data'!M688, 2), "Charge Current", IF(BITWISE_AND('Raw Data'!M688, 4),"Input Ilim", IF(BITWISE_AND('Raw Data'!M688, 8), "Input UV", "none"))))</f>
        <v>none</v>
      </c>
    </row>
    <row r="688" spans="1:24" x14ac:dyDescent="0.2">
      <c r="A688" s="15">
        <f>A687+TIME(0,0,'Raw Data'!B688)</f>
        <v>0</v>
      </c>
      <c r="B688" s="4">
        <f>'Raw Data'!C689*0.025</f>
        <v>0</v>
      </c>
      <c r="C688" s="4">
        <f t="shared" si="33"/>
        <v>0</v>
      </c>
      <c r="D688" s="4">
        <f>'Raw Data'!D689*0.025</f>
        <v>0</v>
      </c>
      <c r="E688" s="4">
        <f t="shared" si="34"/>
        <v>0</v>
      </c>
      <c r="F688" s="4">
        <f>'Raw Data'!E689*0.001648</f>
        <v>0</v>
      </c>
      <c r="G688" s="4">
        <f>'Raw Data'!F689*0.001648</f>
        <v>0</v>
      </c>
      <c r="H688" s="4">
        <f>'Raw Data'!G689*6*0.000128176</f>
        <v>0</v>
      </c>
      <c r="I688" s="4">
        <f>'Raw Data'!H689*0.000732435</f>
        <v>0</v>
      </c>
      <c r="J688" s="4">
        <f t="shared" si="32"/>
        <v>0</v>
      </c>
      <c r="K688" s="36">
        <f>IF(('Raw Data'!I689-16384)/32768&lt;0,0,('Raw Data'!I689-16384)/32768)</f>
        <v>0</v>
      </c>
      <c r="L688" s="4">
        <f>IF(('Raw Data'!J689-12010)/45.6=-263.377192982456,0,('Raw Data'!J689-12010)/45.6)</f>
        <v>0</v>
      </c>
      <c r="M688" s="16">
        <f>'Raw Data'!N689*2^-8</f>
        <v>0</v>
      </c>
      <c r="N688" s="16">
        <f>'Raw Data'!O689*2^-8</f>
        <v>0</v>
      </c>
      <c r="O688" s="17" t="str">
        <f>IF(BITWISE_AND('Raw Data'!$K689, 8192),"X","")</f>
        <v/>
      </c>
      <c r="P688" s="17" t="str">
        <f>IF(BITWISE_AND('Raw Data'!$K689, 2048),"X","")</f>
        <v/>
      </c>
      <c r="Q688" s="17" t="str">
        <f>IF(BITWISE_AND('Raw Data'!$K689, 64),"X","")</f>
        <v/>
      </c>
      <c r="R688" s="18" t="str">
        <f>IF(BITWISE_AND('Raw Data'!$L689, 1024),"X","")</f>
        <v/>
      </c>
      <c r="S688" s="18" t="str">
        <f>IF(BITWISE_AND('Raw Data'!$L689, 512),"X","")</f>
        <v/>
      </c>
      <c r="T688" s="18" t="str">
        <f>IF(BITWISE_AND('Raw Data'!$L689, 256),"X","")</f>
        <v/>
      </c>
      <c r="U688" s="18" t="str">
        <f>IF(BITWISE_AND('Raw Data'!$L689, 64),"X","")</f>
        <v/>
      </c>
      <c r="V688" s="18" t="str">
        <f>IF(BITWISE_AND('Raw Data'!$L689, 2),"X","")</f>
        <v/>
      </c>
      <c r="W688" s="18" t="str">
        <f>IF(BITWISE_AND('Raw Data'!$L689, 1),"X","")</f>
        <v/>
      </c>
      <c r="X688" s="19" t="str">
        <f>IF(BITWISE_AND('Raw Data'!M689, 1),"Bat Voltage", IF(BITWISE_AND('Raw Data'!M689, 2), "Charge Current", IF(BITWISE_AND('Raw Data'!M689, 4),"Input Ilim", IF(BITWISE_AND('Raw Data'!M689, 8), "Input UV", "none"))))</f>
        <v>none</v>
      </c>
    </row>
    <row r="689" spans="1:24" x14ac:dyDescent="0.2">
      <c r="A689" s="15">
        <f>A688+TIME(0,0,'Raw Data'!B689)</f>
        <v>0</v>
      </c>
      <c r="B689" s="4">
        <f>'Raw Data'!C690*0.025</f>
        <v>0</v>
      </c>
      <c r="C689" s="4">
        <f t="shared" si="33"/>
        <v>0</v>
      </c>
      <c r="D689" s="4">
        <f>'Raw Data'!D690*0.025</f>
        <v>0</v>
      </c>
      <c r="E689" s="4">
        <f t="shared" si="34"/>
        <v>0</v>
      </c>
      <c r="F689" s="4">
        <f>'Raw Data'!E690*0.001648</f>
        <v>0</v>
      </c>
      <c r="G689" s="4">
        <f>'Raw Data'!F690*0.001648</f>
        <v>0</v>
      </c>
      <c r="H689" s="4">
        <f>'Raw Data'!G690*6*0.000128176</f>
        <v>0</v>
      </c>
      <c r="I689" s="4">
        <f>'Raw Data'!H690*0.000732435</f>
        <v>0</v>
      </c>
      <c r="J689" s="4">
        <f t="shared" si="32"/>
        <v>0</v>
      </c>
      <c r="K689" s="36">
        <f>IF(('Raw Data'!I690-16384)/32768&lt;0,0,('Raw Data'!I690-16384)/32768)</f>
        <v>0</v>
      </c>
      <c r="L689" s="4">
        <f>IF(('Raw Data'!J690-12010)/45.6=-263.377192982456,0,('Raw Data'!J690-12010)/45.6)</f>
        <v>0</v>
      </c>
      <c r="M689" s="16">
        <f>'Raw Data'!N690*2^-8</f>
        <v>0</v>
      </c>
      <c r="N689" s="16">
        <f>'Raw Data'!O690*2^-8</f>
        <v>0</v>
      </c>
      <c r="O689" s="17" t="str">
        <f>IF(BITWISE_AND('Raw Data'!$K690, 8192),"X","")</f>
        <v/>
      </c>
      <c r="P689" s="17" t="str">
        <f>IF(BITWISE_AND('Raw Data'!$K690, 2048),"X","")</f>
        <v/>
      </c>
      <c r="Q689" s="17" t="str">
        <f>IF(BITWISE_AND('Raw Data'!$K690, 64),"X","")</f>
        <v/>
      </c>
      <c r="R689" s="18" t="str">
        <f>IF(BITWISE_AND('Raw Data'!$L690, 1024),"X","")</f>
        <v/>
      </c>
      <c r="S689" s="18" t="str">
        <f>IF(BITWISE_AND('Raw Data'!$L690, 512),"X","")</f>
        <v/>
      </c>
      <c r="T689" s="18" t="str">
        <f>IF(BITWISE_AND('Raw Data'!$L690, 256),"X","")</f>
        <v/>
      </c>
      <c r="U689" s="18" t="str">
        <f>IF(BITWISE_AND('Raw Data'!$L690, 64),"X","")</f>
        <v/>
      </c>
      <c r="V689" s="18" t="str">
        <f>IF(BITWISE_AND('Raw Data'!$L690, 2),"X","")</f>
        <v/>
      </c>
      <c r="W689" s="18" t="str">
        <f>IF(BITWISE_AND('Raw Data'!$L690, 1),"X","")</f>
        <v/>
      </c>
      <c r="X689" s="19" t="str">
        <f>IF(BITWISE_AND('Raw Data'!M690, 1),"Bat Voltage", IF(BITWISE_AND('Raw Data'!M690, 2), "Charge Current", IF(BITWISE_AND('Raw Data'!M690, 4),"Input Ilim", IF(BITWISE_AND('Raw Data'!M690, 8), "Input UV", "none"))))</f>
        <v>none</v>
      </c>
    </row>
    <row r="690" spans="1:24" x14ac:dyDescent="0.2">
      <c r="A690" s="15">
        <f>A689+TIME(0,0,'Raw Data'!B690)</f>
        <v>0</v>
      </c>
      <c r="B690" s="4">
        <f>'Raw Data'!C691*0.025</f>
        <v>0</v>
      </c>
      <c r="C690" s="4">
        <f t="shared" si="33"/>
        <v>0</v>
      </c>
      <c r="D690" s="4">
        <f>'Raw Data'!D691*0.025</f>
        <v>0</v>
      </c>
      <c r="E690" s="4">
        <f t="shared" si="34"/>
        <v>0</v>
      </c>
      <c r="F690" s="4">
        <f>'Raw Data'!E691*0.001648</f>
        <v>0</v>
      </c>
      <c r="G690" s="4">
        <f>'Raw Data'!F691*0.001648</f>
        <v>0</v>
      </c>
      <c r="H690" s="4">
        <f>'Raw Data'!G691*6*0.000128176</f>
        <v>0</v>
      </c>
      <c r="I690" s="4">
        <f>'Raw Data'!H691*0.000732435</f>
        <v>0</v>
      </c>
      <c r="J690" s="4">
        <f t="shared" si="32"/>
        <v>0</v>
      </c>
      <c r="K690" s="36">
        <f>IF(('Raw Data'!I691-16384)/32768&lt;0,0,('Raw Data'!I691-16384)/32768)</f>
        <v>0</v>
      </c>
      <c r="L690" s="4">
        <f>IF(('Raw Data'!J691-12010)/45.6=-263.377192982456,0,('Raw Data'!J691-12010)/45.6)</f>
        <v>0</v>
      </c>
      <c r="M690" s="16">
        <f>'Raw Data'!N691*2^-8</f>
        <v>0</v>
      </c>
      <c r="N690" s="16">
        <f>'Raw Data'!O691*2^-8</f>
        <v>0</v>
      </c>
      <c r="O690" s="17" t="str">
        <f>IF(BITWISE_AND('Raw Data'!$K691, 8192),"X","")</f>
        <v/>
      </c>
      <c r="P690" s="17" t="str">
        <f>IF(BITWISE_AND('Raw Data'!$K691, 2048),"X","")</f>
        <v/>
      </c>
      <c r="Q690" s="17" t="str">
        <f>IF(BITWISE_AND('Raw Data'!$K691, 64),"X","")</f>
        <v/>
      </c>
      <c r="R690" s="18" t="str">
        <f>IF(BITWISE_AND('Raw Data'!$L691, 1024),"X","")</f>
        <v/>
      </c>
      <c r="S690" s="18" t="str">
        <f>IF(BITWISE_AND('Raw Data'!$L691, 512),"X","")</f>
        <v/>
      </c>
      <c r="T690" s="18" t="str">
        <f>IF(BITWISE_AND('Raw Data'!$L691, 256),"X","")</f>
        <v/>
      </c>
      <c r="U690" s="18" t="str">
        <f>IF(BITWISE_AND('Raw Data'!$L691, 64),"X","")</f>
        <v/>
      </c>
      <c r="V690" s="18" t="str">
        <f>IF(BITWISE_AND('Raw Data'!$L691, 2),"X","")</f>
        <v/>
      </c>
      <c r="W690" s="18" t="str">
        <f>IF(BITWISE_AND('Raw Data'!$L691, 1),"X","")</f>
        <v/>
      </c>
      <c r="X690" s="19" t="str">
        <f>IF(BITWISE_AND('Raw Data'!M691, 1),"Bat Voltage", IF(BITWISE_AND('Raw Data'!M691, 2), "Charge Current", IF(BITWISE_AND('Raw Data'!M691, 4),"Input Ilim", IF(BITWISE_AND('Raw Data'!M691, 8), "Input UV", "none"))))</f>
        <v>none</v>
      </c>
    </row>
    <row r="691" spans="1:24" x14ac:dyDescent="0.2">
      <c r="A691" s="15">
        <f>A690+TIME(0,0,'Raw Data'!B691)</f>
        <v>0</v>
      </c>
      <c r="B691" s="4">
        <f>'Raw Data'!C692*0.025</f>
        <v>0</v>
      </c>
      <c r="C691" s="4">
        <f t="shared" si="33"/>
        <v>0</v>
      </c>
      <c r="D691" s="4">
        <f>'Raw Data'!D692*0.025</f>
        <v>0</v>
      </c>
      <c r="E691" s="4">
        <f t="shared" si="34"/>
        <v>0</v>
      </c>
      <c r="F691" s="4">
        <f>'Raw Data'!E692*0.001648</f>
        <v>0</v>
      </c>
      <c r="G691" s="4">
        <f>'Raw Data'!F692*0.001648</f>
        <v>0</v>
      </c>
      <c r="H691" s="4">
        <f>'Raw Data'!G692*6*0.000128176</f>
        <v>0</v>
      </c>
      <c r="I691" s="4">
        <f>'Raw Data'!H692*0.000732435</f>
        <v>0</v>
      </c>
      <c r="J691" s="4">
        <f t="shared" si="32"/>
        <v>0</v>
      </c>
      <c r="K691" s="36">
        <f>IF(('Raw Data'!I692-16384)/32768&lt;0,0,('Raw Data'!I692-16384)/32768)</f>
        <v>0</v>
      </c>
      <c r="L691" s="4">
        <f>IF(('Raw Data'!J692-12010)/45.6=-263.377192982456,0,('Raw Data'!J692-12010)/45.6)</f>
        <v>0</v>
      </c>
      <c r="M691" s="16">
        <f>'Raw Data'!N692*2^-8</f>
        <v>0</v>
      </c>
      <c r="N691" s="16">
        <f>'Raw Data'!O692*2^-8</f>
        <v>0</v>
      </c>
      <c r="O691" s="17" t="str">
        <f>IF(BITWISE_AND('Raw Data'!$K692, 8192),"X","")</f>
        <v/>
      </c>
      <c r="P691" s="17" t="str">
        <f>IF(BITWISE_AND('Raw Data'!$K692, 2048),"X","")</f>
        <v/>
      </c>
      <c r="Q691" s="17" t="str">
        <f>IF(BITWISE_AND('Raw Data'!$K692, 64),"X","")</f>
        <v/>
      </c>
      <c r="R691" s="18" t="str">
        <f>IF(BITWISE_AND('Raw Data'!$L692, 1024),"X","")</f>
        <v/>
      </c>
      <c r="S691" s="18" t="str">
        <f>IF(BITWISE_AND('Raw Data'!$L692, 512),"X","")</f>
        <v/>
      </c>
      <c r="T691" s="18" t="str">
        <f>IF(BITWISE_AND('Raw Data'!$L692, 256),"X","")</f>
        <v/>
      </c>
      <c r="U691" s="18" t="str">
        <f>IF(BITWISE_AND('Raw Data'!$L692, 64),"X","")</f>
        <v/>
      </c>
      <c r="V691" s="18" t="str">
        <f>IF(BITWISE_AND('Raw Data'!$L692, 2),"X","")</f>
        <v/>
      </c>
      <c r="W691" s="18" t="str">
        <f>IF(BITWISE_AND('Raw Data'!$L692, 1),"X","")</f>
        <v/>
      </c>
      <c r="X691" s="19" t="str">
        <f>IF(BITWISE_AND('Raw Data'!M692, 1),"Bat Voltage", IF(BITWISE_AND('Raw Data'!M692, 2), "Charge Current", IF(BITWISE_AND('Raw Data'!M692, 4),"Input Ilim", IF(BITWISE_AND('Raw Data'!M692, 8), "Input UV", "none"))))</f>
        <v>none</v>
      </c>
    </row>
    <row r="692" spans="1:24" x14ac:dyDescent="0.2">
      <c r="A692" s="15">
        <f>A691+TIME(0,0,'Raw Data'!B692)</f>
        <v>0</v>
      </c>
      <c r="B692" s="4">
        <f>'Raw Data'!C693*0.025</f>
        <v>0</v>
      </c>
      <c r="C692" s="4">
        <f t="shared" si="33"/>
        <v>0</v>
      </c>
      <c r="D692" s="4">
        <f>'Raw Data'!D693*0.025</f>
        <v>0</v>
      </c>
      <c r="E692" s="4">
        <f t="shared" si="34"/>
        <v>0</v>
      </c>
      <c r="F692" s="4">
        <f>'Raw Data'!E693*0.001648</f>
        <v>0</v>
      </c>
      <c r="G692" s="4">
        <f>'Raw Data'!F693*0.001648</f>
        <v>0</v>
      </c>
      <c r="H692" s="4">
        <f>'Raw Data'!G693*6*0.000128176</f>
        <v>0</v>
      </c>
      <c r="I692" s="4">
        <f>'Raw Data'!H693*0.000732435</f>
        <v>0</v>
      </c>
      <c r="J692" s="4">
        <f t="shared" si="32"/>
        <v>0</v>
      </c>
      <c r="K692" s="36">
        <f>IF(('Raw Data'!I693-16384)/32768&lt;0,0,('Raw Data'!I693-16384)/32768)</f>
        <v>0</v>
      </c>
      <c r="L692" s="4">
        <f>IF(('Raw Data'!J693-12010)/45.6=-263.377192982456,0,('Raw Data'!J693-12010)/45.6)</f>
        <v>0</v>
      </c>
      <c r="M692" s="16">
        <f>'Raw Data'!N693*2^-8</f>
        <v>0</v>
      </c>
      <c r="N692" s="16">
        <f>'Raw Data'!O693*2^-8</f>
        <v>0</v>
      </c>
      <c r="O692" s="17" t="str">
        <f>IF(BITWISE_AND('Raw Data'!$K693, 8192),"X","")</f>
        <v/>
      </c>
      <c r="P692" s="17" t="str">
        <f>IF(BITWISE_AND('Raw Data'!$K693, 2048),"X","")</f>
        <v/>
      </c>
      <c r="Q692" s="17" t="str">
        <f>IF(BITWISE_AND('Raw Data'!$K693, 64),"X","")</f>
        <v/>
      </c>
      <c r="R692" s="18" t="str">
        <f>IF(BITWISE_AND('Raw Data'!$L693, 1024),"X","")</f>
        <v/>
      </c>
      <c r="S692" s="18" t="str">
        <f>IF(BITWISE_AND('Raw Data'!$L693, 512),"X","")</f>
        <v/>
      </c>
      <c r="T692" s="18" t="str">
        <f>IF(BITWISE_AND('Raw Data'!$L693, 256),"X","")</f>
        <v/>
      </c>
      <c r="U692" s="18" t="str">
        <f>IF(BITWISE_AND('Raw Data'!$L693, 64),"X","")</f>
        <v/>
      </c>
      <c r="V692" s="18" t="str">
        <f>IF(BITWISE_AND('Raw Data'!$L693, 2),"X","")</f>
        <v/>
      </c>
      <c r="W692" s="18" t="str">
        <f>IF(BITWISE_AND('Raw Data'!$L693, 1),"X","")</f>
        <v/>
      </c>
      <c r="X692" s="19" t="str">
        <f>IF(BITWISE_AND('Raw Data'!M693, 1),"Bat Voltage", IF(BITWISE_AND('Raw Data'!M693, 2), "Charge Current", IF(BITWISE_AND('Raw Data'!M693, 4),"Input Ilim", IF(BITWISE_AND('Raw Data'!M693, 8), "Input UV", "none"))))</f>
        <v>none</v>
      </c>
    </row>
    <row r="693" spans="1:24" x14ac:dyDescent="0.2">
      <c r="A693" s="15">
        <f>A692+TIME(0,0,'Raw Data'!B693)</f>
        <v>0</v>
      </c>
      <c r="B693" s="4">
        <f>'Raw Data'!C694*0.025</f>
        <v>0</v>
      </c>
      <c r="C693" s="4">
        <f t="shared" si="33"/>
        <v>0</v>
      </c>
      <c r="D693" s="4">
        <f>'Raw Data'!D694*0.025</f>
        <v>0</v>
      </c>
      <c r="E693" s="4">
        <f t="shared" si="34"/>
        <v>0</v>
      </c>
      <c r="F693" s="4">
        <f>'Raw Data'!E694*0.001648</f>
        <v>0</v>
      </c>
      <c r="G693" s="4">
        <f>'Raw Data'!F694*0.001648</f>
        <v>0</v>
      </c>
      <c r="H693" s="4">
        <f>'Raw Data'!G694*6*0.000128176</f>
        <v>0</v>
      </c>
      <c r="I693" s="4">
        <f>'Raw Data'!H694*0.000732435</f>
        <v>0</v>
      </c>
      <c r="J693" s="4">
        <f t="shared" si="32"/>
        <v>0</v>
      </c>
      <c r="K693" s="36">
        <f>IF(('Raw Data'!I694-16384)/32768&lt;0,0,('Raw Data'!I694-16384)/32768)</f>
        <v>0</v>
      </c>
      <c r="L693" s="4">
        <f>IF(('Raw Data'!J694-12010)/45.6=-263.377192982456,0,('Raw Data'!J694-12010)/45.6)</f>
        <v>0</v>
      </c>
      <c r="M693" s="16">
        <f>'Raw Data'!N694*2^-8</f>
        <v>0</v>
      </c>
      <c r="N693" s="16">
        <f>'Raw Data'!O694*2^-8</f>
        <v>0</v>
      </c>
      <c r="O693" s="17" t="str">
        <f>IF(BITWISE_AND('Raw Data'!$K694, 8192),"X","")</f>
        <v/>
      </c>
      <c r="P693" s="17" t="str">
        <f>IF(BITWISE_AND('Raw Data'!$K694, 2048),"X","")</f>
        <v/>
      </c>
      <c r="Q693" s="17" t="str">
        <f>IF(BITWISE_AND('Raw Data'!$K694, 64),"X","")</f>
        <v/>
      </c>
      <c r="R693" s="18" t="str">
        <f>IF(BITWISE_AND('Raw Data'!$L694, 1024),"X","")</f>
        <v/>
      </c>
      <c r="S693" s="18" t="str">
        <f>IF(BITWISE_AND('Raw Data'!$L694, 512),"X","")</f>
        <v/>
      </c>
      <c r="T693" s="18" t="str">
        <f>IF(BITWISE_AND('Raw Data'!$L694, 256),"X","")</f>
        <v/>
      </c>
      <c r="U693" s="18" t="str">
        <f>IF(BITWISE_AND('Raw Data'!$L694, 64),"X","")</f>
        <v/>
      </c>
      <c r="V693" s="18" t="str">
        <f>IF(BITWISE_AND('Raw Data'!$L694, 2),"X","")</f>
        <v/>
      </c>
      <c r="W693" s="18" t="str">
        <f>IF(BITWISE_AND('Raw Data'!$L694, 1),"X","")</f>
        <v/>
      </c>
      <c r="X693" s="19" t="str">
        <f>IF(BITWISE_AND('Raw Data'!M694, 1),"Bat Voltage", IF(BITWISE_AND('Raw Data'!M694, 2), "Charge Current", IF(BITWISE_AND('Raw Data'!M694, 4),"Input Ilim", IF(BITWISE_AND('Raw Data'!M694, 8), "Input UV", "none"))))</f>
        <v>none</v>
      </c>
    </row>
    <row r="694" spans="1:24" x14ac:dyDescent="0.2">
      <c r="A694" s="15">
        <f>A693+TIME(0,0,'Raw Data'!B694)</f>
        <v>0</v>
      </c>
      <c r="B694" s="4">
        <f>'Raw Data'!C695*0.025</f>
        <v>0</v>
      </c>
      <c r="C694" s="4">
        <f t="shared" si="33"/>
        <v>0</v>
      </c>
      <c r="D694" s="4">
        <f>'Raw Data'!D695*0.025</f>
        <v>0</v>
      </c>
      <c r="E694" s="4">
        <f t="shared" si="34"/>
        <v>0</v>
      </c>
      <c r="F694" s="4">
        <f>'Raw Data'!E695*0.001648</f>
        <v>0</v>
      </c>
      <c r="G694" s="4">
        <f>'Raw Data'!F695*0.001648</f>
        <v>0</v>
      </c>
      <c r="H694" s="4">
        <f>'Raw Data'!G695*6*0.000128176</f>
        <v>0</v>
      </c>
      <c r="I694" s="4">
        <f>'Raw Data'!H695*0.000732435</f>
        <v>0</v>
      </c>
      <c r="J694" s="4">
        <f t="shared" si="32"/>
        <v>0</v>
      </c>
      <c r="K694" s="36">
        <f>IF(('Raw Data'!I695-16384)/32768&lt;0,0,('Raw Data'!I695-16384)/32768)</f>
        <v>0</v>
      </c>
      <c r="L694" s="4">
        <f>IF(('Raw Data'!J695-12010)/45.6=-263.377192982456,0,('Raw Data'!J695-12010)/45.6)</f>
        <v>0</v>
      </c>
      <c r="M694" s="16">
        <f>'Raw Data'!N695*2^-8</f>
        <v>0</v>
      </c>
      <c r="N694" s="16">
        <f>'Raw Data'!O695*2^-8</f>
        <v>0</v>
      </c>
      <c r="O694" s="17" t="str">
        <f>IF(BITWISE_AND('Raw Data'!$K695, 8192),"X","")</f>
        <v/>
      </c>
      <c r="P694" s="17" t="str">
        <f>IF(BITWISE_AND('Raw Data'!$K695, 2048),"X","")</f>
        <v/>
      </c>
      <c r="Q694" s="17" t="str">
        <f>IF(BITWISE_AND('Raw Data'!$K695, 64),"X","")</f>
        <v/>
      </c>
      <c r="R694" s="18" t="str">
        <f>IF(BITWISE_AND('Raw Data'!$L695, 1024),"X","")</f>
        <v/>
      </c>
      <c r="S694" s="18" t="str">
        <f>IF(BITWISE_AND('Raw Data'!$L695, 512),"X","")</f>
        <v/>
      </c>
      <c r="T694" s="18" t="str">
        <f>IF(BITWISE_AND('Raw Data'!$L695, 256),"X","")</f>
        <v/>
      </c>
      <c r="U694" s="18" t="str">
        <f>IF(BITWISE_AND('Raw Data'!$L695, 64),"X","")</f>
        <v/>
      </c>
      <c r="V694" s="18" t="str">
        <f>IF(BITWISE_AND('Raw Data'!$L695, 2),"X","")</f>
        <v/>
      </c>
      <c r="W694" s="18" t="str">
        <f>IF(BITWISE_AND('Raw Data'!$L695, 1),"X","")</f>
        <v/>
      </c>
      <c r="X694" s="19" t="str">
        <f>IF(BITWISE_AND('Raw Data'!M695, 1),"Bat Voltage", IF(BITWISE_AND('Raw Data'!M695, 2), "Charge Current", IF(BITWISE_AND('Raw Data'!M695, 4),"Input Ilim", IF(BITWISE_AND('Raw Data'!M695, 8), "Input UV", "none"))))</f>
        <v>none</v>
      </c>
    </row>
    <row r="695" spans="1:24" x14ac:dyDescent="0.2">
      <c r="A695" s="15">
        <f>A694+TIME(0,0,'Raw Data'!B695)</f>
        <v>0</v>
      </c>
      <c r="B695" s="4">
        <f>'Raw Data'!C696*0.025</f>
        <v>0</v>
      </c>
      <c r="C695" s="4">
        <f t="shared" si="33"/>
        <v>0</v>
      </c>
      <c r="D695" s="4">
        <f>'Raw Data'!D696*0.025</f>
        <v>0</v>
      </c>
      <c r="E695" s="4">
        <f t="shared" si="34"/>
        <v>0</v>
      </c>
      <c r="F695" s="4">
        <f>'Raw Data'!E696*0.001648</f>
        <v>0</v>
      </c>
      <c r="G695" s="4">
        <f>'Raw Data'!F696*0.001648</f>
        <v>0</v>
      </c>
      <c r="H695" s="4">
        <f>'Raw Data'!G696*6*0.000128176</f>
        <v>0</v>
      </c>
      <c r="I695" s="4">
        <f>'Raw Data'!H696*0.000732435</f>
        <v>0</v>
      </c>
      <c r="J695" s="4">
        <f t="shared" si="32"/>
        <v>0</v>
      </c>
      <c r="K695" s="36">
        <f>IF(('Raw Data'!I696-16384)/32768&lt;0,0,('Raw Data'!I696-16384)/32768)</f>
        <v>0</v>
      </c>
      <c r="L695" s="4">
        <f>IF(('Raw Data'!J696-12010)/45.6=-263.377192982456,0,('Raw Data'!J696-12010)/45.6)</f>
        <v>0</v>
      </c>
      <c r="M695" s="16">
        <f>'Raw Data'!N696*2^-8</f>
        <v>0</v>
      </c>
      <c r="N695" s="16">
        <f>'Raw Data'!O696*2^-8</f>
        <v>0</v>
      </c>
      <c r="O695" s="17" t="str">
        <f>IF(BITWISE_AND('Raw Data'!$K696, 8192),"X","")</f>
        <v/>
      </c>
      <c r="P695" s="17" t="str">
        <f>IF(BITWISE_AND('Raw Data'!$K696, 2048),"X","")</f>
        <v/>
      </c>
      <c r="Q695" s="17" t="str">
        <f>IF(BITWISE_AND('Raw Data'!$K696, 64),"X","")</f>
        <v/>
      </c>
      <c r="R695" s="18" t="str">
        <f>IF(BITWISE_AND('Raw Data'!$L696, 1024),"X","")</f>
        <v/>
      </c>
      <c r="S695" s="18" t="str">
        <f>IF(BITWISE_AND('Raw Data'!$L696, 512),"X","")</f>
        <v/>
      </c>
      <c r="T695" s="18" t="str">
        <f>IF(BITWISE_AND('Raw Data'!$L696, 256),"X","")</f>
        <v/>
      </c>
      <c r="U695" s="18" t="str">
        <f>IF(BITWISE_AND('Raw Data'!$L696, 64),"X","")</f>
        <v/>
      </c>
      <c r="V695" s="18" t="str">
        <f>IF(BITWISE_AND('Raw Data'!$L696, 2),"X","")</f>
        <v/>
      </c>
      <c r="W695" s="18" t="str">
        <f>IF(BITWISE_AND('Raw Data'!$L696, 1),"X","")</f>
        <v/>
      </c>
      <c r="X695" s="19" t="str">
        <f>IF(BITWISE_AND('Raw Data'!M696, 1),"Bat Voltage", IF(BITWISE_AND('Raw Data'!M696, 2), "Charge Current", IF(BITWISE_AND('Raw Data'!M696, 4),"Input Ilim", IF(BITWISE_AND('Raw Data'!M696, 8), "Input UV", "none"))))</f>
        <v>none</v>
      </c>
    </row>
    <row r="696" spans="1:24" x14ac:dyDescent="0.2">
      <c r="A696" s="15">
        <f>A695+TIME(0,0,'Raw Data'!B696)</f>
        <v>0</v>
      </c>
      <c r="B696" s="4">
        <f>'Raw Data'!C697*0.025</f>
        <v>0</v>
      </c>
      <c r="C696" s="4">
        <f t="shared" si="33"/>
        <v>0</v>
      </c>
      <c r="D696" s="4">
        <f>'Raw Data'!D697*0.025</f>
        <v>0</v>
      </c>
      <c r="E696" s="4">
        <f t="shared" si="34"/>
        <v>0</v>
      </c>
      <c r="F696" s="4">
        <f>'Raw Data'!E697*0.001648</f>
        <v>0</v>
      </c>
      <c r="G696" s="4">
        <f>'Raw Data'!F697*0.001648</f>
        <v>0</v>
      </c>
      <c r="H696" s="4">
        <f>'Raw Data'!G697*6*0.000128176</f>
        <v>0</v>
      </c>
      <c r="I696" s="4">
        <f>'Raw Data'!H697*0.000732435</f>
        <v>0</v>
      </c>
      <c r="J696" s="4">
        <f t="shared" si="32"/>
        <v>0</v>
      </c>
      <c r="K696" s="36">
        <f>IF(('Raw Data'!I697-16384)/32768&lt;0,0,('Raw Data'!I697-16384)/32768)</f>
        <v>0</v>
      </c>
      <c r="L696" s="4">
        <f>IF(('Raw Data'!J697-12010)/45.6=-263.377192982456,0,('Raw Data'!J697-12010)/45.6)</f>
        <v>0</v>
      </c>
      <c r="M696" s="16">
        <f>'Raw Data'!N697*2^-8</f>
        <v>0</v>
      </c>
      <c r="N696" s="16">
        <f>'Raw Data'!O697*2^-8</f>
        <v>0</v>
      </c>
      <c r="O696" s="17" t="str">
        <f>IF(BITWISE_AND('Raw Data'!$K697, 8192),"X","")</f>
        <v/>
      </c>
      <c r="P696" s="17" t="str">
        <f>IF(BITWISE_AND('Raw Data'!$K697, 2048),"X","")</f>
        <v/>
      </c>
      <c r="Q696" s="17" t="str">
        <f>IF(BITWISE_AND('Raw Data'!$K697, 64),"X","")</f>
        <v/>
      </c>
      <c r="R696" s="18" t="str">
        <f>IF(BITWISE_AND('Raw Data'!$L697, 1024),"X","")</f>
        <v/>
      </c>
      <c r="S696" s="18" t="str">
        <f>IF(BITWISE_AND('Raw Data'!$L697, 512),"X","")</f>
        <v/>
      </c>
      <c r="T696" s="18" t="str">
        <f>IF(BITWISE_AND('Raw Data'!$L697, 256),"X","")</f>
        <v/>
      </c>
      <c r="U696" s="18" t="str">
        <f>IF(BITWISE_AND('Raw Data'!$L697, 64),"X","")</f>
        <v/>
      </c>
      <c r="V696" s="18" t="str">
        <f>IF(BITWISE_AND('Raw Data'!$L697, 2),"X","")</f>
        <v/>
      </c>
      <c r="W696" s="18" t="str">
        <f>IF(BITWISE_AND('Raw Data'!$L697, 1),"X","")</f>
        <v/>
      </c>
      <c r="X696" s="19" t="str">
        <f>IF(BITWISE_AND('Raw Data'!M697, 1),"Bat Voltage", IF(BITWISE_AND('Raw Data'!M697, 2), "Charge Current", IF(BITWISE_AND('Raw Data'!M697, 4),"Input Ilim", IF(BITWISE_AND('Raw Data'!M697, 8), "Input UV", "none"))))</f>
        <v>none</v>
      </c>
    </row>
    <row r="697" spans="1:24" x14ac:dyDescent="0.2">
      <c r="A697" s="15">
        <f>A696+TIME(0,0,'Raw Data'!B697)</f>
        <v>0</v>
      </c>
      <c r="B697" s="4">
        <f>'Raw Data'!C698*0.025</f>
        <v>0</v>
      </c>
      <c r="C697" s="4">
        <f t="shared" si="33"/>
        <v>0</v>
      </c>
      <c r="D697" s="4">
        <f>'Raw Data'!D698*0.025</f>
        <v>0</v>
      </c>
      <c r="E697" s="4">
        <f t="shared" si="34"/>
        <v>0</v>
      </c>
      <c r="F697" s="4">
        <f>'Raw Data'!E698*0.001648</f>
        <v>0</v>
      </c>
      <c r="G697" s="4">
        <f>'Raw Data'!F698*0.001648</f>
        <v>0</v>
      </c>
      <c r="H697" s="4">
        <f>'Raw Data'!G698*6*0.000128176</f>
        <v>0</v>
      </c>
      <c r="I697" s="4">
        <f>'Raw Data'!H698*0.000732435</f>
        <v>0</v>
      </c>
      <c r="J697" s="4">
        <f t="shared" si="32"/>
        <v>0</v>
      </c>
      <c r="K697" s="36">
        <f>IF(('Raw Data'!I698-16384)/32768&lt;0,0,('Raw Data'!I698-16384)/32768)</f>
        <v>0</v>
      </c>
      <c r="L697" s="4">
        <f>IF(('Raw Data'!J698-12010)/45.6=-263.377192982456,0,('Raw Data'!J698-12010)/45.6)</f>
        <v>0</v>
      </c>
      <c r="M697" s="16">
        <f>'Raw Data'!N698*2^-8</f>
        <v>0</v>
      </c>
      <c r="N697" s="16">
        <f>'Raw Data'!O698*2^-8</f>
        <v>0</v>
      </c>
      <c r="O697" s="17" t="str">
        <f>IF(BITWISE_AND('Raw Data'!$K698, 8192),"X","")</f>
        <v/>
      </c>
      <c r="P697" s="17" t="str">
        <f>IF(BITWISE_AND('Raw Data'!$K698, 2048),"X","")</f>
        <v/>
      </c>
      <c r="Q697" s="17" t="str">
        <f>IF(BITWISE_AND('Raw Data'!$K698, 64),"X","")</f>
        <v/>
      </c>
      <c r="R697" s="18" t="str">
        <f>IF(BITWISE_AND('Raw Data'!$L698, 1024),"X","")</f>
        <v/>
      </c>
      <c r="S697" s="18" t="str">
        <f>IF(BITWISE_AND('Raw Data'!$L698, 512),"X","")</f>
        <v/>
      </c>
      <c r="T697" s="18" t="str">
        <f>IF(BITWISE_AND('Raw Data'!$L698, 256),"X","")</f>
        <v/>
      </c>
      <c r="U697" s="18" t="str">
        <f>IF(BITWISE_AND('Raw Data'!$L698, 64),"X","")</f>
        <v/>
      </c>
      <c r="V697" s="18" t="str">
        <f>IF(BITWISE_AND('Raw Data'!$L698, 2),"X","")</f>
        <v/>
      </c>
      <c r="W697" s="18" t="str">
        <f>IF(BITWISE_AND('Raw Data'!$L698, 1),"X","")</f>
        <v/>
      </c>
      <c r="X697" s="19" t="str">
        <f>IF(BITWISE_AND('Raw Data'!M698, 1),"Bat Voltage", IF(BITWISE_AND('Raw Data'!M698, 2), "Charge Current", IF(BITWISE_AND('Raw Data'!M698, 4),"Input Ilim", IF(BITWISE_AND('Raw Data'!M698, 8), "Input UV", "none"))))</f>
        <v>none</v>
      </c>
    </row>
    <row r="698" spans="1:24" x14ac:dyDescent="0.2">
      <c r="A698" s="15">
        <f>A697+TIME(0,0,'Raw Data'!B698)</f>
        <v>0</v>
      </c>
      <c r="B698" s="4">
        <f>'Raw Data'!C699*0.025</f>
        <v>0</v>
      </c>
      <c r="C698" s="4">
        <f t="shared" si="33"/>
        <v>0</v>
      </c>
      <c r="D698" s="4">
        <f>'Raw Data'!D699*0.025</f>
        <v>0</v>
      </c>
      <c r="E698" s="4">
        <f t="shared" si="34"/>
        <v>0</v>
      </c>
      <c r="F698" s="4">
        <f>'Raw Data'!E699*0.001648</f>
        <v>0</v>
      </c>
      <c r="G698" s="4">
        <f>'Raw Data'!F699*0.001648</f>
        <v>0</v>
      </c>
      <c r="H698" s="4">
        <f>'Raw Data'!G699*6*0.000128176</f>
        <v>0</v>
      </c>
      <c r="I698" s="4">
        <f>'Raw Data'!H699*0.000732435</f>
        <v>0</v>
      </c>
      <c r="J698" s="4">
        <f t="shared" si="32"/>
        <v>0</v>
      </c>
      <c r="K698" s="36">
        <f>IF(('Raw Data'!I699-16384)/32768&lt;0,0,('Raw Data'!I699-16384)/32768)</f>
        <v>0</v>
      </c>
      <c r="L698" s="4">
        <f>IF(('Raw Data'!J699-12010)/45.6=-263.377192982456,0,('Raw Data'!J699-12010)/45.6)</f>
        <v>0</v>
      </c>
      <c r="M698" s="16">
        <f>'Raw Data'!N699*2^-8</f>
        <v>0</v>
      </c>
      <c r="N698" s="16">
        <f>'Raw Data'!O699*2^-8</f>
        <v>0</v>
      </c>
      <c r="O698" s="17" t="str">
        <f>IF(BITWISE_AND('Raw Data'!$K699, 8192),"X","")</f>
        <v/>
      </c>
      <c r="P698" s="17" t="str">
        <f>IF(BITWISE_AND('Raw Data'!$K699, 2048),"X","")</f>
        <v/>
      </c>
      <c r="Q698" s="17" t="str">
        <f>IF(BITWISE_AND('Raw Data'!$K699, 64),"X","")</f>
        <v/>
      </c>
      <c r="R698" s="18" t="str">
        <f>IF(BITWISE_AND('Raw Data'!$L699, 1024),"X","")</f>
        <v/>
      </c>
      <c r="S698" s="18" t="str">
        <f>IF(BITWISE_AND('Raw Data'!$L699, 512),"X","")</f>
        <v/>
      </c>
      <c r="T698" s="18" t="str">
        <f>IF(BITWISE_AND('Raw Data'!$L699, 256),"X","")</f>
        <v/>
      </c>
      <c r="U698" s="18" t="str">
        <f>IF(BITWISE_AND('Raw Data'!$L699, 64),"X","")</f>
        <v/>
      </c>
      <c r="V698" s="18" t="str">
        <f>IF(BITWISE_AND('Raw Data'!$L699, 2),"X","")</f>
        <v/>
      </c>
      <c r="W698" s="18" t="str">
        <f>IF(BITWISE_AND('Raw Data'!$L699, 1),"X","")</f>
        <v/>
      </c>
      <c r="X698" s="19" t="str">
        <f>IF(BITWISE_AND('Raw Data'!M699, 1),"Bat Voltage", IF(BITWISE_AND('Raw Data'!M699, 2), "Charge Current", IF(BITWISE_AND('Raw Data'!M699, 4),"Input Ilim", IF(BITWISE_AND('Raw Data'!M699, 8), "Input UV", "none"))))</f>
        <v>none</v>
      </c>
    </row>
    <row r="699" spans="1:24" x14ac:dyDescent="0.2">
      <c r="A699" s="15">
        <f>A698+TIME(0,0,'Raw Data'!B699)</f>
        <v>0</v>
      </c>
      <c r="B699" s="4">
        <f>'Raw Data'!C700*0.025</f>
        <v>0</v>
      </c>
      <c r="C699" s="4">
        <f t="shared" si="33"/>
        <v>0</v>
      </c>
      <c r="D699" s="4">
        <f>'Raw Data'!D700*0.025</f>
        <v>0</v>
      </c>
      <c r="E699" s="4">
        <f t="shared" si="34"/>
        <v>0</v>
      </c>
      <c r="F699" s="4">
        <f>'Raw Data'!E700*0.001648</f>
        <v>0</v>
      </c>
      <c r="G699" s="4">
        <f>'Raw Data'!F700*0.001648</f>
        <v>0</v>
      </c>
      <c r="H699" s="4">
        <f>'Raw Data'!G700*6*0.000128176</f>
        <v>0</v>
      </c>
      <c r="I699" s="4">
        <f>'Raw Data'!H700*0.000732435</f>
        <v>0</v>
      </c>
      <c r="J699" s="4">
        <f t="shared" si="32"/>
        <v>0</v>
      </c>
      <c r="K699" s="36">
        <f>IF(('Raw Data'!I700-16384)/32768&lt;0,0,('Raw Data'!I700-16384)/32768)</f>
        <v>0</v>
      </c>
      <c r="L699" s="4">
        <f>IF(('Raw Data'!J700-12010)/45.6=-263.377192982456,0,('Raw Data'!J700-12010)/45.6)</f>
        <v>0</v>
      </c>
      <c r="M699" s="16">
        <f>'Raw Data'!N700*2^-8</f>
        <v>0</v>
      </c>
      <c r="N699" s="16">
        <f>'Raw Data'!O700*2^-8</f>
        <v>0</v>
      </c>
      <c r="O699" s="17" t="str">
        <f>IF(BITWISE_AND('Raw Data'!$K700, 8192),"X","")</f>
        <v/>
      </c>
      <c r="P699" s="17" t="str">
        <f>IF(BITWISE_AND('Raw Data'!$K700, 2048),"X","")</f>
        <v/>
      </c>
      <c r="Q699" s="17" t="str">
        <f>IF(BITWISE_AND('Raw Data'!$K700, 64),"X","")</f>
        <v/>
      </c>
      <c r="R699" s="18" t="str">
        <f>IF(BITWISE_AND('Raw Data'!$L700, 1024),"X","")</f>
        <v/>
      </c>
      <c r="S699" s="18" t="str">
        <f>IF(BITWISE_AND('Raw Data'!$L700, 512),"X","")</f>
        <v/>
      </c>
      <c r="T699" s="18" t="str">
        <f>IF(BITWISE_AND('Raw Data'!$L700, 256),"X","")</f>
        <v/>
      </c>
      <c r="U699" s="18" t="str">
        <f>IF(BITWISE_AND('Raw Data'!$L700, 64),"X","")</f>
        <v/>
      </c>
      <c r="V699" s="18" t="str">
        <f>IF(BITWISE_AND('Raw Data'!$L700, 2),"X","")</f>
        <v/>
      </c>
      <c r="W699" s="18" t="str">
        <f>IF(BITWISE_AND('Raw Data'!$L700, 1),"X","")</f>
        <v/>
      </c>
      <c r="X699" s="19" t="str">
        <f>IF(BITWISE_AND('Raw Data'!M700, 1),"Bat Voltage", IF(BITWISE_AND('Raw Data'!M700, 2), "Charge Current", IF(BITWISE_AND('Raw Data'!M700, 4),"Input Ilim", IF(BITWISE_AND('Raw Data'!M700, 8), "Input UV", "none"))))</f>
        <v>none</v>
      </c>
    </row>
    <row r="700" spans="1:24" x14ac:dyDescent="0.2">
      <c r="A700" s="15">
        <f>A699+TIME(0,0,'Raw Data'!B700)</f>
        <v>0</v>
      </c>
      <c r="B700" s="4">
        <f>'Raw Data'!C701*0.025</f>
        <v>0</v>
      </c>
      <c r="C700" s="4">
        <f t="shared" si="33"/>
        <v>0</v>
      </c>
      <c r="D700" s="4">
        <f>'Raw Data'!D701*0.025</f>
        <v>0</v>
      </c>
      <c r="E700" s="4">
        <f t="shared" si="34"/>
        <v>0</v>
      </c>
      <c r="F700" s="4">
        <f>'Raw Data'!E701*0.001648</f>
        <v>0</v>
      </c>
      <c r="G700" s="4">
        <f>'Raw Data'!F701*0.001648</f>
        <v>0</v>
      </c>
      <c r="H700" s="4">
        <f>'Raw Data'!G701*6*0.000128176</f>
        <v>0</v>
      </c>
      <c r="I700" s="4">
        <f>'Raw Data'!H701*0.000732435</f>
        <v>0</v>
      </c>
      <c r="J700" s="4">
        <f t="shared" si="32"/>
        <v>0</v>
      </c>
      <c r="K700" s="36">
        <f>IF(('Raw Data'!I701-16384)/32768&lt;0,0,('Raw Data'!I701-16384)/32768)</f>
        <v>0</v>
      </c>
      <c r="L700" s="4">
        <f>IF(('Raw Data'!J701-12010)/45.6=-263.377192982456,0,('Raw Data'!J701-12010)/45.6)</f>
        <v>0</v>
      </c>
      <c r="M700" s="16">
        <f>'Raw Data'!N701*2^-8</f>
        <v>0</v>
      </c>
      <c r="N700" s="16">
        <f>'Raw Data'!O701*2^-8</f>
        <v>0</v>
      </c>
      <c r="O700" s="17" t="str">
        <f>IF(BITWISE_AND('Raw Data'!$K701, 8192),"X","")</f>
        <v/>
      </c>
      <c r="P700" s="17" t="str">
        <f>IF(BITWISE_AND('Raw Data'!$K701, 2048),"X","")</f>
        <v/>
      </c>
      <c r="Q700" s="17" t="str">
        <f>IF(BITWISE_AND('Raw Data'!$K701, 64),"X","")</f>
        <v/>
      </c>
      <c r="R700" s="18" t="str">
        <f>IF(BITWISE_AND('Raw Data'!$L701, 1024),"X","")</f>
        <v/>
      </c>
      <c r="S700" s="18" t="str">
        <f>IF(BITWISE_AND('Raw Data'!$L701, 512),"X","")</f>
        <v/>
      </c>
      <c r="T700" s="18" t="str">
        <f>IF(BITWISE_AND('Raw Data'!$L701, 256),"X","")</f>
        <v/>
      </c>
      <c r="U700" s="18" t="str">
        <f>IF(BITWISE_AND('Raw Data'!$L701, 64),"X","")</f>
        <v/>
      </c>
      <c r="V700" s="18" t="str">
        <f>IF(BITWISE_AND('Raw Data'!$L701, 2),"X","")</f>
        <v/>
      </c>
      <c r="W700" s="18" t="str">
        <f>IF(BITWISE_AND('Raw Data'!$L701, 1),"X","")</f>
        <v/>
      </c>
      <c r="X700" s="19" t="str">
        <f>IF(BITWISE_AND('Raw Data'!M701, 1),"Bat Voltage", IF(BITWISE_AND('Raw Data'!M701, 2), "Charge Current", IF(BITWISE_AND('Raw Data'!M701, 4),"Input Ilim", IF(BITWISE_AND('Raw Data'!M701, 8), "Input UV", "none"))))</f>
        <v>none</v>
      </c>
    </row>
    <row r="701" spans="1:24" x14ac:dyDescent="0.2">
      <c r="A701" s="15">
        <f>A700+TIME(0,0,'Raw Data'!B701)</f>
        <v>0</v>
      </c>
      <c r="B701" s="4">
        <f>'Raw Data'!C702*0.025</f>
        <v>0</v>
      </c>
      <c r="C701" s="4">
        <f t="shared" si="33"/>
        <v>0</v>
      </c>
      <c r="D701" s="4">
        <f>'Raw Data'!D702*0.025</f>
        <v>0</v>
      </c>
      <c r="E701" s="4">
        <f t="shared" si="34"/>
        <v>0</v>
      </c>
      <c r="F701" s="4">
        <f>'Raw Data'!E702*0.001648</f>
        <v>0</v>
      </c>
      <c r="G701" s="4">
        <f>'Raw Data'!F702*0.001648</f>
        <v>0</v>
      </c>
      <c r="H701" s="4">
        <f>'Raw Data'!G702*6*0.000128176</f>
        <v>0</v>
      </c>
      <c r="I701" s="4">
        <f>'Raw Data'!H702*0.000732435</f>
        <v>0</v>
      </c>
      <c r="J701" s="4">
        <f t="shared" si="32"/>
        <v>0</v>
      </c>
      <c r="K701" s="36">
        <f>IF(('Raw Data'!I702-16384)/32768&lt;0,0,('Raw Data'!I702-16384)/32768)</f>
        <v>0</v>
      </c>
      <c r="L701" s="4">
        <f>IF(('Raw Data'!J702-12010)/45.6=-263.377192982456,0,('Raw Data'!J702-12010)/45.6)</f>
        <v>0</v>
      </c>
      <c r="M701" s="16">
        <f>'Raw Data'!N702*2^-8</f>
        <v>0</v>
      </c>
      <c r="N701" s="16">
        <f>'Raw Data'!O702*2^-8</f>
        <v>0</v>
      </c>
      <c r="O701" s="17" t="str">
        <f>IF(BITWISE_AND('Raw Data'!$K702, 8192),"X","")</f>
        <v/>
      </c>
      <c r="P701" s="17" t="str">
        <f>IF(BITWISE_AND('Raw Data'!$K702, 2048),"X","")</f>
        <v/>
      </c>
      <c r="Q701" s="17" t="str">
        <f>IF(BITWISE_AND('Raw Data'!$K702, 64),"X","")</f>
        <v/>
      </c>
      <c r="R701" s="18" t="str">
        <f>IF(BITWISE_AND('Raw Data'!$L702, 1024),"X","")</f>
        <v/>
      </c>
      <c r="S701" s="18" t="str">
        <f>IF(BITWISE_AND('Raw Data'!$L702, 512),"X","")</f>
        <v/>
      </c>
      <c r="T701" s="18" t="str">
        <f>IF(BITWISE_AND('Raw Data'!$L702, 256),"X","")</f>
        <v/>
      </c>
      <c r="U701" s="18" t="str">
        <f>IF(BITWISE_AND('Raw Data'!$L702, 64),"X","")</f>
        <v/>
      </c>
      <c r="V701" s="18" t="str">
        <f>IF(BITWISE_AND('Raw Data'!$L702, 2),"X","")</f>
        <v/>
      </c>
      <c r="W701" s="18" t="str">
        <f>IF(BITWISE_AND('Raw Data'!$L702, 1),"X","")</f>
        <v/>
      </c>
      <c r="X701" s="19" t="str">
        <f>IF(BITWISE_AND('Raw Data'!M702, 1),"Bat Voltage", IF(BITWISE_AND('Raw Data'!M702, 2), "Charge Current", IF(BITWISE_AND('Raw Data'!M702, 4),"Input Ilim", IF(BITWISE_AND('Raw Data'!M702, 8), "Input UV", "none"))))</f>
        <v>none</v>
      </c>
    </row>
    <row r="702" spans="1:24" x14ac:dyDescent="0.2">
      <c r="A702" s="15">
        <f>A701+TIME(0,0,'Raw Data'!B702)</f>
        <v>0</v>
      </c>
      <c r="B702" s="4">
        <f>'Raw Data'!C703*0.025</f>
        <v>0</v>
      </c>
      <c r="C702" s="4">
        <f t="shared" si="33"/>
        <v>0</v>
      </c>
      <c r="D702" s="4">
        <f>'Raw Data'!D703*0.025</f>
        <v>0</v>
      </c>
      <c r="E702" s="4">
        <f t="shared" si="34"/>
        <v>0</v>
      </c>
      <c r="F702" s="4">
        <f>'Raw Data'!E703*0.001648</f>
        <v>0</v>
      </c>
      <c r="G702" s="4">
        <f>'Raw Data'!F703*0.001648</f>
        <v>0</v>
      </c>
      <c r="H702" s="4">
        <f>'Raw Data'!G703*6*0.000128176</f>
        <v>0</v>
      </c>
      <c r="I702" s="4">
        <f>'Raw Data'!H703*0.000732435</f>
        <v>0</v>
      </c>
      <c r="J702" s="4">
        <f t="shared" si="32"/>
        <v>0</v>
      </c>
      <c r="K702" s="36">
        <f>IF(('Raw Data'!I703-16384)/32768&lt;0,0,('Raw Data'!I703-16384)/32768)</f>
        <v>0</v>
      </c>
      <c r="L702" s="4">
        <f>IF(('Raw Data'!J703-12010)/45.6=-263.377192982456,0,('Raw Data'!J703-12010)/45.6)</f>
        <v>0</v>
      </c>
      <c r="M702" s="16">
        <f>'Raw Data'!N703*2^-8</f>
        <v>0</v>
      </c>
      <c r="N702" s="16">
        <f>'Raw Data'!O703*2^-8</f>
        <v>0</v>
      </c>
      <c r="O702" s="17" t="str">
        <f>IF(BITWISE_AND('Raw Data'!$K703, 8192),"X","")</f>
        <v/>
      </c>
      <c r="P702" s="17" t="str">
        <f>IF(BITWISE_AND('Raw Data'!$K703, 2048),"X","")</f>
        <v/>
      </c>
      <c r="Q702" s="17" t="str">
        <f>IF(BITWISE_AND('Raw Data'!$K703, 64),"X","")</f>
        <v/>
      </c>
      <c r="R702" s="18" t="str">
        <f>IF(BITWISE_AND('Raw Data'!$L703, 1024),"X","")</f>
        <v/>
      </c>
      <c r="S702" s="18" t="str">
        <f>IF(BITWISE_AND('Raw Data'!$L703, 512),"X","")</f>
        <v/>
      </c>
      <c r="T702" s="18" t="str">
        <f>IF(BITWISE_AND('Raw Data'!$L703, 256),"X","")</f>
        <v/>
      </c>
      <c r="U702" s="18" t="str">
        <f>IF(BITWISE_AND('Raw Data'!$L703, 64),"X","")</f>
        <v/>
      </c>
      <c r="V702" s="18" t="str">
        <f>IF(BITWISE_AND('Raw Data'!$L703, 2),"X","")</f>
        <v/>
      </c>
      <c r="W702" s="18" t="str">
        <f>IF(BITWISE_AND('Raw Data'!$L703, 1),"X","")</f>
        <v/>
      </c>
      <c r="X702" s="19" t="str">
        <f>IF(BITWISE_AND('Raw Data'!M703, 1),"Bat Voltage", IF(BITWISE_AND('Raw Data'!M703, 2), "Charge Current", IF(BITWISE_AND('Raw Data'!M703, 4),"Input Ilim", IF(BITWISE_AND('Raw Data'!M703, 8), "Input UV", "none"))))</f>
        <v>none</v>
      </c>
    </row>
    <row r="703" spans="1:24" x14ac:dyDescent="0.2">
      <c r="A703" s="15">
        <f>A702+TIME(0,0,'Raw Data'!B703)</f>
        <v>0</v>
      </c>
      <c r="B703" s="4">
        <f>'Raw Data'!C704*0.025</f>
        <v>0</v>
      </c>
      <c r="C703" s="4">
        <f t="shared" si="33"/>
        <v>0</v>
      </c>
      <c r="D703" s="4">
        <f>'Raw Data'!D704*0.025</f>
        <v>0</v>
      </c>
      <c r="E703" s="4">
        <f t="shared" si="34"/>
        <v>0</v>
      </c>
      <c r="F703" s="4">
        <f>'Raw Data'!E704*0.001648</f>
        <v>0</v>
      </c>
      <c r="G703" s="4">
        <f>'Raw Data'!F704*0.001648</f>
        <v>0</v>
      </c>
      <c r="H703" s="4">
        <f>'Raw Data'!G704*6*0.000128176</f>
        <v>0</v>
      </c>
      <c r="I703" s="4">
        <f>'Raw Data'!H704*0.000732435</f>
        <v>0</v>
      </c>
      <c r="J703" s="4">
        <f t="shared" si="32"/>
        <v>0</v>
      </c>
      <c r="K703" s="36">
        <f>IF(('Raw Data'!I704-16384)/32768&lt;0,0,('Raw Data'!I704-16384)/32768)</f>
        <v>0</v>
      </c>
      <c r="L703" s="4">
        <f>IF(('Raw Data'!J704-12010)/45.6=-263.377192982456,0,('Raw Data'!J704-12010)/45.6)</f>
        <v>0</v>
      </c>
      <c r="M703" s="16">
        <f>'Raw Data'!N704*2^-8</f>
        <v>0</v>
      </c>
      <c r="N703" s="16">
        <f>'Raw Data'!O704*2^-8</f>
        <v>0</v>
      </c>
      <c r="O703" s="17" t="str">
        <f>IF(BITWISE_AND('Raw Data'!$K704, 8192),"X","")</f>
        <v/>
      </c>
      <c r="P703" s="17" t="str">
        <f>IF(BITWISE_AND('Raw Data'!$K704, 2048),"X","")</f>
        <v/>
      </c>
      <c r="Q703" s="17" t="str">
        <f>IF(BITWISE_AND('Raw Data'!$K704, 64),"X","")</f>
        <v/>
      </c>
      <c r="R703" s="18" t="str">
        <f>IF(BITWISE_AND('Raw Data'!$L704, 1024),"X","")</f>
        <v/>
      </c>
      <c r="S703" s="18" t="str">
        <f>IF(BITWISE_AND('Raw Data'!$L704, 512),"X","")</f>
        <v/>
      </c>
      <c r="T703" s="18" t="str">
        <f>IF(BITWISE_AND('Raw Data'!$L704, 256),"X","")</f>
        <v/>
      </c>
      <c r="U703" s="18" t="str">
        <f>IF(BITWISE_AND('Raw Data'!$L704, 64),"X","")</f>
        <v/>
      </c>
      <c r="V703" s="18" t="str">
        <f>IF(BITWISE_AND('Raw Data'!$L704, 2),"X","")</f>
        <v/>
      </c>
      <c r="W703" s="18" t="str">
        <f>IF(BITWISE_AND('Raw Data'!$L704, 1),"X","")</f>
        <v/>
      </c>
      <c r="X703" s="19" t="str">
        <f>IF(BITWISE_AND('Raw Data'!M704, 1),"Bat Voltage", IF(BITWISE_AND('Raw Data'!M704, 2), "Charge Current", IF(BITWISE_AND('Raw Data'!M704, 4),"Input Ilim", IF(BITWISE_AND('Raw Data'!M704, 8), "Input UV", "none"))))</f>
        <v>none</v>
      </c>
    </row>
    <row r="704" spans="1:24" x14ac:dyDescent="0.2">
      <c r="A704" s="15">
        <f>A703+TIME(0,0,'Raw Data'!B704)</f>
        <v>0</v>
      </c>
      <c r="B704" s="4">
        <f>'Raw Data'!C705*0.025</f>
        <v>0</v>
      </c>
      <c r="C704" s="4">
        <f t="shared" si="33"/>
        <v>0</v>
      </c>
      <c r="D704" s="4">
        <f>'Raw Data'!D705*0.025</f>
        <v>0</v>
      </c>
      <c r="E704" s="4">
        <f t="shared" si="34"/>
        <v>0</v>
      </c>
      <c r="F704" s="4">
        <f>'Raw Data'!E705*0.001648</f>
        <v>0</v>
      </c>
      <c r="G704" s="4">
        <f>'Raw Data'!F705*0.001648</f>
        <v>0</v>
      </c>
      <c r="H704" s="4">
        <f>'Raw Data'!G705*6*0.000128176</f>
        <v>0</v>
      </c>
      <c r="I704" s="4">
        <f>'Raw Data'!H705*0.000732435</f>
        <v>0</v>
      </c>
      <c r="J704" s="4">
        <f t="shared" si="32"/>
        <v>0</v>
      </c>
      <c r="K704" s="36">
        <f>IF(('Raw Data'!I705-16384)/32768&lt;0,0,('Raw Data'!I705-16384)/32768)</f>
        <v>0</v>
      </c>
      <c r="L704" s="4">
        <f>IF(('Raw Data'!J705-12010)/45.6=-263.377192982456,0,('Raw Data'!J705-12010)/45.6)</f>
        <v>0</v>
      </c>
      <c r="M704" s="16">
        <f>'Raw Data'!N705*2^-8</f>
        <v>0</v>
      </c>
      <c r="N704" s="16">
        <f>'Raw Data'!O705*2^-8</f>
        <v>0</v>
      </c>
      <c r="O704" s="17" t="str">
        <f>IF(BITWISE_AND('Raw Data'!$K705, 8192),"X","")</f>
        <v/>
      </c>
      <c r="P704" s="17" t="str">
        <f>IF(BITWISE_AND('Raw Data'!$K705, 2048),"X","")</f>
        <v/>
      </c>
      <c r="Q704" s="17" t="str">
        <f>IF(BITWISE_AND('Raw Data'!$K705, 64),"X","")</f>
        <v/>
      </c>
      <c r="R704" s="18" t="str">
        <f>IF(BITWISE_AND('Raw Data'!$L705, 1024),"X","")</f>
        <v/>
      </c>
      <c r="S704" s="18" t="str">
        <f>IF(BITWISE_AND('Raw Data'!$L705, 512),"X","")</f>
        <v/>
      </c>
      <c r="T704" s="18" t="str">
        <f>IF(BITWISE_AND('Raw Data'!$L705, 256),"X","")</f>
        <v/>
      </c>
      <c r="U704" s="18" t="str">
        <f>IF(BITWISE_AND('Raw Data'!$L705, 64),"X","")</f>
        <v/>
      </c>
      <c r="V704" s="18" t="str">
        <f>IF(BITWISE_AND('Raw Data'!$L705, 2),"X","")</f>
        <v/>
      </c>
      <c r="W704" s="18" t="str">
        <f>IF(BITWISE_AND('Raw Data'!$L705, 1),"X","")</f>
        <v/>
      </c>
      <c r="X704" s="19" t="str">
        <f>IF(BITWISE_AND('Raw Data'!M705, 1),"Bat Voltage", IF(BITWISE_AND('Raw Data'!M705, 2), "Charge Current", IF(BITWISE_AND('Raw Data'!M705, 4),"Input Ilim", IF(BITWISE_AND('Raw Data'!M705, 8), "Input UV", "none"))))</f>
        <v>none</v>
      </c>
    </row>
    <row r="705" spans="1:24" x14ac:dyDescent="0.2">
      <c r="A705" s="15">
        <f>A704+TIME(0,0,'Raw Data'!B705)</f>
        <v>0</v>
      </c>
      <c r="B705" s="4">
        <f>'Raw Data'!C706*0.025</f>
        <v>0</v>
      </c>
      <c r="C705" s="4">
        <f t="shared" si="33"/>
        <v>0</v>
      </c>
      <c r="D705" s="4">
        <f>'Raw Data'!D706*0.025</f>
        <v>0</v>
      </c>
      <c r="E705" s="4">
        <f t="shared" si="34"/>
        <v>0</v>
      </c>
      <c r="F705" s="4">
        <f>'Raw Data'!E706*0.001648</f>
        <v>0</v>
      </c>
      <c r="G705" s="4">
        <f>'Raw Data'!F706*0.001648</f>
        <v>0</v>
      </c>
      <c r="H705" s="4">
        <f>'Raw Data'!G706*6*0.000128176</f>
        <v>0</v>
      </c>
      <c r="I705" s="4">
        <f>'Raw Data'!H706*0.000732435</f>
        <v>0</v>
      </c>
      <c r="J705" s="4">
        <f t="shared" si="32"/>
        <v>0</v>
      </c>
      <c r="K705" s="36">
        <f>IF(('Raw Data'!I706-16384)/32768&lt;0,0,('Raw Data'!I706-16384)/32768)</f>
        <v>0</v>
      </c>
      <c r="L705" s="4">
        <f>IF(('Raw Data'!J706-12010)/45.6=-263.377192982456,0,('Raw Data'!J706-12010)/45.6)</f>
        <v>0</v>
      </c>
      <c r="M705" s="16">
        <f>'Raw Data'!N706*2^-8</f>
        <v>0</v>
      </c>
      <c r="N705" s="16">
        <f>'Raw Data'!O706*2^-8</f>
        <v>0</v>
      </c>
      <c r="O705" s="17" t="str">
        <f>IF(BITWISE_AND('Raw Data'!$K706, 8192),"X","")</f>
        <v/>
      </c>
      <c r="P705" s="17" t="str">
        <f>IF(BITWISE_AND('Raw Data'!$K706, 2048),"X","")</f>
        <v/>
      </c>
      <c r="Q705" s="17" t="str">
        <f>IF(BITWISE_AND('Raw Data'!$K706, 64),"X","")</f>
        <v/>
      </c>
      <c r="R705" s="18" t="str">
        <f>IF(BITWISE_AND('Raw Data'!$L706, 1024),"X","")</f>
        <v/>
      </c>
      <c r="S705" s="18" t="str">
        <f>IF(BITWISE_AND('Raw Data'!$L706, 512),"X","")</f>
        <v/>
      </c>
      <c r="T705" s="18" t="str">
        <f>IF(BITWISE_AND('Raw Data'!$L706, 256),"X","")</f>
        <v/>
      </c>
      <c r="U705" s="18" t="str">
        <f>IF(BITWISE_AND('Raw Data'!$L706, 64),"X","")</f>
        <v/>
      </c>
      <c r="V705" s="18" t="str">
        <f>IF(BITWISE_AND('Raw Data'!$L706, 2),"X","")</f>
        <v/>
      </c>
      <c r="W705" s="18" t="str">
        <f>IF(BITWISE_AND('Raw Data'!$L706, 1),"X","")</f>
        <v/>
      </c>
      <c r="X705" s="19" t="str">
        <f>IF(BITWISE_AND('Raw Data'!M706, 1),"Bat Voltage", IF(BITWISE_AND('Raw Data'!M706, 2), "Charge Current", IF(BITWISE_AND('Raw Data'!M706, 4),"Input Ilim", IF(BITWISE_AND('Raw Data'!M706, 8), "Input UV", "none"))))</f>
        <v>none</v>
      </c>
    </row>
    <row r="706" spans="1:24" x14ac:dyDescent="0.2">
      <c r="A706" s="15">
        <f>A705+TIME(0,0,'Raw Data'!B706)</f>
        <v>0</v>
      </c>
      <c r="B706" s="4">
        <f>'Raw Data'!C707*0.025</f>
        <v>0</v>
      </c>
      <c r="C706" s="4">
        <f t="shared" si="33"/>
        <v>0</v>
      </c>
      <c r="D706" s="4">
        <f>'Raw Data'!D707*0.025</f>
        <v>0</v>
      </c>
      <c r="E706" s="4">
        <f t="shared" si="34"/>
        <v>0</v>
      </c>
      <c r="F706" s="4">
        <f>'Raw Data'!E707*0.001648</f>
        <v>0</v>
      </c>
      <c r="G706" s="4">
        <f>'Raw Data'!F707*0.001648</f>
        <v>0</v>
      </c>
      <c r="H706" s="4">
        <f>'Raw Data'!G707*6*0.000128176</f>
        <v>0</v>
      </c>
      <c r="I706" s="4">
        <f>'Raw Data'!H707*0.000732435</f>
        <v>0</v>
      </c>
      <c r="J706" s="4">
        <f t="shared" si="32"/>
        <v>0</v>
      </c>
      <c r="K706" s="36">
        <f>IF(('Raw Data'!I707-16384)/32768&lt;0,0,('Raw Data'!I707-16384)/32768)</f>
        <v>0</v>
      </c>
      <c r="L706" s="4">
        <f>IF(('Raw Data'!J707-12010)/45.6=-263.377192982456,0,('Raw Data'!J707-12010)/45.6)</f>
        <v>0</v>
      </c>
      <c r="M706" s="16">
        <f>'Raw Data'!N707*2^-8</f>
        <v>0</v>
      </c>
      <c r="N706" s="16">
        <f>'Raw Data'!O707*2^-8</f>
        <v>0</v>
      </c>
      <c r="O706" s="17" t="str">
        <f>IF(BITWISE_AND('Raw Data'!$K707, 8192),"X","")</f>
        <v/>
      </c>
      <c r="P706" s="17" t="str">
        <f>IF(BITWISE_AND('Raw Data'!$K707, 2048),"X","")</f>
        <v/>
      </c>
      <c r="Q706" s="17" t="str">
        <f>IF(BITWISE_AND('Raw Data'!$K707, 64),"X","")</f>
        <v/>
      </c>
      <c r="R706" s="18" t="str">
        <f>IF(BITWISE_AND('Raw Data'!$L707, 1024),"X","")</f>
        <v/>
      </c>
      <c r="S706" s="18" t="str">
        <f>IF(BITWISE_AND('Raw Data'!$L707, 512),"X","")</f>
        <v/>
      </c>
      <c r="T706" s="18" t="str">
        <f>IF(BITWISE_AND('Raw Data'!$L707, 256),"X","")</f>
        <v/>
      </c>
      <c r="U706" s="18" t="str">
        <f>IF(BITWISE_AND('Raw Data'!$L707, 64),"X","")</f>
        <v/>
      </c>
      <c r="V706" s="18" t="str">
        <f>IF(BITWISE_AND('Raw Data'!$L707, 2),"X","")</f>
        <v/>
      </c>
      <c r="W706" s="18" t="str">
        <f>IF(BITWISE_AND('Raw Data'!$L707, 1),"X","")</f>
        <v/>
      </c>
      <c r="X706" s="19" t="str">
        <f>IF(BITWISE_AND('Raw Data'!M707, 1),"Bat Voltage", IF(BITWISE_AND('Raw Data'!M707, 2), "Charge Current", IF(BITWISE_AND('Raw Data'!M707, 4),"Input Ilim", IF(BITWISE_AND('Raw Data'!M707, 8), "Input UV", "none"))))</f>
        <v>none</v>
      </c>
    </row>
    <row r="707" spans="1:24" x14ac:dyDescent="0.2">
      <c r="A707" s="15">
        <f>A706+TIME(0,0,'Raw Data'!B707)</f>
        <v>0</v>
      </c>
      <c r="B707" s="4">
        <f>'Raw Data'!C708*0.025</f>
        <v>0</v>
      </c>
      <c r="C707" s="4">
        <f t="shared" si="33"/>
        <v>0</v>
      </c>
      <c r="D707" s="4">
        <f>'Raw Data'!D708*0.025</f>
        <v>0</v>
      </c>
      <c r="E707" s="4">
        <f t="shared" si="34"/>
        <v>0</v>
      </c>
      <c r="F707" s="4">
        <f>'Raw Data'!E708*0.001648</f>
        <v>0</v>
      </c>
      <c r="G707" s="4">
        <f>'Raw Data'!F708*0.001648</f>
        <v>0</v>
      </c>
      <c r="H707" s="4">
        <f>'Raw Data'!G708*6*0.000128176</f>
        <v>0</v>
      </c>
      <c r="I707" s="4">
        <f>'Raw Data'!H708*0.000732435</f>
        <v>0</v>
      </c>
      <c r="J707" s="4">
        <f t="shared" ref="J707:J770" si="35">H707*I707</f>
        <v>0</v>
      </c>
      <c r="K707" s="36">
        <f>IF(('Raw Data'!I708-16384)/32768&lt;0,0,('Raw Data'!I708-16384)/32768)</f>
        <v>0</v>
      </c>
      <c r="L707" s="4">
        <f>IF(('Raw Data'!J708-12010)/45.6=-263.377192982456,0,('Raw Data'!J708-12010)/45.6)</f>
        <v>0</v>
      </c>
      <c r="M707" s="16">
        <f>'Raw Data'!N708*2^-8</f>
        <v>0</v>
      </c>
      <c r="N707" s="16">
        <f>'Raw Data'!O708*2^-8</f>
        <v>0</v>
      </c>
      <c r="O707" s="17" t="str">
        <f>IF(BITWISE_AND('Raw Data'!$K708, 8192),"X","")</f>
        <v/>
      </c>
      <c r="P707" s="17" t="str">
        <f>IF(BITWISE_AND('Raw Data'!$K708, 2048),"X","")</f>
        <v/>
      </c>
      <c r="Q707" s="17" t="str">
        <f>IF(BITWISE_AND('Raw Data'!$K708, 64),"X","")</f>
        <v/>
      </c>
      <c r="R707" s="18" t="str">
        <f>IF(BITWISE_AND('Raw Data'!$L708, 1024),"X","")</f>
        <v/>
      </c>
      <c r="S707" s="18" t="str">
        <f>IF(BITWISE_AND('Raw Data'!$L708, 512),"X","")</f>
        <v/>
      </c>
      <c r="T707" s="18" t="str">
        <f>IF(BITWISE_AND('Raw Data'!$L708, 256),"X","")</f>
        <v/>
      </c>
      <c r="U707" s="18" t="str">
        <f>IF(BITWISE_AND('Raw Data'!$L708, 64),"X","")</f>
        <v/>
      </c>
      <c r="V707" s="18" t="str">
        <f>IF(BITWISE_AND('Raw Data'!$L708, 2),"X","")</f>
        <v/>
      </c>
      <c r="W707" s="18" t="str">
        <f>IF(BITWISE_AND('Raw Data'!$L708, 1),"X","")</f>
        <v/>
      </c>
      <c r="X707" s="19" t="str">
        <f>IF(BITWISE_AND('Raw Data'!M708, 1),"Bat Voltage", IF(BITWISE_AND('Raw Data'!M708, 2), "Charge Current", IF(BITWISE_AND('Raw Data'!M708, 4),"Input Ilim", IF(BITWISE_AND('Raw Data'!M708, 8), "Input UV", "none"))))</f>
        <v>none</v>
      </c>
    </row>
    <row r="708" spans="1:24" x14ac:dyDescent="0.2">
      <c r="A708" s="15">
        <f>A707+TIME(0,0,'Raw Data'!B708)</f>
        <v>0</v>
      </c>
      <c r="B708" s="4">
        <f>'Raw Data'!C709*0.025</f>
        <v>0</v>
      </c>
      <c r="C708" s="4">
        <f t="shared" si="33"/>
        <v>0</v>
      </c>
      <c r="D708" s="4">
        <f>'Raw Data'!D709*0.025</f>
        <v>0</v>
      </c>
      <c r="E708" s="4">
        <f t="shared" si="34"/>
        <v>0</v>
      </c>
      <c r="F708" s="4">
        <f>'Raw Data'!E709*0.001648</f>
        <v>0</v>
      </c>
      <c r="G708" s="4">
        <f>'Raw Data'!F709*0.001648</f>
        <v>0</v>
      </c>
      <c r="H708" s="4">
        <f>'Raw Data'!G709*6*0.000128176</f>
        <v>0</v>
      </c>
      <c r="I708" s="4">
        <f>'Raw Data'!H709*0.000732435</f>
        <v>0</v>
      </c>
      <c r="J708" s="4">
        <f t="shared" si="35"/>
        <v>0</v>
      </c>
      <c r="K708" s="36">
        <f>IF(('Raw Data'!I709-16384)/32768&lt;0,0,('Raw Data'!I709-16384)/32768)</f>
        <v>0</v>
      </c>
      <c r="L708" s="4">
        <f>IF(('Raw Data'!J709-12010)/45.6=-263.377192982456,0,('Raw Data'!J709-12010)/45.6)</f>
        <v>0</v>
      </c>
      <c r="M708" s="16">
        <f>'Raw Data'!N709*2^-8</f>
        <v>0</v>
      </c>
      <c r="N708" s="16">
        <f>'Raw Data'!O709*2^-8</f>
        <v>0</v>
      </c>
      <c r="O708" s="17" t="str">
        <f>IF(BITWISE_AND('Raw Data'!$K709, 8192),"X","")</f>
        <v/>
      </c>
      <c r="P708" s="17" t="str">
        <f>IF(BITWISE_AND('Raw Data'!$K709, 2048),"X","")</f>
        <v/>
      </c>
      <c r="Q708" s="17" t="str">
        <f>IF(BITWISE_AND('Raw Data'!$K709, 64),"X","")</f>
        <v/>
      </c>
      <c r="R708" s="18" t="str">
        <f>IF(BITWISE_AND('Raw Data'!$L709, 1024),"X","")</f>
        <v/>
      </c>
      <c r="S708" s="18" t="str">
        <f>IF(BITWISE_AND('Raw Data'!$L709, 512),"X","")</f>
        <v/>
      </c>
      <c r="T708" s="18" t="str">
        <f>IF(BITWISE_AND('Raw Data'!$L709, 256),"X","")</f>
        <v/>
      </c>
      <c r="U708" s="18" t="str">
        <f>IF(BITWISE_AND('Raw Data'!$L709, 64),"X","")</f>
        <v/>
      </c>
      <c r="V708" s="18" t="str">
        <f>IF(BITWISE_AND('Raw Data'!$L709, 2),"X","")</f>
        <v/>
      </c>
      <c r="W708" s="18" t="str">
        <f>IF(BITWISE_AND('Raw Data'!$L709, 1),"X","")</f>
        <v/>
      </c>
      <c r="X708" s="19" t="str">
        <f>IF(BITWISE_AND('Raw Data'!M709, 1),"Bat Voltage", IF(BITWISE_AND('Raw Data'!M709, 2), "Charge Current", IF(BITWISE_AND('Raw Data'!M709, 4),"Input Ilim", IF(BITWISE_AND('Raw Data'!M709, 8), "Input UV", "none"))))</f>
        <v>none</v>
      </c>
    </row>
    <row r="709" spans="1:24" x14ac:dyDescent="0.2">
      <c r="A709" s="15">
        <f>A708+TIME(0,0,'Raw Data'!B709)</f>
        <v>0</v>
      </c>
      <c r="B709" s="4">
        <f>'Raw Data'!C710*0.025</f>
        <v>0</v>
      </c>
      <c r="C709" s="4">
        <f t="shared" si="33"/>
        <v>0</v>
      </c>
      <c r="D709" s="4">
        <f>'Raw Data'!D710*0.025</f>
        <v>0</v>
      </c>
      <c r="E709" s="4">
        <f t="shared" si="34"/>
        <v>0</v>
      </c>
      <c r="F709" s="4">
        <f>'Raw Data'!E710*0.001648</f>
        <v>0</v>
      </c>
      <c r="G709" s="4">
        <f>'Raw Data'!F710*0.001648</f>
        <v>0</v>
      </c>
      <c r="H709" s="4">
        <f>'Raw Data'!G710*6*0.000128176</f>
        <v>0</v>
      </c>
      <c r="I709" s="4">
        <f>'Raw Data'!H710*0.000732435</f>
        <v>0</v>
      </c>
      <c r="J709" s="4">
        <f t="shared" si="35"/>
        <v>0</v>
      </c>
      <c r="K709" s="36">
        <f>IF(('Raw Data'!I710-16384)/32768&lt;0,0,('Raw Data'!I710-16384)/32768)</f>
        <v>0</v>
      </c>
      <c r="L709" s="4">
        <f>IF(('Raw Data'!J710-12010)/45.6=-263.377192982456,0,('Raw Data'!J710-12010)/45.6)</f>
        <v>0</v>
      </c>
      <c r="M709" s="16">
        <f>'Raw Data'!N710*2^-8</f>
        <v>0</v>
      </c>
      <c r="N709" s="16">
        <f>'Raw Data'!O710*2^-8</f>
        <v>0</v>
      </c>
      <c r="O709" s="17" t="str">
        <f>IF(BITWISE_AND('Raw Data'!$K710, 8192),"X","")</f>
        <v/>
      </c>
      <c r="P709" s="17" t="str">
        <f>IF(BITWISE_AND('Raw Data'!$K710, 2048),"X","")</f>
        <v/>
      </c>
      <c r="Q709" s="17" t="str">
        <f>IF(BITWISE_AND('Raw Data'!$K710, 64),"X","")</f>
        <v/>
      </c>
      <c r="R709" s="18" t="str">
        <f>IF(BITWISE_AND('Raw Data'!$L710, 1024),"X","")</f>
        <v/>
      </c>
      <c r="S709" s="18" t="str">
        <f>IF(BITWISE_AND('Raw Data'!$L710, 512),"X","")</f>
        <v/>
      </c>
      <c r="T709" s="18" t="str">
        <f>IF(BITWISE_AND('Raw Data'!$L710, 256),"X","")</f>
        <v/>
      </c>
      <c r="U709" s="18" t="str">
        <f>IF(BITWISE_AND('Raw Data'!$L710, 64),"X","")</f>
        <v/>
      </c>
      <c r="V709" s="18" t="str">
        <f>IF(BITWISE_AND('Raw Data'!$L710, 2),"X","")</f>
        <v/>
      </c>
      <c r="W709" s="18" t="str">
        <f>IF(BITWISE_AND('Raw Data'!$L710, 1),"X","")</f>
        <v/>
      </c>
      <c r="X709" s="19" t="str">
        <f>IF(BITWISE_AND('Raw Data'!M710, 1),"Bat Voltage", IF(BITWISE_AND('Raw Data'!M710, 2), "Charge Current", IF(BITWISE_AND('Raw Data'!M710, 4),"Input Ilim", IF(BITWISE_AND('Raw Data'!M710, 8), "Input UV", "none"))))</f>
        <v>none</v>
      </c>
    </row>
    <row r="710" spans="1:24" x14ac:dyDescent="0.2">
      <c r="A710" s="15">
        <f>A709+TIME(0,0,'Raw Data'!B710)</f>
        <v>0</v>
      </c>
      <c r="B710" s="4">
        <f>'Raw Data'!C711*0.025</f>
        <v>0</v>
      </c>
      <c r="C710" s="4">
        <f t="shared" si="33"/>
        <v>0</v>
      </c>
      <c r="D710" s="4">
        <f>'Raw Data'!D711*0.025</f>
        <v>0</v>
      </c>
      <c r="E710" s="4">
        <f t="shared" si="34"/>
        <v>0</v>
      </c>
      <c r="F710" s="4">
        <f>'Raw Data'!E711*0.001648</f>
        <v>0</v>
      </c>
      <c r="G710" s="4">
        <f>'Raw Data'!F711*0.001648</f>
        <v>0</v>
      </c>
      <c r="H710" s="4">
        <f>'Raw Data'!G711*6*0.000128176</f>
        <v>0</v>
      </c>
      <c r="I710" s="4">
        <f>'Raw Data'!H711*0.000732435</f>
        <v>0</v>
      </c>
      <c r="J710" s="4">
        <f t="shared" si="35"/>
        <v>0</v>
      </c>
      <c r="K710" s="36">
        <f>IF(('Raw Data'!I711-16384)/32768&lt;0,0,('Raw Data'!I711-16384)/32768)</f>
        <v>0</v>
      </c>
      <c r="L710" s="4">
        <f>IF(('Raw Data'!J711-12010)/45.6=-263.377192982456,0,('Raw Data'!J711-12010)/45.6)</f>
        <v>0</v>
      </c>
      <c r="M710" s="16">
        <f>'Raw Data'!N711*2^-8</f>
        <v>0</v>
      </c>
      <c r="N710" s="16">
        <f>'Raw Data'!O711*2^-8</f>
        <v>0</v>
      </c>
      <c r="O710" s="17" t="str">
        <f>IF(BITWISE_AND('Raw Data'!$K711, 8192),"X","")</f>
        <v/>
      </c>
      <c r="P710" s="17" t="str">
        <f>IF(BITWISE_AND('Raw Data'!$K711, 2048),"X","")</f>
        <v/>
      </c>
      <c r="Q710" s="17" t="str">
        <f>IF(BITWISE_AND('Raw Data'!$K711, 64),"X","")</f>
        <v/>
      </c>
      <c r="R710" s="18" t="str">
        <f>IF(BITWISE_AND('Raw Data'!$L711, 1024),"X","")</f>
        <v/>
      </c>
      <c r="S710" s="18" t="str">
        <f>IF(BITWISE_AND('Raw Data'!$L711, 512),"X","")</f>
        <v/>
      </c>
      <c r="T710" s="18" t="str">
        <f>IF(BITWISE_AND('Raw Data'!$L711, 256),"X","")</f>
        <v/>
      </c>
      <c r="U710" s="18" t="str">
        <f>IF(BITWISE_AND('Raw Data'!$L711, 64),"X","")</f>
        <v/>
      </c>
      <c r="V710" s="18" t="str">
        <f>IF(BITWISE_AND('Raw Data'!$L711, 2),"X","")</f>
        <v/>
      </c>
      <c r="W710" s="18" t="str">
        <f>IF(BITWISE_AND('Raw Data'!$L711, 1),"X","")</f>
        <v/>
      </c>
      <c r="X710" s="19" t="str">
        <f>IF(BITWISE_AND('Raw Data'!M711, 1),"Bat Voltage", IF(BITWISE_AND('Raw Data'!M711, 2), "Charge Current", IF(BITWISE_AND('Raw Data'!M711, 4),"Input Ilim", IF(BITWISE_AND('Raw Data'!M711, 8), "Input UV", "none"))))</f>
        <v>none</v>
      </c>
    </row>
    <row r="711" spans="1:24" x14ac:dyDescent="0.2">
      <c r="A711" s="15">
        <f>A710+TIME(0,0,'Raw Data'!B711)</f>
        <v>0</v>
      </c>
      <c r="B711" s="4">
        <f>'Raw Data'!C712*0.025</f>
        <v>0</v>
      </c>
      <c r="C711" s="4">
        <f t="shared" si="33"/>
        <v>0</v>
      </c>
      <c r="D711" s="4">
        <f>'Raw Data'!D712*0.025</f>
        <v>0</v>
      </c>
      <c r="E711" s="4">
        <f t="shared" si="34"/>
        <v>0</v>
      </c>
      <c r="F711" s="4">
        <f>'Raw Data'!E712*0.001648</f>
        <v>0</v>
      </c>
      <c r="G711" s="4">
        <f>'Raw Data'!F712*0.001648</f>
        <v>0</v>
      </c>
      <c r="H711" s="4">
        <f>'Raw Data'!G712*6*0.000128176</f>
        <v>0</v>
      </c>
      <c r="I711" s="4">
        <f>'Raw Data'!H712*0.000732435</f>
        <v>0</v>
      </c>
      <c r="J711" s="4">
        <f t="shared" si="35"/>
        <v>0</v>
      </c>
      <c r="K711" s="36">
        <f>IF(('Raw Data'!I712-16384)/32768&lt;0,0,('Raw Data'!I712-16384)/32768)</f>
        <v>0</v>
      </c>
      <c r="L711" s="4">
        <f>IF(('Raw Data'!J712-12010)/45.6=-263.377192982456,0,('Raw Data'!J712-12010)/45.6)</f>
        <v>0</v>
      </c>
      <c r="M711" s="16">
        <f>'Raw Data'!N712*2^-8</f>
        <v>0</v>
      </c>
      <c r="N711" s="16">
        <f>'Raw Data'!O712*2^-8</f>
        <v>0</v>
      </c>
      <c r="O711" s="17" t="str">
        <f>IF(BITWISE_AND('Raw Data'!$K712, 8192),"X","")</f>
        <v/>
      </c>
      <c r="P711" s="17" t="str">
        <f>IF(BITWISE_AND('Raw Data'!$K712, 2048),"X","")</f>
        <v/>
      </c>
      <c r="Q711" s="17" t="str">
        <f>IF(BITWISE_AND('Raw Data'!$K712, 64),"X","")</f>
        <v/>
      </c>
      <c r="R711" s="18" t="str">
        <f>IF(BITWISE_AND('Raw Data'!$L712, 1024),"X","")</f>
        <v/>
      </c>
      <c r="S711" s="18" t="str">
        <f>IF(BITWISE_AND('Raw Data'!$L712, 512),"X","")</f>
        <v/>
      </c>
      <c r="T711" s="18" t="str">
        <f>IF(BITWISE_AND('Raw Data'!$L712, 256),"X","")</f>
        <v/>
      </c>
      <c r="U711" s="18" t="str">
        <f>IF(BITWISE_AND('Raw Data'!$L712, 64),"X","")</f>
        <v/>
      </c>
      <c r="V711" s="18" t="str">
        <f>IF(BITWISE_AND('Raw Data'!$L712, 2),"X","")</f>
        <v/>
      </c>
      <c r="W711" s="18" t="str">
        <f>IF(BITWISE_AND('Raw Data'!$L712, 1),"X","")</f>
        <v/>
      </c>
      <c r="X711" s="19" t="str">
        <f>IF(BITWISE_AND('Raw Data'!M712, 1),"Bat Voltage", IF(BITWISE_AND('Raw Data'!M712, 2), "Charge Current", IF(BITWISE_AND('Raw Data'!M712, 4),"Input Ilim", IF(BITWISE_AND('Raw Data'!M712, 8), "Input UV", "none"))))</f>
        <v>none</v>
      </c>
    </row>
    <row r="712" spans="1:24" x14ac:dyDescent="0.2">
      <c r="A712" s="15">
        <f>A711+TIME(0,0,'Raw Data'!B712)</f>
        <v>0</v>
      </c>
      <c r="B712" s="4">
        <f>'Raw Data'!C713*0.025</f>
        <v>0</v>
      </c>
      <c r="C712" s="4">
        <f t="shared" si="33"/>
        <v>0</v>
      </c>
      <c r="D712" s="4">
        <f>'Raw Data'!D713*0.025</f>
        <v>0</v>
      </c>
      <c r="E712" s="4">
        <f t="shared" si="34"/>
        <v>0</v>
      </c>
      <c r="F712" s="4">
        <f>'Raw Data'!E713*0.001648</f>
        <v>0</v>
      </c>
      <c r="G712" s="4">
        <f>'Raw Data'!F713*0.001648</f>
        <v>0</v>
      </c>
      <c r="H712" s="4">
        <f>'Raw Data'!G713*6*0.000128176</f>
        <v>0</v>
      </c>
      <c r="I712" s="4">
        <f>'Raw Data'!H713*0.000732435</f>
        <v>0</v>
      </c>
      <c r="J712" s="4">
        <f t="shared" si="35"/>
        <v>0</v>
      </c>
      <c r="K712" s="36">
        <f>IF(('Raw Data'!I713-16384)/32768&lt;0,0,('Raw Data'!I713-16384)/32768)</f>
        <v>0</v>
      </c>
      <c r="L712" s="4">
        <f>IF(('Raw Data'!J713-12010)/45.6=-263.377192982456,0,('Raw Data'!J713-12010)/45.6)</f>
        <v>0</v>
      </c>
      <c r="M712" s="16">
        <f>'Raw Data'!N713*2^-8</f>
        <v>0</v>
      </c>
      <c r="N712" s="16">
        <f>'Raw Data'!O713*2^-8</f>
        <v>0</v>
      </c>
      <c r="O712" s="17" t="str">
        <f>IF(BITWISE_AND('Raw Data'!$K713, 8192),"X","")</f>
        <v/>
      </c>
      <c r="P712" s="17" t="str">
        <f>IF(BITWISE_AND('Raw Data'!$K713, 2048),"X","")</f>
        <v/>
      </c>
      <c r="Q712" s="17" t="str">
        <f>IF(BITWISE_AND('Raw Data'!$K713, 64),"X","")</f>
        <v/>
      </c>
      <c r="R712" s="18" t="str">
        <f>IF(BITWISE_AND('Raw Data'!$L713, 1024),"X","")</f>
        <v/>
      </c>
      <c r="S712" s="18" t="str">
        <f>IF(BITWISE_AND('Raw Data'!$L713, 512),"X","")</f>
        <v/>
      </c>
      <c r="T712" s="18" t="str">
        <f>IF(BITWISE_AND('Raw Data'!$L713, 256),"X","")</f>
        <v/>
      </c>
      <c r="U712" s="18" t="str">
        <f>IF(BITWISE_AND('Raw Data'!$L713, 64),"X","")</f>
        <v/>
      </c>
      <c r="V712" s="18" t="str">
        <f>IF(BITWISE_AND('Raw Data'!$L713, 2),"X","")</f>
        <v/>
      </c>
      <c r="W712" s="18" t="str">
        <f>IF(BITWISE_AND('Raw Data'!$L713, 1),"X","")</f>
        <v/>
      </c>
      <c r="X712" s="19" t="str">
        <f>IF(BITWISE_AND('Raw Data'!M713, 1),"Bat Voltage", IF(BITWISE_AND('Raw Data'!M713, 2), "Charge Current", IF(BITWISE_AND('Raw Data'!M713, 4),"Input Ilim", IF(BITWISE_AND('Raw Data'!M713, 8), "Input UV", "none"))))</f>
        <v>none</v>
      </c>
    </row>
    <row r="713" spans="1:24" x14ac:dyDescent="0.2">
      <c r="A713" s="15">
        <f>A712+TIME(0,0,'Raw Data'!B713)</f>
        <v>0</v>
      </c>
      <c r="B713" s="4">
        <f>'Raw Data'!C714*0.025</f>
        <v>0</v>
      </c>
      <c r="C713" s="4">
        <f t="shared" si="33"/>
        <v>0</v>
      </c>
      <c r="D713" s="4">
        <f>'Raw Data'!D714*0.025</f>
        <v>0</v>
      </c>
      <c r="E713" s="4">
        <f t="shared" si="34"/>
        <v>0</v>
      </c>
      <c r="F713" s="4">
        <f>'Raw Data'!E714*0.001648</f>
        <v>0</v>
      </c>
      <c r="G713" s="4">
        <f>'Raw Data'!F714*0.001648</f>
        <v>0</v>
      </c>
      <c r="H713" s="4">
        <f>'Raw Data'!G714*6*0.000128176</f>
        <v>0</v>
      </c>
      <c r="I713" s="4">
        <f>'Raw Data'!H714*0.000732435</f>
        <v>0</v>
      </c>
      <c r="J713" s="4">
        <f t="shared" si="35"/>
        <v>0</v>
      </c>
      <c r="K713" s="36">
        <f>IF(('Raw Data'!I714-16384)/32768&lt;0,0,('Raw Data'!I714-16384)/32768)</f>
        <v>0</v>
      </c>
      <c r="L713" s="4">
        <f>IF(('Raw Data'!J714-12010)/45.6=-263.377192982456,0,('Raw Data'!J714-12010)/45.6)</f>
        <v>0</v>
      </c>
      <c r="M713" s="16">
        <f>'Raw Data'!N714*2^-8</f>
        <v>0</v>
      </c>
      <c r="N713" s="16">
        <f>'Raw Data'!O714*2^-8</f>
        <v>0</v>
      </c>
      <c r="O713" s="17" t="str">
        <f>IF(BITWISE_AND('Raw Data'!$K714, 8192),"X","")</f>
        <v/>
      </c>
      <c r="P713" s="17" t="str">
        <f>IF(BITWISE_AND('Raw Data'!$K714, 2048),"X","")</f>
        <v/>
      </c>
      <c r="Q713" s="17" t="str">
        <f>IF(BITWISE_AND('Raw Data'!$K714, 64),"X","")</f>
        <v/>
      </c>
      <c r="R713" s="18" t="str">
        <f>IF(BITWISE_AND('Raw Data'!$L714, 1024),"X","")</f>
        <v/>
      </c>
      <c r="S713" s="18" t="str">
        <f>IF(BITWISE_AND('Raw Data'!$L714, 512),"X","")</f>
        <v/>
      </c>
      <c r="T713" s="18" t="str">
        <f>IF(BITWISE_AND('Raw Data'!$L714, 256),"X","")</f>
        <v/>
      </c>
      <c r="U713" s="18" t="str">
        <f>IF(BITWISE_AND('Raw Data'!$L714, 64),"X","")</f>
        <v/>
      </c>
      <c r="V713" s="18" t="str">
        <f>IF(BITWISE_AND('Raw Data'!$L714, 2),"X","")</f>
        <v/>
      </c>
      <c r="W713" s="18" t="str">
        <f>IF(BITWISE_AND('Raw Data'!$L714, 1),"X","")</f>
        <v/>
      </c>
      <c r="X713" s="19" t="str">
        <f>IF(BITWISE_AND('Raw Data'!M714, 1),"Bat Voltage", IF(BITWISE_AND('Raw Data'!M714, 2), "Charge Current", IF(BITWISE_AND('Raw Data'!M714, 4),"Input Ilim", IF(BITWISE_AND('Raw Data'!M714, 8), "Input UV", "none"))))</f>
        <v>none</v>
      </c>
    </row>
    <row r="714" spans="1:24" x14ac:dyDescent="0.2">
      <c r="A714" s="15">
        <f>A713+TIME(0,0,'Raw Data'!B714)</f>
        <v>0</v>
      </c>
      <c r="B714" s="4">
        <f>'Raw Data'!C715*0.025</f>
        <v>0</v>
      </c>
      <c r="C714" s="4">
        <f t="shared" si="33"/>
        <v>0</v>
      </c>
      <c r="D714" s="4">
        <f>'Raw Data'!D715*0.025</f>
        <v>0</v>
      </c>
      <c r="E714" s="4">
        <f t="shared" si="34"/>
        <v>0</v>
      </c>
      <c r="F714" s="4">
        <f>'Raw Data'!E715*0.001648</f>
        <v>0</v>
      </c>
      <c r="G714" s="4">
        <f>'Raw Data'!F715*0.001648</f>
        <v>0</v>
      </c>
      <c r="H714" s="4">
        <f>'Raw Data'!G715*6*0.000128176</f>
        <v>0</v>
      </c>
      <c r="I714" s="4">
        <f>'Raw Data'!H715*0.000732435</f>
        <v>0</v>
      </c>
      <c r="J714" s="4">
        <f t="shared" si="35"/>
        <v>0</v>
      </c>
      <c r="K714" s="36">
        <f>IF(('Raw Data'!I715-16384)/32768&lt;0,0,('Raw Data'!I715-16384)/32768)</f>
        <v>0</v>
      </c>
      <c r="L714" s="4">
        <f>IF(('Raw Data'!J715-12010)/45.6=-263.377192982456,0,('Raw Data'!J715-12010)/45.6)</f>
        <v>0</v>
      </c>
      <c r="M714" s="16">
        <f>'Raw Data'!N715*2^-8</f>
        <v>0</v>
      </c>
      <c r="N714" s="16">
        <f>'Raw Data'!O715*2^-8</f>
        <v>0</v>
      </c>
      <c r="O714" s="17" t="str">
        <f>IF(BITWISE_AND('Raw Data'!$K715, 8192),"X","")</f>
        <v/>
      </c>
      <c r="P714" s="17" t="str">
        <f>IF(BITWISE_AND('Raw Data'!$K715, 2048),"X","")</f>
        <v/>
      </c>
      <c r="Q714" s="17" t="str">
        <f>IF(BITWISE_AND('Raw Data'!$K715, 64),"X","")</f>
        <v/>
      </c>
      <c r="R714" s="18" t="str">
        <f>IF(BITWISE_AND('Raw Data'!$L715, 1024),"X","")</f>
        <v/>
      </c>
      <c r="S714" s="18" t="str">
        <f>IF(BITWISE_AND('Raw Data'!$L715, 512),"X","")</f>
        <v/>
      </c>
      <c r="T714" s="18" t="str">
        <f>IF(BITWISE_AND('Raw Data'!$L715, 256),"X","")</f>
        <v/>
      </c>
      <c r="U714" s="18" t="str">
        <f>IF(BITWISE_AND('Raw Data'!$L715, 64),"X","")</f>
        <v/>
      </c>
      <c r="V714" s="18" t="str">
        <f>IF(BITWISE_AND('Raw Data'!$L715, 2),"X","")</f>
        <v/>
      </c>
      <c r="W714" s="18" t="str">
        <f>IF(BITWISE_AND('Raw Data'!$L715, 1),"X","")</f>
        <v/>
      </c>
      <c r="X714" s="19" t="str">
        <f>IF(BITWISE_AND('Raw Data'!M715, 1),"Bat Voltage", IF(BITWISE_AND('Raw Data'!M715, 2), "Charge Current", IF(BITWISE_AND('Raw Data'!M715, 4),"Input Ilim", IF(BITWISE_AND('Raw Data'!M715, 8), "Input UV", "none"))))</f>
        <v>none</v>
      </c>
    </row>
    <row r="715" spans="1:24" x14ac:dyDescent="0.2">
      <c r="A715" s="15">
        <f>A714+TIME(0,0,'Raw Data'!B715)</f>
        <v>0</v>
      </c>
      <c r="B715" s="4">
        <f>'Raw Data'!C716*0.025</f>
        <v>0</v>
      </c>
      <c r="C715" s="4">
        <f t="shared" si="33"/>
        <v>0</v>
      </c>
      <c r="D715" s="4">
        <f>'Raw Data'!D716*0.025</f>
        <v>0</v>
      </c>
      <c r="E715" s="4">
        <f t="shared" si="34"/>
        <v>0</v>
      </c>
      <c r="F715" s="4">
        <f>'Raw Data'!E716*0.001648</f>
        <v>0</v>
      </c>
      <c r="G715" s="4">
        <f>'Raw Data'!F716*0.001648</f>
        <v>0</v>
      </c>
      <c r="H715" s="4">
        <f>'Raw Data'!G716*6*0.000128176</f>
        <v>0</v>
      </c>
      <c r="I715" s="4">
        <f>'Raw Data'!H716*0.000732435</f>
        <v>0</v>
      </c>
      <c r="J715" s="4">
        <f t="shared" si="35"/>
        <v>0</v>
      </c>
      <c r="K715" s="36">
        <f>IF(('Raw Data'!I716-16384)/32768&lt;0,0,('Raw Data'!I716-16384)/32768)</f>
        <v>0</v>
      </c>
      <c r="L715" s="4">
        <f>IF(('Raw Data'!J716-12010)/45.6=-263.377192982456,0,('Raw Data'!J716-12010)/45.6)</f>
        <v>0</v>
      </c>
      <c r="M715" s="16">
        <f>'Raw Data'!N716*2^-8</f>
        <v>0</v>
      </c>
      <c r="N715" s="16">
        <f>'Raw Data'!O716*2^-8</f>
        <v>0</v>
      </c>
      <c r="O715" s="17" t="str">
        <f>IF(BITWISE_AND('Raw Data'!$K716, 8192),"X","")</f>
        <v/>
      </c>
      <c r="P715" s="17" t="str">
        <f>IF(BITWISE_AND('Raw Data'!$K716, 2048),"X","")</f>
        <v/>
      </c>
      <c r="Q715" s="17" t="str">
        <f>IF(BITWISE_AND('Raw Data'!$K716, 64),"X","")</f>
        <v/>
      </c>
      <c r="R715" s="18" t="str">
        <f>IF(BITWISE_AND('Raw Data'!$L716, 1024),"X","")</f>
        <v/>
      </c>
      <c r="S715" s="18" t="str">
        <f>IF(BITWISE_AND('Raw Data'!$L716, 512),"X","")</f>
        <v/>
      </c>
      <c r="T715" s="18" t="str">
        <f>IF(BITWISE_AND('Raw Data'!$L716, 256),"X","")</f>
        <v/>
      </c>
      <c r="U715" s="18" t="str">
        <f>IF(BITWISE_AND('Raw Data'!$L716, 64),"X","")</f>
        <v/>
      </c>
      <c r="V715" s="18" t="str">
        <f>IF(BITWISE_AND('Raw Data'!$L716, 2),"X","")</f>
        <v/>
      </c>
      <c r="W715" s="18" t="str">
        <f>IF(BITWISE_AND('Raw Data'!$L716, 1),"X","")</f>
        <v/>
      </c>
      <c r="X715" s="19" t="str">
        <f>IF(BITWISE_AND('Raw Data'!M716, 1),"Bat Voltage", IF(BITWISE_AND('Raw Data'!M716, 2), "Charge Current", IF(BITWISE_AND('Raw Data'!M716, 4),"Input Ilim", IF(BITWISE_AND('Raw Data'!M716, 8), "Input UV", "none"))))</f>
        <v>none</v>
      </c>
    </row>
    <row r="716" spans="1:24" x14ac:dyDescent="0.2">
      <c r="A716" s="15">
        <f>A715+TIME(0,0,'Raw Data'!B716)</f>
        <v>0</v>
      </c>
      <c r="B716" s="4">
        <f>'Raw Data'!C717*0.025</f>
        <v>0</v>
      </c>
      <c r="C716" s="4">
        <f t="shared" si="33"/>
        <v>0</v>
      </c>
      <c r="D716" s="4">
        <f>'Raw Data'!D717*0.025</f>
        <v>0</v>
      </c>
      <c r="E716" s="4">
        <f t="shared" si="34"/>
        <v>0</v>
      </c>
      <c r="F716" s="4">
        <f>'Raw Data'!E717*0.001648</f>
        <v>0</v>
      </c>
      <c r="G716" s="4">
        <f>'Raw Data'!F717*0.001648</f>
        <v>0</v>
      </c>
      <c r="H716" s="4">
        <f>'Raw Data'!G717*6*0.000128176</f>
        <v>0</v>
      </c>
      <c r="I716" s="4">
        <f>'Raw Data'!H717*0.000732435</f>
        <v>0</v>
      </c>
      <c r="J716" s="4">
        <f t="shared" si="35"/>
        <v>0</v>
      </c>
      <c r="K716" s="36">
        <f>IF(('Raw Data'!I717-16384)/32768&lt;0,0,('Raw Data'!I717-16384)/32768)</f>
        <v>0</v>
      </c>
      <c r="L716" s="4">
        <f>IF(('Raw Data'!J717-12010)/45.6=-263.377192982456,0,('Raw Data'!J717-12010)/45.6)</f>
        <v>0</v>
      </c>
      <c r="M716" s="16">
        <f>'Raw Data'!N717*2^-8</f>
        <v>0</v>
      </c>
      <c r="N716" s="16">
        <f>'Raw Data'!O717*2^-8</f>
        <v>0</v>
      </c>
      <c r="O716" s="17" t="str">
        <f>IF(BITWISE_AND('Raw Data'!$K717, 8192),"X","")</f>
        <v/>
      </c>
      <c r="P716" s="17" t="str">
        <f>IF(BITWISE_AND('Raw Data'!$K717, 2048),"X","")</f>
        <v/>
      </c>
      <c r="Q716" s="17" t="str">
        <f>IF(BITWISE_AND('Raw Data'!$K717, 64),"X","")</f>
        <v/>
      </c>
      <c r="R716" s="18" t="str">
        <f>IF(BITWISE_AND('Raw Data'!$L717, 1024),"X","")</f>
        <v/>
      </c>
      <c r="S716" s="18" t="str">
        <f>IF(BITWISE_AND('Raw Data'!$L717, 512),"X","")</f>
        <v/>
      </c>
      <c r="T716" s="18" t="str">
        <f>IF(BITWISE_AND('Raw Data'!$L717, 256),"X","")</f>
        <v/>
      </c>
      <c r="U716" s="18" t="str">
        <f>IF(BITWISE_AND('Raw Data'!$L717, 64),"X","")</f>
        <v/>
      </c>
      <c r="V716" s="18" t="str">
        <f>IF(BITWISE_AND('Raw Data'!$L717, 2),"X","")</f>
        <v/>
      </c>
      <c r="W716" s="18" t="str">
        <f>IF(BITWISE_AND('Raw Data'!$L717, 1),"X","")</f>
        <v/>
      </c>
      <c r="X716" s="19" t="str">
        <f>IF(BITWISE_AND('Raw Data'!M717, 1),"Bat Voltage", IF(BITWISE_AND('Raw Data'!M717, 2), "Charge Current", IF(BITWISE_AND('Raw Data'!M717, 4),"Input Ilim", IF(BITWISE_AND('Raw Data'!M717, 8), "Input UV", "none"))))</f>
        <v>none</v>
      </c>
    </row>
    <row r="717" spans="1:24" x14ac:dyDescent="0.2">
      <c r="A717" s="15">
        <f>A716+TIME(0,0,'Raw Data'!B717)</f>
        <v>0</v>
      </c>
      <c r="B717" s="4">
        <f>'Raw Data'!C718*0.025</f>
        <v>0</v>
      </c>
      <c r="C717" s="4">
        <f t="shared" si="33"/>
        <v>0</v>
      </c>
      <c r="D717" s="4">
        <f>'Raw Data'!D718*0.025</f>
        <v>0</v>
      </c>
      <c r="E717" s="4">
        <f t="shared" si="34"/>
        <v>0</v>
      </c>
      <c r="F717" s="4">
        <f>'Raw Data'!E718*0.001648</f>
        <v>0</v>
      </c>
      <c r="G717" s="4">
        <f>'Raw Data'!F718*0.001648</f>
        <v>0</v>
      </c>
      <c r="H717" s="4">
        <f>'Raw Data'!G718*6*0.000128176</f>
        <v>0</v>
      </c>
      <c r="I717" s="4">
        <f>'Raw Data'!H718*0.000732435</f>
        <v>0</v>
      </c>
      <c r="J717" s="4">
        <f t="shared" si="35"/>
        <v>0</v>
      </c>
      <c r="K717" s="36">
        <f>IF(('Raw Data'!I718-16384)/32768&lt;0,0,('Raw Data'!I718-16384)/32768)</f>
        <v>0</v>
      </c>
      <c r="L717" s="4">
        <f>IF(('Raw Data'!J718-12010)/45.6=-263.377192982456,0,('Raw Data'!J718-12010)/45.6)</f>
        <v>0</v>
      </c>
      <c r="M717" s="16">
        <f>'Raw Data'!N718*2^-8</f>
        <v>0</v>
      </c>
      <c r="N717" s="16">
        <f>'Raw Data'!O718*2^-8</f>
        <v>0</v>
      </c>
      <c r="O717" s="17" t="str">
        <f>IF(BITWISE_AND('Raw Data'!$K718, 8192),"X","")</f>
        <v/>
      </c>
      <c r="P717" s="17" t="str">
        <f>IF(BITWISE_AND('Raw Data'!$K718, 2048),"X","")</f>
        <v/>
      </c>
      <c r="Q717" s="17" t="str">
        <f>IF(BITWISE_AND('Raw Data'!$K718, 64),"X","")</f>
        <v/>
      </c>
      <c r="R717" s="18" t="str">
        <f>IF(BITWISE_AND('Raw Data'!$L718, 1024),"X","")</f>
        <v/>
      </c>
      <c r="S717" s="18" t="str">
        <f>IF(BITWISE_AND('Raw Data'!$L718, 512),"X","")</f>
        <v/>
      </c>
      <c r="T717" s="18" t="str">
        <f>IF(BITWISE_AND('Raw Data'!$L718, 256),"X","")</f>
        <v/>
      </c>
      <c r="U717" s="18" t="str">
        <f>IF(BITWISE_AND('Raw Data'!$L718, 64),"X","")</f>
        <v/>
      </c>
      <c r="V717" s="18" t="str">
        <f>IF(BITWISE_AND('Raw Data'!$L718, 2),"X","")</f>
        <v/>
      </c>
      <c r="W717" s="18" t="str">
        <f>IF(BITWISE_AND('Raw Data'!$L718, 1),"X","")</f>
        <v/>
      </c>
      <c r="X717" s="19" t="str">
        <f>IF(BITWISE_AND('Raw Data'!M718, 1),"Bat Voltage", IF(BITWISE_AND('Raw Data'!M718, 2), "Charge Current", IF(BITWISE_AND('Raw Data'!M718, 4),"Input Ilim", IF(BITWISE_AND('Raw Data'!M718, 8), "Input UV", "none"))))</f>
        <v>none</v>
      </c>
    </row>
    <row r="718" spans="1:24" x14ac:dyDescent="0.2">
      <c r="A718" s="15">
        <f>A717+TIME(0,0,'Raw Data'!B718)</f>
        <v>0</v>
      </c>
      <c r="B718" s="4">
        <f>'Raw Data'!C719*0.025</f>
        <v>0</v>
      </c>
      <c r="C718" s="4">
        <f t="shared" si="33"/>
        <v>0</v>
      </c>
      <c r="D718" s="4">
        <f>'Raw Data'!D719*0.025</f>
        <v>0</v>
      </c>
      <c r="E718" s="4">
        <f t="shared" si="34"/>
        <v>0</v>
      </c>
      <c r="F718" s="4">
        <f>'Raw Data'!E719*0.001648</f>
        <v>0</v>
      </c>
      <c r="G718" s="4">
        <f>'Raw Data'!F719*0.001648</f>
        <v>0</v>
      </c>
      <c r="H718" s="4">
        <f>'Raw Data'!G719*6*0.000128176</f>
        <v>0</v>
      </c>
      <c r="I718" s="4">
        <f>'Raw Data'!H719*0.000732435</f>
        <v>0</v>
      </c>
      <c r="J718" s="4">
        <f t="shared" si="35"/>
        <v>0</v>
      </c>
      <c r="K718" s="36">
        <f>IF(('Raw Data'!I719-16384)/32768&lt;0,0,('Raw Data'!I719-16384)/32768)</f>
        <v>0</v>
      </c>
      <c r="L718" s="4">
        <f>IF(('Raw Data'!J719-12010)/45.6=-263.377192982456,0,('Raw Data'!J719-12010)/45.6)</f>
        <v>0</v>
      </c>
      <c r="M718" s="16">
        <f>'Raw Data'!N719*2^-8</f>
        <v>0</v>
      </c>
      <c r="N718" s="16">
        <f>'Raw Data'!O719*2^-8</f>
        <v>0</v>
      </c>
      <c r="O718" s="17" t="str">
        <f>IF(BITWISE_AND('Raw Data'!$K719, 8192),"X","")</f>
        <v/>
      </c>
      <c r="P718" s="17" t="str">
        <f>IF(BITWISE_AND('Raw Data'!$K719, 2048),"X","")</f>
        <v/>
      </c>
      <c r="Q718" s="17" t="str">
        <f>IF(BITWISE_AND('Raw Data'!$K719, 64),"X","")</f>
        <v/>
      </c>
      <c r="R718" s="18" t="str">
        <f>IF(BITWISE_AND('Raw Data'!$L719, 1024),"X","")</f>
        <v/>
      </c>
      <c r="S718" s="18" t="str">
        <f>IF(BITWISE_AND('Raw Data'!$L719, 512),"X","")</f>
        <v/>
      </c>
      <c r="T718" s="18" t="str">
        <f>IF(BITWISE_AND('Raw Data'!$L719, 256),"X","")</f>
        <v/>
      </c>
      <c r="U718" s="18" t="str">
        <f>IF(BITWISE_AND('Raw Data'!$L719, 64),"X","")</f>
        <v/>
      </c>
      <c r="V718" s="18" t="str">
        <f>IF(BITWISE_AND('Raw Data'!$L719, 2),"X","")</f>
        <v/>
      </c>
      <c r="W718" s="18" t="str">
        <f>IF(BITWISE_AND('Raw Data'!$L719, 1),"X","")</f>
        <v/>
      </c>
      <c r="X718" s="19" t="str">
        <f>IF(BITWISE_AND('Raw Data'!M719, 1),"Bat Voltage", IF(BITWISE_AND('Raw Data'!M719, 2), "Charge Current", IF(BITWISE_AND('Raw Data'!M719, 4),"Input Ilim", IF(BITWISE_AND('Raw Data'!M719, 8), "Input UV", "none"))))</f>
        <v>none</v>
      </c>
    </row>
    <row r="719" spans="1:24" x14ac:dyDescent="0.2">
      <c r="A719" s="15">
        <f>A718+TIME(0,0,'Raw Data'!B719)</f>
        <v>0</v>
      </c>
      <c r="B719" s="4">
        <f>'Raw Data'!C720*0.025</f>
        <v>0</v>
      </c>
      <c r="C719" s="4">
        <f t="shared" si="33"/>
        <v>0</v>
      </c>
      <c r="D719" s="4">
        <f>'Raw Data'!D720*0.025</f>
        <v>0</v>
      </c>
      <c r="E719" s="4">
        <f t="shared" si="34"/>
        <v>0</v>
      </c>
      <c r="F719" s="4">
        <f>'Raw Data'!E720*0.001648</f>
        <v>0</v>
      </c>
      <c r="G719" s="4">
        <f>'Raw Data'!F720*0.001648</f>
        <v>0</v>
      </c>
      <c r="H719" s="4">
        <f>'Raw Data'!G720*6*0.000128176</f>
        <v>0</v>
      </c>
      <c r="I719" s="4">
        <f>'Raw Data'!H720*0.000732435</f>
        <v>0</v>
      </c>
      <c r="J719" s="4">
        <f t="shared" si="35"/>
        <v>0</v>
      </c>
      <c r="K719" s="36">
        <f>IF(('Raw Data'!I720-16384)/32768&lt;0,0,('Raw Data'!I720-16384)/32768)</f>
        <v>0</v>
      </c>
      <c r="L719" s="4">
        <f>IF(('Raw Data'!J720-12010)/45.6=-263.377192982456,0,('Raw Data'!J720-12010)/45.6)</f>
        <v>0</v>
      </c>
      <c r="M719" s="16">
        <f>'Raw Data'!N720*2^-8</f>
        <v>0</v>
      </c>
      <c r="N719" s="16">
        <f>'Raw Data'!O720*2^-8</f>
        <v>0</v>
      </c>
      <c r="O719" s="17" t="str">
        <f>IF(BITWISE_AND('Raw Data'!$K720, 8192),"X","")</f>
        <v/>
      </c>
      <c r="P719" s="17" t="str">
        <f>IF(BITWISE_AND('Raw Data'!$K720, 2048),"X","")</f>
        <v/>
      </c>
      <c r="Q719" s="17" t="str">
        <f>IF(BITWISE_AND('Raw Data'!$K720, 64),"X","")</f>
        <v/>
      </c>
      <c r="R719" s="18" t="str">
        <f>IF(BITWISE_AND('Raw Data'!$L720, 1024),"X","")</f>
        <v/>
      </c>
      <c r="S719" s="18" t="str">
        <f>IF(BITWISE_AND('Raw Data'!$L720, 512),"X","")</f>
        <v/>
      </c>
      <c r="T719" s="18" t="str">
        <f>IF(BITWISE_AND('Raw Data'!$L720, 256),"X","")</f>
        <v/>
      </c>
      <c r="U719" s="18" t="str">
        <f>IF(BITWISE_AND('Raw Data'!$L720, 64),"X","")</f>
        <v/>
      </c>
      <c r="V719" s="18" t="str">
        <f>IF(BITWISE_AND('Raw Data'!$L720, 2),"X","")</f>
        <v/>
      </c>
      <c r="W719" s="18" t="str">
        <f>IF(BITWISE_AND('Raw Data'!$L720, 1),"X","")</f>
        <v/>
      </c>
      <c r="X719" s="19" t="str">
        <f>IF(BITWISE_AND('Raw Data'!M720, 1),"Bat Voltage", IF(BITWISE_AND('Raw Data'!M720, 2), "Charge Current", IF(BITWISE_AND('Raw Data'!M720, 4),"Input Ilim", IF(BITWISE_AND('Raw Data'!M720, 8), "Input UV", "none"))))</f>
        <v>none</v>
      </c>
    </row>
    <row r="720" spans="1:24" x14ac:dyDescent="0.2">
      <c r="A720" s="15">
        <f>A719+TIME(0,0,'Raw Data'!B720)</f>
        <v>0</v>
      </c>
      <c r="B720" s="4">
        <f>'Raw Data'!C721*0.025</f>
        <v>0</v>
      </c>
      <c r="C720" s="4">
        <f t="shared" si="33"/>
        <v>0</v>
      </c>
      <c r="D720" s="4">
        <f>'Raw Data'!D721*0.025</f>
        <v>0</v>
      </c>
      <c r="E720" s="4">
        <f t="shared" si="34"/>
        <v>0</v>
      </c>
      <c r="F720" s="4">
        <f>'Raw Data'!E721*0.001648</f>
        <v>0</v>
      </c>
      <c r="G720" s="4">
        <f>'Raw Data'!F721*0.001648</f>
        <v>0</v>
      </c>
      <c r="H720" s="4">
        <f>'Raw Data'!G721*6*0.000128176</f>
        <v>0</v>
      </c>
      <c r="I720" s="4">
        <f>'Raw Data'!H721*0.000732435</f>
        <v>0</v>
      </c>
      <c r="J720" s="4">
        <f t="shared" si="35"/>
        <v>0</v>
      </c>
      <c r="K720" s="36">
        <f>IF(('Raw Data'!I721-16384)/32768&lt;0,0,('Raw Data'!I721-16384)/32768)</f>
        <v>0</v>
      </c>
      <c r="L720" s="4">
        <f>IF(('Raw Data'!J721-12010)/45.6=-263.377192982456,0,('Raw Data'!J721-12010)/45.6)</f>
        <v>0</v>
      </c>
      <c r="M720" s="16">
        <f>'Raw Data'!N721*2^-8</f>
        <v>0</v>
      </c>
      <c r="N720" s="16">
        <f>'Raw Data'!O721*2^-8</f>
        <v>0</v>
      </c>
      <c r="O720" s="17" t="str">
        <f>IF(BITWISE_AND('Raw Data'!$K721, 8192),"X","")</f>
        <v/>
      </c>
      <c r="P720" s="17" t="str">
        <f>IF(BITWISE_AND('Raw Data'!$K721, 2048),"X","")</f>
        <v/>
      </c>
      <c r="Q720" s="17" t="str">
        <f>IF(BITWISE_AND('Raw Data'!$K721, 64),"X","")</f>
        <v/>
      </c>
      <c r="R720" s="18" t="str">
        <f>IF(BITWISE_AND('Raw Data'!$L721, 1024),"X","")</f>
        <v/>
      </c>
      <c r="S720" s="18" t="str">
        <f>IF(BITWISE_AND('Raw Data'!$L721, 512),"X","")</f>
        <v/>
      </c>
      <c r="T720" s="18" t="str">
        <f>IF(BITWISE_AND('Raw Data'!$L721, 256),"X","")</f>
        <v/>
      </c>
      <c r="U720" s="18" t="str">
        <f>IF(BITWISE_AND('Raw Data'!$L721, 64),"X","")</f>
        <v/>
      </c>
      <c r="V720" s="18" t="str">
        <f>IF(BITWISE_AND('Raw Data'!$L721, 2),"X","")</f>
        <v/>
      </c>
      <c r="W720" s="18" t="str">
        <f>IF(BITWISE_AND('Raw Data'!$L721, 1),"X","")</f>
        <v/>
      </c>
      <c r="X720" s="19" t="str">
        <f>IF(BITWISE_AND('Raw Data'!M721, 1),"Bat Voltage", IF(BITWISE_AND('Raw Data'!M721, 2), "Charge Current", IF(BITWISE_AND('Raw Data'!M721, 4),"Input Ilim", IF(BITWISE_AND('Raw Data'!M721, 8), "Input UV", "none"))))</f>
        <v>none</v>
      </c>
    </row>
    <row r="721" spans="1:24" x14ac:dyDescent="0.2">
      <c r="A721" s="15">
        <f>A720+TIME(0,0,'Raw Data'!B721)</f>
        <v>0</v>
      </c>
      <c r="B721" s="4">
        <f>'Raw Data'!C722*0.025</f>
        <v>0</v>
      </c>
      <c r="C721" s="4">
        <f t="shared" si="33"/>
        <v>0</v>
      </c>
      <c r="D721" s="4">
        <f>'Raw Data'!D722*0.025</f>
        <v>0</v>
      </c>
      <c r="E721" s="4">
        <f t="shared" si="34"/>
        <v>0</v>
      </c>
      <c r="F721" s="4">
        <f>'Raw Data'!E722*0.001648</f>
        <v>0</v>
      </c>
      <c r="G721" s="4">
        <f>'Raw Data'!F722*0.001648</f>
        <v>0</v>
      </c>
      <c r="H721" s="4">
        <f>'Raw Data'!G722*6*0.000128176</f>
        <v>0</v>
      </c>
      <c r="I721" s="4">
        <f>'Raw Data'!H722*0.000732435</f>
        <v>0</v>
      </c>
      <c r="J721" s="4">
        <f t="shared" si="35"/>
        <v>0</v>
      </c>
      <c r="K721" s="36">
        <f>IF(('Raw Data'!I722-16384)/32768&lt;0,0,('Raw Data'!I722-16384)/32768)</f>
        <v>0</v>
      </c>
      <c r="L721" s="4">
        <f>IF(('Raw Data'!J722-12010)/45.6=-263.377192982456,0,('Raw Data'!J722-12010)/45.6)</f>
        <v>0</v>
      </c>
      <c r="M721" s="16">
        <f>'Raw Data'!N722*2^-8</f>
        <v>0</v>
      </c>
      <c r="N721" s="16">
        <f>'Raw Data'!O722*2^-8</f>
        <v>0</v>
      </c>
      <c r="O721" s="17" t="str">
        <f>IF(BITWISE_AND('Raw Data'!$K722, 8192),"X","")</f>
        <v/>
      </c>
      <c r="P721" s="17" t="str">
        <f>IF(BITWISE_AND('Raw Data'!$K722, 2048),"X","")</f>
        <v/>
      </c>
      <c r="Q721" s="17" t="str">
        <f>IF(BITWISE_AND('Raw Data'!$K722, 64),"X","")</f>
        <v/>
      </c>
      <c r="R721" s="18" t="str">
        <f>IF(BITWISE_AND('Raw Data'!$L722, 1024),"X","")</f>
        <v/>
      </c>
      <c r="S721" s="18" t="str">
        <f>IF(BITWISE_AND('Raw Data'!$L722, 512),"X","")</f>
        <v/>
      </c>
      <c r="T721" s="18" t="str">
        <f>IF(BITWISE_AND('Raw Data'!$L722, 256),"X","")</f>
        <v/>
      </c>
      <c r="U721" s="18" t="str">
        <f>IF(BITWISE_AND('Raw Data'!$L722, 64),"X","")</f>
        <v/>
      </c>
      <c r="V721" s="18" t="str">
        <f>IF(BITWISE_AND('Raw Data'!$L722, 2),"X","")</f>
        <v/>
      </c>
      <c r="W721" s="18" t="str">
        <f>IF(BITWISE_AND('Raw Data'!$L722, 1),"X","")</f>
        <v/>
      </c>
      <c r="X721" s="19" t="str">
        <f>IF(BITWISE_AND('Raw Data'!M722, 1),"Bat Voltage", IF(BITWISE_AND('Raw Data'!M722, 2), "Charge Current", IF(BITWISE_AND('Raw Data'!M722, 4),"Input Ilim", IF(BITWISE_AND('Raw Data'!M722, 8), "Input UV", "none"))))</f>
        <v>none</v>
      </c>
    </row>
    <row r="722" spans="1:24" x14ac:dyDescent="0.2">
      <c r="A722" s="15">
        <f>A721+TIME(0,0,'Raw Data'!B722)</f>
        <v>0</v>
      </c>
      <c r="B722" s="4">
        <f>'Raw Data'!C723*0.025</f>
        <v>0</v>
      </c>
      <c r="C722" s="4">
        <f t="shared" si="33"/>
        <v>0</v>
      </c>
      <c r="D722" s="4">
        <f>'Raw Data'!D723*0.025</f>
        <v>0</v>
      </c>
      <c r="E722" s="4">
        <f t="shared" si="34"/>
        <v>0</v>
      </c>
      <c r="F722" s="4">
        <f>'Raw Data'!E723*0.001648</f>
        <v>0</v>
      </c>
      <c r="G722" s="4">
        <f>'Raw Data'!F723*0.001648</f>
        <v>0</v>
      </c>
      <c r="H722" s="4">
        <f>'Raw Data'!G723*6*0.000128176</f>
        <v>0</v>
      </c>
      <c r="I722" s="4">
        <f>'Raw Data'!H723*0.000732435</f>
        <v>0</v>
      </c>
      <c r="J722" s="4">
        <f t="shared" si="35"/>
        <v>0</v>
      </c>
      <c r="K722" s="36">
        <f>IF(('Raw Data'!I723-16384)/32768&lt;0,0,('Raw Data'!I723-16384)/32768)</f>
        <v>0</v>
      </c>
      <c r="L722" s="4">
        <f>IF(('Raw Data'!J723-12010)/45.6=-263.377192982456,0,('Raw Data'!J723-12010)/45.6)</f>
        <v>0</v>
      </c>
      <c r="M722" s="16">
        <f>'Raw Data'!N723*2^-8</f>
        <v>0</v>
      </c>
      <c r="N722" s="16">
        <f>'Raw Data'!O723*2^-8</f>
        <v>0</v>
      </c>
      <c r="O722" s="17" t="str">
        <f>IF(BITWISE_AND('Raw Data'!$K723, 8192),"X","")</f>
        <v/>
      </c>
      <c r="P722" s="17" t="str">
        <f>IF(BITWISE_AND('Raw Data'!$K723, 2048),"X","")</f>
        <v/>
      </c>
      <c r="Q722" s="17" t="str">
        <f>IF(BITWISE_AND('Raw Data'!$K723, 64),"X","")</f>
        <v/>
      </c>
      <c r="R722" s="18" t="str">
        <f>IF(BITWISE_AND('Raw Data'!$L723, 1024),"X","")</f>
        <v/>
      </c>
      <c r="S722" s="18" t="str">
        <f>IF(BITWISE_AND('Raw Data'!$L723, 512),"X","")</f>
        <v/>
      </c>
      <c r="T722" s="18" t="str">
        <f>IF(BITWISE_AND('Raw Data'!$L723, 256),"X","")</f>
        <v/>
      </c>
      <c r="U722" s="18" t="str">
        <f>IF(BITWISE_AND('Raw Data'!$L723, 64),"X","")</f>
        <v/>
      </c>
      <c r="V722" s="18" t="str">
        <f>IF(BITWISE_AND('Raw Data'!$L723, 2),"X","")</f>
        <v/>
      </c>
      <c r="W722" s="18" t="str">
        <f>IF(BITWISE_AND('Raw Data'!$L723, 1),"X","")</f>
        <v/>
      </c>
      <c r="X722" s="19" t="str">
        <f>IF(BITWISE_AND('Raw Data'!M723, 1),"Bat Voltage", IF(BITWISE_AND('Raw Data'!M723, 2), "Charge Current", IF(BITWISE_AND('Raw Data'!M723, 4),"Input Ilim", IF(BITWISE_AND('Raw Data'!M723, 8), "Input UV", "none"))))</f>
        <v>none</v>
      </c>
    </row>
    <row r="723" spans="1:24" x14ac:dyDescent="0.2">
      <c r="A723" s="15">
        <f>A722+TIME(0,0,'Raw Data'!B723)</f>
        <v>0</v>
      </c>
      <c r="B723" s="4">
        <f>'Raw Data'!C724*0.025</f>
        <v>0</v>
      </c>
      <c r="C723" s="4">
        <f t="shared" si="33"/>
        <v>0</v>
      </c>
      <c r="D723" s="4">
        <f>'Raw Data'!D724*0.025</f>
        <v>0</v>
      </c>
      <c r="E723" s="4">
        <f t="shared" si="34"/>
        <v>0</v>
      </c>
      <c r="F723" s="4">
        <f>'Raw Data'!E724*0.001648</f>
        <v>0</v>
      </c>
      <c r="G723" s="4">
        <f>'Raw Data'!F724*0.001648</f>
        <v>0</v>
      </c>
      <c r="H723" s="4">
        <f>'Raw Data'!G724*6*0.000128176</f>
        <v>0</v>
      </c>
      <c r="I723" s="4">
        <f>'Raw Data'!H724*0.000732435</f>
        <v>0</v>
      </c>
      <c r="J723" s="4">
        <f t="shared" si="35"/>
        <v>0</v>
      </c>
      <c r="K723" s="36">
        <f>IF(('Raw Data'!I724-16384)/32768&lt;0,0,('Raw Data'!I724-16384)/32768)</f>
        <v>0</v>
      </c>
      <c r="L723" s="4">
        <f>IF(('Raw Data'!J724-12010)/45.6=-263.377192982456,0,('Raw Data'!J724-12010)/45.6)</f>
        <v>0</v>
      </c>
      <c r="M723" s="16">
        <f>'Raw Data'!N724*2^-8</f>
        <v>0</v>
      </c>
      <c r="N723" s="16">
        <f>'Raw Data'!O724*2^-8</f>
        <v>0</v>
      </c>
      <c r="O723" s="17" t="str">
        <f>IF(BITWISE_AND('Raw Data'!$K724, 8192),"X","")</f>
        <v/>
      </c>
      <c r="P723" s="17" t="str">
        <f>IF(BITWISE_AND('Raw Data'!$K724, 2048),"X","")</f>
        <v/>
      </c>
      <c r="Q723" s="17" t="str">
        <f>IF(BITWISE_AND('Raw Data'!$K724, 64),"X","")</f>
        <v/>
      </c>
      <c r="R723" s="18" t="str">
        <f>IF(BITWISE_AND('Raw Data'!$L724, 1024),"X","")</f>
        <v/>
      </c>
      <c r="S723" s="18" t="str">
        <f>IF(BITWISE_AND('Raw Data'!$L724, 512),"X","")</f>
        <v/>
      </c>
      <c r="T723" s="18" t="str">
        <f>IF(BITWISE_AND('Raw Data'!$L724, 256),"X","")</f>
        <v/>
      </c>
      <c r="U723" s="18" t="str">
        <f>IF(BITWISE_AND('Raw Data'!$L724, 64),"X","")</f>
        <v/>
      </c>
      <c r="V723" s="18" t="str">
        <f>IF(BITWISE_AND('Raw Data'!$L724, 2),"X","")</f>
        <v/>
      </c>
      <c r="W723" s="18" t="str">
        <f>IF(BITWISE_AND('Raw Data'!$L724, 1),"X","")</f>
        <v/>
      </c>
      <c r="X723" s="19" t="str">
        <f>IF(BITWISE_AND('Raw Data'!M724, 1),"Bat Voltage", IF(BITWISE_AND('Raw Data'!M724, 2), "Charge Current", IF(BITWISE_AND('Raw Data'!M724, 4),"Input Ilim", IF(BITWISE_AND('Raw Data'!M724, 8), "Input UV", "none"))))</f>
        <v>none</v>
      </c>
    </row>
    <row r="724" spans="1:24" x14ac:dyDescent="0.2">
      <c r="A724" s="15">
        <f>A723+TIME(0,0,'Raw Data'!B724)</f>
        <v>0</v>
      </c>
      <c r="B724" s="4">
        <f>'Raw Data'!C725*0.025</f>
        <v>0</v>
      </c>
      <c r="C724" s="4">
        <f t="shared" si="33"/>
        <v>0</v>
      </c>
      <c r="D724" s="4">
        <f>'Raw Data'!D725*0.025</f>
        <v>0</v>
      </c>
      <c r="E724" s="4">
        <f t="shared" si="34"/>
        <v>0</v>
      </c>
      <c r="F724" s="4">
        <f>'Raw Data'!E725*0.001648</f>
        <v>0</v>
      </c>
      <c r="G724" s="4">
        <f>'Raw Data'!F725*0.001648</f>
        <v>0</v>
      </c>
      <c r="H724" s="4">
        <f>'Raw Data'!G725*6*0.000128176</f>
        <v>0</v>
      </c>
      <c r="I724" s="4">
        <f>'Raw Data'!H725*0.000732435</f>
        <v>0</v>
      </c>
      <c r="J724" s="4">
        <f t="shared" si="35"/>
        <v>0</v>
      </c>
      <c r="K724" s="36">
        <f>IF(('Raw Data'!I725-16384)/32768&lt;0,0,('Raw Data'!I725-16384)/32768)</f>
        <v>0</v>
      </c>
      <c r="L724" s="4">
        <f>IF(('Raw Data'!J725-12010)/45.6=-263.377192982456,0,('Raw Data'!J725-12010)/45.6)</f>
        <v>0</v>
      </c>
      <c r="M724" s="16">
        <f>'Raw Data'!N725*2^-8</f>
        <v>0</v>
      </c>
      <c r="N724" s="16">
        <f>'Raw Data'!O725*2^-8</f>
        <v>0</v>
      </c>
      <c r="O724" s="17" t="str">
        <f>IF(BITWISE_AND('Raw Data'!$K725, 8192),"X","")</f>
        <v/>
      </c>
      <c r="P724" s="17" t="str">
        <f>IF(BITWISE_AND('Raw Data'!$K725, 2048),"X","")</f>
        <v/>
      </c>
      <c r="Q724" s="17" t="str">
        <f>IF(BITWISE_AND('Raw Data'!$K725, 64),"X","")</f>
        <v/>
      </c>
      <c r="R724" s="18" t="str">
        <f>IF(BITWISE_AND('Raw Data'!$L725, 1024),"X","")</f>
        <v/>
      </c>
      <c r="S724" s="18" t="str">
        <f>IF(BITWISE_AND('Raw Data'!$L725, 512),"X","")</f>
        <v/>
      </c>
      <c r="T724" s="18" t="str">
        <f>IF(BITWISE_AND('Raw Data'!$L725, 256),"X","")</f>
        <v/>
      </c>
      <c r="U724" s="18" t="str">
        <f>IF(BITWISE_AND('Raw Data'!$L725, 64),"X","")</f>
        <v/>
      </c>
      <c r="V724" s="18" t="str">
        <f>IF(BITWISE_AND('Raw Data'!$L725, 2),"X","")</f>
        <v/>
      </c>
      <c r="W724" s="18" t="str">
        <f>IF(BITWISE_AND('Raw Data'!$L725, 1),"X","")</f>
        <v/>
      </c>
      <c r="X724" s="19" t="str">
        <f>IF(BITWISE_AND('Raw Data'!M725, 1),"Bat Voltage", IF(BITWISE_AND('Raw Data'!M725, 2), "Charge Current", IF(BITWISE_AND('Raw Data'!M725, 4),"Input Ilim", IF(BITWISE_AND('Raw Data'!M725, 8), "Input UV", "none"))))</f>
        <v>none</v>
      </c>
    </row>
    <row r="725" spans="1:24" x14ac:dyDescent="0.2">
      <c r="A725" s="15">
        <f>A724+TIME(0,0,'Raw Data'!B725)</f>
        <v>0</v>
      </c>
      <c r="B725" s="4">
        <f>'Raw Data'!C726*0.025</f>
        <v>0</v>
      </c>
      <c r="C725" s="4">
        <f t="shared" ref="C725:C788" si="36">C724+B725/60</f>
        <v>0</v>
      </c>
      <c r="D725" s="4">
        <f>'Raw Data'!D726*0.025</f>
        <v>0</v>
      </c>
      <c r="E725" s="4">
        <f t="shared" ref="E725:E788" si="37">E724+D725/60</f>
        <v>0</v>
      </c>
      <c r="F725" s="4">
        <f>'Raw Data'!E726*0.001648</f>
        <v>0</v>
      </c>
      <c r="G725" s="4">
        <f>'Raw Data'!F726*0.001648</f>
        <v>0</v>
      </c>
      <c r="H725" s="4">
        <f>'Raw Data'!G726*6*0.000128176</f>
        <v>0</v>
      </c>
      <c r="I725" s="4">
        <f>'Raw Data'!H726*0.000732435</f>
        <v>0</v>
      </c>
      <c r="J725" s="4">
        <f t="shared" si="35"/>
        <v>0</v>
      </c>
      <c r="K725" s="36">
        <f>IF(('Raw Data'!I726-16384)/32768&lt;0,0,('Raw Data'!I726-16384)/32768)</f>
        <v>0</v>
      </c>
      <c r="L725" s="4">
        <f>IF(('Raw Data'!J726-12010)/45.6=-263.377192982456,0,('Raw Data'!J726-12010)/45.6)</f>
        <v>0</v>
      </c>
      <c r="M725" s="16">
        <f>'Raw Data'!N726*2^-8</f>
        <v>0</v>
      </c>
      <c r="N725" s="16">
        <f>'Raw Data'!O726*2^-8</f>
        <v>0</v>
      </c>
      <c r="O725" s="17" t="str">
        <f>IF(BITWISE_AND('Raw Data'!$K726, 8192),"X","")</f>
        <v/>
      </c>
      <c r="P725" s="17" t="str">
        <f>IF(BITWISE_AND('Raw Data'!$K726, 2048),"X","")</f>
        <v/>
      </c>
      <c r="Q725" s="17" t="str">
        <f>IF(BITWISE_AND('Raw Data'!$K726, 64),"X","")</f>
        <v/>
      </c>
      <c r="R725" s="18" t="str">
        <f>IF(BITWISE_AND('Raw Data'!$L726, 1024),"X","")</f>
        <v/>
      </c>
      <c r="S725" s="18" t="str">
        <f>IF(BITWISE_AND('Raw Data'!$L726, 512),"X","")</f>
        <v/>
      </c>
      <c r="T725" s="18" t="str">
        <f>IF(BITWISE_AND('Raw Data'!$L726, 256),"X","")</f>
        <v/>
      </c>
      <c r="U725" s="18" t="str">
        <f>IF(BITWISE_AND('Raw Data'!$L726, 64),"X","")</f>
        <v/>
      </c>
      <c r="V725" s="18" t="str">
        <f>IF(BITWISE_AND('Raw Data'!$L726, 2),"X","")</f>
        <v/>
      </c>
      <c r="W725" s="18" t="str">
        <f>IF(BITWISE_AND('Raw Data'!$L726, 1),"X","")</f>
        <v/>
      </c>
      <c r="X725" s="19" t="str">
        <f>IF(BITWISE_AND('Raw Data'!M726, 1),"Bat Voltage", IF(BITWISE_AND('Raw Data'!M726, 2), "Charge Current", IF(BITWISE_AND('Raw Data'!M726, 4),"Input Ilim", IF(BITWISE_AND('Raw Data'!M726, 8), "Input UV", "none"))))</f>
        <v>none</v>
      </c>
    </row>
    <row r="726" spans="1:24" x14ac:dyDescent="0.2">
      <c r="A726" s="15">
        <f>A725+TIME(0,0,'Raw Data'!B726)</f>
        <v>0</v>
      </c>
      <c r="B726" s="4">
        <f>'Raw Data'!C727*0.025</f>
        <v>0</v>
      </c>
      <c r="C726" s="4">
        <f t="shared" si="36"/>
        <v>0</v>
      </c>
      <c r="D726" s="4">
        <f>'Raw Data'!D727*0.025</f>
        <v>0</v>
      </c>
      <c r="E726" s="4">
        <f t="shared" si="37"/>
        <v>0</v>
      </c>
      <c r="F726" s="4">
        <f>'Raw Data'!E727*0.001648</f>
        <v>0</v>
      </c>
      <c r="G726" s="4">
        <f>'Raw Data'!F727*0.001648</f>
        <v>0</v>
      </c>
      <c r="H726" s="4">
        <f>'Raw Data'!G727*6*0.000128176</f>
        <v>0</v>
      </c>
      <c r="I726" s="4">
        <f>'Raw Data'!H727*0.000732435</f>
        <v>0</v>
      </c>
      <c r="J726" s="4">
        <f t="shared" si="35"/>
        <v>0</v>
      </c>
      <c r="K726" s="36">
        <f>IF(('Raw Data'!I727-16384)/32768&lt;0,0,('Raw Data'!I727-16384)/32768)</f>
        <v>0</v>
      </c>
      <c r="L726" s="4">
        <f>IF(('Raw Data'!J727-12010)/45.6=-263.377192982456,0,('Raw Data'!J727-12010)/45.6)</f>
        <v>0</v>
      </c>
      <c r="M726" s="16">
        <f>'Raw Data'!N727*2^-8</f>
        <v>0</v>
      </c>
      <c r="N726" s="16">
        <f>'Raw Data'!O727*2^-8</f>
        <v>0</v>
      </c>
      <c r="O726" s="17" t="str">
        <f>IF(BITWISE_AND('Raw Data'!$K727, 8192),"X","")</f>
        <v/>
      </c>
      <c r="P726" s="17" t="str">
        <f>IF(BITWISE_AND('Raw Data'!$K727, 2048),"X","")</f>
        <v/>
      </c>
      <c r="Q726" s="17" t="str">
        <f>IF(BITWISE_AND('Raw Data'!$K727, 64),"X","")</f>
        <v/>
      </c>
      <c r="R726" s="18" t="str">
        <f>IF(BITWISE_AND('Raw Data'!$L727, 1024),"X","")</f>
        <v/>
      </c>
      <c r="S726" s="18" t="str">
        <f>IF(BITWISE_AND('Raw Data'!$L727, 512),"X","")</f>
        <v/>
      </c>
      <c r="T726" s="18" t="str">
        <f>IF(BITWISE_AND('Raw Data'!$L727, 256),"X","")</f>
        <v/>
      </c>
      <c r="U726" s="18" t="str">
        <f>IF(BITWISE_AND('Raw Data'!$L727, 64),"X","")</f>
        <v/>
      </c>
      <c r="V726" s="18" t="str">
        <f>IF(BITWISE_AND('Raw Data'!$L727, 2),"X","")</f>
        <v/>
      </c>
      <c r="W726" s="18" t="str">
        <f>IF(BITWISE_AND('Raw Data'!$L727, 1),"X","")</f>
        <v/>
      </c>
      <c r="X726" s="19" t="str">
        <f>IF(BITWISE_AND('Raw Data'!M727, 1),"Bat Voltage", IF(BITWISE_AND('Raw Data'!M727, 2), "Charge Current", IF(BITWISE_AND('Raw Data'!M727, 4),"Input Ilim", IF(BITWISE_AND('Raw Data'!M727, 8), "Input UV", "none"))))</f>
        <v>none</v>
      </c>
    </row>
    <row r="727" spans="1:24" x14ac:dyDescent="0.2">
      <c r="A727" s="15">
        <f>A726+TIME(0,0,'Raw Data'!B727)</f>
        <v>0</v>
      </c>
      <c r="B727" s="4">
        <f>'Raw Data'!C728*0.025</f>
        <v>0</v>
      </c>
      <c r="C727" s="4">
        <f t="shared" si="36"/>
        <v>0</v>
      </c>
      <c r="D727" s="4">
        <f>'Raw Data'!D728*0.025</f>
        <v>0</v>
      </c>
      <c r="E727" s="4">
        <f t="shared" si="37"/>
        <v>0</v>
      </c>
      <c r="F727" s="4">
        <f>'Raw Data'!E728*0.001648</f>
        <v>0</v>
      </c>
      <c r="G727" s="4">
        <f>'Raw Data'!F728*0.001648</f>
        <v>0</v>
      </c>
      <c r="H727" s="4">
        <f>'Raw Data'!G728*6*0.000128176</f>
        <v>0</v>
      </c>
      <c r="I727" s="4">
        <f>'Raw Data'!H728*0.000732435</f>
        <v>0</v>
      </c>
      <c r="J727" s="4">
        <f t="shared" si="35"/>
        <v>0</v>
      </c>
      <c r="K727" s="36">
        <f>IF(('Raw Data'!I728-16384)/32768&lt;0,0,('Raw Data'!I728-16384)/32768)</f>
        <v>0</v>
      </c>
      <c r="L727" s="4">
        <f>IF(('Raw Data'!J728-12010)/45.6=-263.377192982456,0,('Raw Data'!J728-12010)/45.6)</f>
        <v>0</v>
      </c>
      <c r="M727" s="16">
        <f>'Raw Data'!N728*2^-8</f>
        <v>0</v>
      </c>
      <c r="N727" s="16">
        <f>'Raw Data'!O728*2^-8</f>
        <v>0</v>
      </c>
      <c r="O727" s="17" t="str">
        <f>IF(BITWISE_AND('Raw Data'!$K728, 8192),"X","")</f>
        <v/>
      </c>
      <c r="P727" s="17" t="str">
        <f>IF(BITWISE_AND('Raw Data'!$K728, 2048),"X","")</f>
        <v/>
      </c>
      <c r="Q727" s="17" t="str">
        <f>IF(BITWISE_AND('Raw Data'!$K728, 64),"X","")</f>
        <v/>
      </c>
      <c r="R727" s="18" t="str">
        <f>IF(BITWISE_AND('Raw Data'!$L728, 1024),"X","")</f>
        <v/>
      </c>
      <c r="S727" s="18" t="str">
        <f>IF(BITWISE_AND('Raw Data'!$L728, 512),"X","")</f>
        <v/>
      </c>
      <c r="T727" s="18" t="str">
        <f>IF(BITWISE_AND('Raw Data'!$L728, 256),"X","")</f>
        <v/>
      </c>
      <c r="U727" s="18" t="str">
        <f>IF(BITWISE_AND('Raw Data'!$L728, 64),"X","")</f>
        <v/>
      </c>
      <c r="V727" s="18" t="str">
        <f>IF(BITWISE_AND('Raw Data'!$L728, 2),"X","")</f>
        <v/>
      </c>
      <c r="W727" s="18" t="str">
        <f>IF(BITWISE_AND('Raw Data'!$L728, 1),"X","")</f>
        <v/>
      </c>
      <c r="X727" s="19" t="str">
        <f>IF(BITWISE_AND('Raw Data'!M728, 1),"Bat Voltage", IF(BITWISE_AND('Raw Data'!M728, 2), "Charge Current", IF(BITWISE_AND('Raw Data'!M728, 4),"Input Ilim", IF(BITWISE_AND('Raw Data'!M728, 8), "Input UV", "none"))))</f>
        <v>none</v>
      </c>
    </row>
    <row r="728" spans="1:24" x14ac:dyDescent="0.2">
      <c r="A728" s="15">
        <f>A727+TIME(0,0,'Raw Data'!B728)</f>
        <v>0</v>
      </c>
      <c r="B728" s="4">
        <f>'Raw Data'!C729*0.025</f>
        <v>0</v>
      </c>
      <c r="C728" s="4">
        <f t="shared" si="36"/>
        <v>0</v>
      </c>
      <c r="D728" s="4">
        <f>'Raw Data'!D729*0.025</f>
        <v>0</v>
      </c>
      <c r="E728" s="4">
        <f t="shared" si="37"/>
        <v>0</v>
      </c>
      <c r="F728" s="4">
        <f>'Raw Data'!E729*0.001648</f>
        <v>0</v>
      </c>
      <c r="G728" s="4">
        <f>'Raw Data'!F729*0.001648</f>
        <v>0</v>
      </c>
      <c r="H728" s="4">
        <f>'Raw Data'!G729*6*0.000128176</f>
        <v>0</v>
      </c>
      <c r="I728" s="4">
        <f>'Raw Data'!H729*0.000732435</f>
        <v>0</v>
      </c>
      <c r="J728" s="4">
        <f t="shared" si="35"/>
        <v>0</v>
      </c>
      <c r="K728" s="36">
        <f>IF(('Raw Data'!I729-16384)/32768&lt;0,0,('Raw Data'!I729-16384)/32768)</f>
        <v>0</v>
      </c>
      <c r="L728" s="4">
        <f>IF(('Raw Data'!J729-12010)/45.6=-263.377192982456,0,('Raw Data'!J729-12010)/45.6)</f>
        <v>0</v>
      </c>
      <c r="M728" s="16">
        <f>'Raw Data'!N729*2^-8</f>
        <v>0</v>
      </c>
      <c r="N728" s="16">
        <f>'Raw Data'!O729*2^-8</f>
        <v>0</v>
      </c>
      <c r="O728" s="17" t="str">
        <f>IF(BITWISE_AND('Raw Data'!$K729, 8192),"X","")</f>
        <v/>
      </c>
      <c r="P728" s="17" t="str">
        <f>IF(BITWISE_AND('Raw Data'!$K729, 2048),"X","")</f>
        <v/>
      </c>
      <c r="Q728" s="17" t="str">
        <f>IF(BITWISE_AND('Raw Data'!$K729, 64),"X","")</f>
        <v/>
      </c>
      <c r="R728" s="18" t="str">
        <f>IF(BITWISE_AND('Raw Data'!$L729, 1024),"X","")</f>
        <v/>
      </c>
      <c r="S728" s="18" t="str">
        <f>IF(BITWISE_AND('Raw Data'!$L729, 512),"X","")</f>
        <v/>
      </c>
      <c r="T728" s="18" t="str">
        <f>IF(BITWISE_AND('Raw Data'!$L729, 256),"X","")</f>
        <v/>
      </c>
      <c r="U728" s="18" t="str">
        <f>IF(BITWISE_AND('Raw Data'!$L729, 64),"X","")</f>
        <v/>
      </c>
      <c r="V728" s="18" t="str">
        <f>IF(BITWISE_AND('Raw Data'!$L729, 2),"X","")</f>
        <v/>
      </c>
      <c r="W728" s="18" t="str">
        <f>IF(BITWISE_AND('Raw Data'!$L729, 1),"X","")</f>
        <v/>
      </c>
      <c r="X728" s="19" t="str">
        <f>IF(BITWISE_AND('Raw Data'!M729, 1),"Bat Voltage", IF(BITWISE_AND('Raw Data'!M729, 2), "Charge Current", IF(BITWISE_AND('Raw Data'!M729, 4),"Input Ilim", IF(BITWISE_AND('Raw Data'!M729, 8), "Input UV", "none"))))</f>
        <v>none</v>
      </c>
    </row>
    <row r="729" spans="1:24" x14ac:dyDescent="0.2">
      <c r="A729" s="15">
        <f>A728+TIME(0,0,'Raw Data'!B729)</f>
        <v>0</v>
      </c>
      <c r="B729" s="4">
        <f>'Raw Data'!C730*0.025</f>
        <v>0</v>
      </c>
      <c r="C729" s="4">
        <f t="shared" si="36"/>
        <v>0</v>
      </c>
      <c r="D729" s="4">
        <f>'Raw Data'!D730*0.025</f>
        <v>0</v>
      </c>
      <c r="E729" s="4">
        <f t="shared" si="37"/>
        <v>0</v>
      </c>
      <c r="F729" s="4">
        <f>'Raw Data'!E730*0.001648</f>
        <v>0</v>
      </c>
      <c r="G729" s="4">
        <f>'Raw Data'!F730*0.001648</f>
        <v>0</v>
      </c>
      <c r="H729" s="4">
        <f>'Raw Data'!G730*6*0.000128176</f>
        <v>0</v>
      </c>
      <c r="I729" s="4">
        <f>'Raw Data'!H730*0.000732435</f>
        <v>0</v>
      </c>
      <c r="J729" s="4">
        <f t="shared" si="35"/>
        <v>0</v>
      </c>
      <c r="K729" s="36">
        <f>IF(('Raw Data'!I730-16384)/32768&lt;0,0,('Raw Data'!I730-16384)/32768)</f>
        <v>0</v>
      </c>
      <c r="L729" s="4">
        <f>IF(('Raw Data'!J730-12010)/45.6=-263.377192982456,0,('Raw Data'!J730-12010)/45.6)</f>
        <v>0</v>
      </c>
      <c r="M729" s="16">
        <f>'Raw Data'!N730*2^-8</f>
        <v>0</v>
      </c>
      <c r="N729" s="16">
        <f>'Raw Data'!O730*2^-8</f>
        <v>0</v>
      </c>
      <c r="O729" s="17" t="str">
        <f>IF(BITWISE_AND('Raw Data'!$K730, 8192),"X","")</f>
        <v/>
      </c>
      <c r="P729" s="17" t="str">
        <f>IF(BITWISE_AND('Raw Data'!$K730, 2048),"X","")</f>
        <v/>
      </c>
      <c r="Q729" s="17" t="str">
        <f>IF(BITWISE_AND('Raw Data'!$K730, 64),"X","")</f>
        <v/>
      </c>
      <c r="R729" s="18" t="str">
        <f>IF(BITWISE_AND('Raw Data'!$L730, 1024),"X","")</f>
        <v/>
      </c>
      <c r="S729" s="18" t="str">
        <f>IF(BITWISE_AND('Raw Data'!$L730, 512),"X","")</f>
        <v/>
      </c>
      <c r="T729" s="18" t="str">
        <f>IF(BITWISE_AND('Raw Data'!$L730, 256),"X","")</f>
        <v/>
      </c>
      <c r="U729" s="18" t="str">
        <f>IF(BITWISE_AND('Raw Data'!$L730, 64),"X","")</f>
        <v/>
      </c>
      <c r="V729" s="18" t="str">
        <f>IF(BITWISE_AND('Raw Data'!$L730, 2),"X","")</f>
        <v/>
      </c>
      <c r="W729" s="18" t="str">
        <f>IF(BITWISE_AND('Raw Data'!$L730, 1),"X","")</f>
        <v/>
      </c>
      <c r="X729" s="19" t="str">
        <f>IF(BITWISE_AND('Raw Data'!M730, 1),"Bat Voltage", IF(BITWISE_AND('Raw Data'!M730, 2), "Charge Current", IF(BITWISE_AND('Raw Data'!M730, 4),"Input Ilim", IF(BITWISE_AND('Raw Data'!M730, 8), "Input UV", "none"))))</f>
        <v>none</v>
      </c>
    </row>
    <row r="730" spans="1:24" x14ac:dyDescent="0.2">
      <c r="A730" s="15">
        <f>A729+TIME(0,0,'Raw Data'!B730)</f>
        <v>0</v>
      </c>
      <c r="B730" s="4">
        <f>'Raw Data'!C731*0.025</f>
        <v>0</v>
      </c>
      <c r="C730" s="4">
        <f t="shared" si="36"/>
        <v>0</v>
      </c>
      <c r="D730" s="4">
        <f>'Raw Data'!D731*0.025</f>
        <v>0</v>
      </c>
      <c r="E730" s="4">
        <f t="shared" si="37"/>
        <v>0</v>
      </c>
      <c r="F730" s="4">
        <f>'Raw Data'!E731*0.001648</f>
        <v>0</v>
      </c>
      <c r="G730" s="4">
        <f>'Raw Data'!F731*0.001648</f>
        <v>0</v>
      </c>
      <c r="H730" s="4">
        <f>'Raw Data'!G731*6*0.000128176</f>
        <v>0</v>
      </c>
      <c r="I730" s="4">
        <f>'Raw Data'!H731*0.000732435</f>
        <v>0</v>
      </c>
      <c r="J730" s="4">
        <f t="shared" si="35"/>
        <v>0</v>
      </c>
      <c r="K730" s="36">
        <f>IF(('Raw Data'!I731-16384)/32768&lt;0,0,('Raw Data'!I731-16384)/32768)</f>
        <v>0</v>
      </c>
      <c r="L730" s="4">
        <f>IF(('Raw Data'!J731-12010)/45.6=-263.377192982456,0,('Raw Data'!J731-12010)/45.6)</f>
        <v>0</v>
      </c>
      <c r="M730" s="16">
        <f>'Raw Data'!N731*2^-8</f>
        <v>0</v>
      </c>
      <c r="N730" s="16">
        <f>'Raw Data'!O731*2^-8</f>
        <v>0</v>
      </c>
      <c r="O730" s="17" t="str">
        <f>IF(BITWISE_AND('Raw Data'!$K731, 8192),"X","")</f>
        <v/>
      </c>
      <c r="P730" s="17" t="str">
        <f>IF(BITWISE_AND('Raw Data'!$K731, 2048),"X","")</f>
        <v/>
      </c>
      <c r="Q730" s="17" t="str">
        <f>IF(BITWISE_AND('Raw Data'!$K731, 64),"X","")</f>
        <v/>
      </c>
      <c r="R730" s="18" t="str">
        <f>IF(BITWISE_AND('Raw Data'!$L731, 1024),"X","")</f>
        <v/>
      </c>
      <c r="S730" s="18" t="str">
        <f>IF(BITWISE_AND('Raw Data'!$L731, 512),"X","")</f>
        <v/>
      </c>
      <c r="T730" s="18" t="str">
        <f>IF(BITWISE_AND('Raw Data'!$L731, 256),"X","")</f>
        <v/>
      </c>
      <c r="U730" s="18" t="str">
        <f>IF(BITWISE_AND('Raw Data'!$L731, 64),"X","")</f>
        <v/>
      </c>
      <c r="V730" s="18" t="str">
        <f>IF(BITWISE_AND('Raw Data'!$L731, 2),"X","")</f>
        <v/>
      </c>
      <c r="W730" s="18" t="str">
        <f>IF(BITWISE_AND('Raw Data'!$L731, 1),"X","")</f>
        <v/>
      </c>
      <c r="X730" s="19" t="str">
        <f>IF(BITWISE_AND('Raw Data'!M731, 1),"Bat Voltage", IF(BITWISE_AND('Raw Data'!M731, 2), "Charge Current", IF(BITWISE_AND('Raw Data'!M731, 4),"Input Ilim", IF(BITWISE_AND('Raw Data'!M731, 8), "Input UV", "none"))))</f>
        <v>none</v>
      </c>
    </row>
    <row r="731" spans="1:24" x14ac:dyDescent="0.2">
      <c r="A731" s="15">
        <f>A730+TIME(0,0,'Raw Data'!B731)</f>
        <v>0</v>
      </c>
      <c r="B731" s="4">
        <f>'Raw Data'!C732*0.025</f>
        <v>0</v>
      </c>
      <c r="C731" s="4">
        <f t="shared" si="36"/>
        <v>0</v>
      </c>
      <c r="D731" s="4">
        <f>'Raw Data'!D732*0.025</f>
        <v>0</v>
      </c>
      <c r="E731" s="4">
        <f t="shared" si="37"/>
        <v>0</v>
      </c>
      <c r="F731" s="4">
        <f>'Raw Data'!E732*0.001648</f>
        <v>0</v>
      </c>
      <c r="G731" s="4">
        <f>'Raw Data'!F732*0.001648</f>
        <v>0</v>
      </c>
      <c r="H731" s="4">
        <f>'Raw Data'!G732*6*0.000128176</f>
        <v>0</v>
      </c>
      <c r="I731" s="4">
        <f>'Raw Data'!H732*0.000732435</f>
        <v>0</v>
      </c>
      <c r="J731" s="4">
        <f t="shared" si="35"/>
        <v>0</v>
      </c>
      <c r="K731" s="36">
        <f>IF(('Raw Data'!I732-16384)/32768&lt;0,0,('Raw Data'!I732-16384)/32768)</f>
        <v>0</v>
      </c>
      <c r="L731" s="4">
        <f>IF(('Raw Data'!J732-12010)/45.6=-263.377192982456,0,('Raw Data'!J732-12010)/45.6)</f>
        <v>0</v>
      </c>
      <c r="M731" s="16">
        <f>'Raw Data'!N732*2^-8</f>
        <v>0</v>
      </c>
      <c r="N731" s="16">
        <f>'Raw Data'!O732*2^-8</f>
        <v>0</v>
      </c>
      <c r="O731" s="17" t="str">
        <f>IF(BITWISE_AND('Raw Data'!$K732, 8192),"X","")</f>
        <v/>
      </c>
      <c r="P731" s="17" t="str">
        <f>IF(BITWISE_AND('Raw Data'!$K732, 2048),"X","")</f>
        <v/>
      </c>
      <c r="Q731" s="17" t="str">
        <f>IF(BITWISE_AND('Raw Data'!$K732, 64),"X","")</f>
        <v/>
      </c>
      <c r="R731" s="18" t="str">
        <f>IF(BITWISE_AND('Raw Data'!$L732, 1024),"X","")</f>
        <v/>
      </c>
      <c r="S731" s="18" t="str">
        <f>IF(BITWISE_AND('Raw Data'!$L732, 512),"X","")</f>
        <v/>
      </c>
      <c r="T731" s="18" t="str">
        <f>IF(BITWISE_AND('Raw Data'!$L732, 256),"X","")</f>
        <v/>
      </c>
      <c r="U731" s="18" t="str">
        <f>IF(BITWISE_AND('Raw Data'!$L732, 64),"X","")</f>
        <v/>
      </c>
      <c r="V731" s="18" t="str">
        <f>IF(BITWISE_AND('Raw Data'!$L732, 2),"X","")</f>
        <v/>
      </c>
      <c r="W731" s="18" t="str">
        <f>IF(BITWISE_AND('Raw Data'!$L732, 1),"X","")</f>
        <v/>
      </c>
      <c r="X731" s="19" t="str">
        <f>IF(BITWISE_AND('Raw Data'!M732, 1),"Bat Voltage", IF(BITWISE_AND('Raw Data'!M732, 2), "Charge Current", IF(BITWISE_AND('Raw Data'!M732, 4),"Input Ilim", IF(BITWISE_AND('Raw Data'!M732, 8), "Input UV", "none"))))</f>
        <v>none</v>
      </c>
    </row>
    <row r="732" spans="1:24" x14ac:dyDescent="0.2">
      <c r="A732" s="15">
        <f>A731+TIME(0,0,'Raw Data'!B732)</f>
        <v>0</v>
      </c>
      <c r="B732" s="4">
        <f>'Raw Data'!C733*0.025</f>
        <v>0</v>
      </c>
      <c r="C732" s="4">
        <f t="shared" si="36"/>
        <v>0</v>
      </c>
      <c r="D732" s="4">
        <f>'Raw Data'!D733*0.025</f>
        <v>0</v>
      </c>
      <c r="E732" s="4">
        <f t="shared" si="37"/>
        <v>0</v>
      </c>
      <c r="F732" s="4">
        <f>'Raw Data'!E733*0.001648</f>
        <v>0</v>
      </c>
      <c r="G732" s="4">
        <f>'Raw Data'!F733*0.001648</f>
        <v>0</v>
      </c>
      <c r="H732" s="4">
        <f>'Raw Data'!G733*6*0.000128176</f>
        <v>0</v>
      </c>
      <c r="I732" s="4">
        <f>'Raw Data'!H733*0.000732435</f>
        <v>0</v>
      </c>
      <c r="J732" s="4">
        <f t="shared" si="35"/>
        <v>0</v>
      </c>
      <c r="K732" s="36">
        <f>IF(('Raw Data'!I733-16384)/32768&lt;0,0,('Raw Data'!I733-16384)/32768)</f>
        <v>0</v>
      </c>
      <c r="L732" s="4">
        <f>IF(('Raw Data'!J733-12010)/45.6=-263.377192982456,0,('Raw Data'!J733-12010)/45.6)</f>
        <v>0</v>
      </c>
      <c r="M732" s="16">
        <f>'Raw Data'!N733*2^-8</f>
        <v>0</v>
      </c>
      <c r="N732" s="16">
        <f>'Raw Data'!O733*2^-8</f>
        <v>0</v>
      </c>
      <c r="O732" s="17" t="str">
        <f>IF(BITWISE_AND('Raw Data'!$K733, 8192),"X","")</f>
        <v/>
      </c>
      <c r="P732" s="17" t="str">
        <f>IF(BITWISE_AND('Raw Data'!$K733, 2048),"X","")</f>
        <v/>
      </c>
      <c r="Q732" s="17" t="str">
        <f>IF(BITWISE_AND('Raw Data'!$K733, 64),"X","")</f>
        <v/>
      </c>
      <c r="R732" s="18" t="str">
        <f>IF(BITWISE_AND('Raw Data'!$L733, 1024),"X","")</f>
        <v/>
      </c>
      <c r="S732" s="18" t="str">
        <f>IF(BITWISE_AND('Raw Data'!$L733, 512),"X","")</f>
        <v/>
      </c>
      <c r="T732" s="18" t="str">
        <f>IF(BITWISE_AND('Raw Data'!$L733, 256),"X","")</f>
        <v/>
      </c>
      <c r="U732" s="18" t="str">
        <f>IF(BITWISE_AND('Raw Data'!$L733, 64),"X","")</f>
        <v/>
      </c>
      <c r="V732" s="18" t="str">
        <f>IF(BITWISE_AND('Raw Data'!$L733, 2),"X","")</f>
        <v/>
      </c>
      <c r="W732" s="18" t="str">
        <f>IF(BITWISE_AND('Raw Data'!$L733, 1),"X","")</f>
        <v/>
      </c>
      <c r="X732" s="19" t="str">
        <f>IF(BITWISE_AND('Raw Data'!M733, 1),"Bat Voltage", IF(BITWISE_AND('Raw Data'!M733, 2), "Charge Current", IF(BITWISE_AND('Raw Data'!M733, 4),"Input Ilim", IF(BITWISE_AND('Raw Data'!M733, 8), "Input UV", "none"))))</f>
        <v>none</v>
      </c>
    </row>
    <row r="733" spans="1:24" x14ac:dyDescent="0.2">
      <c r="A733" s="15">
        <f>A732+TIME(0,0,'Raw Data'!B733)</f>
        <v>0</v>
      </c>
      <c r="B733" s="4">
        <f>'Raw Data'!C734*0.025</f>
        <v>0</v>
      </c>
      <c r="C733" s="4">
        <f t="shared" si="36"/>
        <v>0</v>
      </c>
      <c r="D733" s="4">
        <f>'Raw Data'!D734*0.025</f>
        <v>0</v>
      </c>
      <c r="E733" s="4">
        <f t="shared" si="37"/>
        <v>0</v>
      </c>
      <c r="F733" s="4">
        <f>'Raw Data'!E734*0.001648</f>
        <v>0</v>
      </c>
      <c r="G733" s="4">
        <f>'Raw Data'!F734*0.001648</f>
        <v>0</v>
      </c>
      <c r="H733" s="4">
        <f>'Raw Data'!G734*6*0.000128176</f>
        <v>0</v>
      </c>
      <c r="I733" s="4">
        <f>'Raw Data'!H734*0.000732435</f>
        <v>0</v>
      </c>
      <c r="J733" s="4">
        <f t="shared" si="35"/>
        <v>0</v>
      </c>
      <c r="K733" s="36">
        <f>IF(('Raw Data'!I734-16384)/32768&lt;0,0,('Raw Data'!I734-16384)/32768)</f>
        <v>0</v>
      </c>
      <c r="L733" s="4">
        <f>IF(('Raw Data'!J734-12010)/45.6=-263.377192982456,0,('Raw Data'!J734-12010)/45.6)</f>
        <v>0</v>
      </c>
      <c r="M733" s="16">
        <f>'Raw Data'!N734*2^-8</f>
        <v>0</v>
      </c>
      <c r="N733" s="16">
        <f>'Raw Data'!O734*2^-8</f>
        <v>0</v>
      </c>
      <c r="O733" s="17" t="str">
        <f>IF(BITWISE_AND('Raw Data'!$K734, 8192),"X","")</f>
        <v/>
      </c>
      <c r="P733" s="17" t="str">
        <f>IF(BITWISE_AND('Raw Data'!$K734, 2048),"X","")</f>
        <v/>
      </c>
      <c r="Q733" s="17" t="str">
        <f>IF(BITWISE_AND('Raw Data'!$K734, 64),"X","")</f>
        <v/>
      </c>
      <c r="R733" s="18" t="str">
        <f>IF(BITWISE_AND('Raw Data'!$L734, 1024),"X","")</f>
        <v/>
      </c>
      <c r="S733" s="18" t="str">
        <f>IF(BITWISE_AND('Raw Data'!$L734, 512),"X","")</f>
        <v/>
      </c>
      <c r="T733" s="18" t="str">
        <f>IF(BITWISE_AND('Raw Data'!$L734, 256),"X","")</f>
        <v/>
      </c>
      <c r="U733" s="18" t="str">
        <f>IF(BITWISE_AND('Raw Data'!$L734, 64),"X","")</f>
        <v/>
      </c>
      <c r="V733" s="18" t="str">
        <f>IF(BITWISE_AND('Raw Data'!$L734, 2),"X","")</f>
        <v/>
      </c>
      <c r="W733" s="18" t="str">
        <f>IF(BITWISE_AND('Raw Data'!$L734, 1),"X","")</f>
        <v/>
      </c>
      <c r="X733" s="19" t="str">
        <f>IF(BITWISE_AND('Raw Data'!M734, 1),"Bat Voltage", IF(BITWISE_AND('Raw Data'!M734, 2), "Charge Current", IF(BITWISE_AND('Raw Data'!M734, 4),"Input Ilim", IF(BITWISE_AND('Raw Data'!M734, 8), "Input UV", "none"))))</f>
        <v>none</v>
      </c>
    </row>
    <row r="734" spans="1:24" x14ac:dyDescent="0.2">
      <c r="A734" s="15">
        <f>A733+TIME(0,0,'Raw Data'!B734)</f>
        <v>0</v>
      </c>
      <c r="B734" s="4">
        <f>'Raw Data'!C735*0.025</f>
        <v>0</v>
      </c>
      <c r="C734" s="4">
        <f t="shared" si="36"/>
        <v>0</v>
      </c>
      <c r="D734" s="4">
        <f>'Raw Data'!D735*0.025</f>
        <v>0</v>
      </c>
      <c r="E734" s="4">
        <f t="shared" si="37"/>
        <v>0</v>
      </c>
      <c r="F734" s="4">
        <f>'Raw Data'!E735*0.001648</f>
        <v>0</v>
      </c>
      <c r="G734" s="4">
        <f>'Raw Data'!F735*0.001648</f>
        <v>0</v>
      </c>
      <c r="H734" s="4">
        <f>'Raw Data'!G735*6*0.000128176</f>
        <v>0</v>
      </c>
      <c r="I734" s="4">
        <f>'Raw Data'!H735*0.000732435</f>
        <v>0</v>
      </c>
      <c r="J734" s="4">
        <f t="shared" si="35"/>
        <v>0</v>
      </c>
      <c r="K734" s="36">
        <f>IF(('Raw Data'!I735-16384)/32768&lt;0,0,('Raw Data'!I735-16384)/32768)</f>
        <v>0</v>
      </c>
      <c r="L734" s="4">
        <f>IF(('Raw Data'!J735-12010)/45.6=-263.377192982456,0,('Raw Data'!J735-12010)/45.6)</f>
        <v>0</v>
      </c>
      <c r="M734" s="16">
        <f>'Raw Data'!N735*2^-8</f>
        <v>0</v>
      </c>
      <c r="N734" s="16">
        <f>'Raw Data'!O735*2^-8</f>
        <v>0</v>
      </c>
      <c r="O734" s="17" t="str">
        <f>IF(BITWISE_AND('Raw Data'!$K735, 8192),"X","")</f>
        <v/>
      </c>
      <c r="P734" s="17" t="str">
        <f>IF(BITWISE_AND('Raw Data'!$K735, 2048),"X","")</f>
        <v/>
      </c>
      <c r="Q734" s="17" t="str">
        <f>IF(BITWISE_AND('Raw Data'!$K735, 64),"X","")</f>
        <v/>
      </c>
      <c r="R734" s="18" t="str">
        <f>IF(BITWISE_AND('Raw Data'!$L735, 1024),"X","")</f>
        <v/>
      </c>
      <c r="S734" s="18" t="str">
        <f>IF(BITWISE_AND('Raw Data'!$L735, 512),"X","")</f>
        <v/>
      </c>
      <c r="T734" s="18" t="str">
        <f>IF(BITWISE_AND('Raw Data'!$L735, 256),"X","")</f>
        <v/>
      </c>
      <c r="U734" s="18" t="str">
        <f>IF(BITWISE_AND('Raw Data'!$L735, 64),"X","")</f>
        <v/>
      </c>
      <c r="V734" s="18" t="str">
        <f>IF(BITWISE_AND('Raw Data'!$L735, 2),"X","")</f>
        <v/>
      </c>
      <c r="W734" s="18" t="str">
        <f>IF(BITWISE_AND('Raw Data'!$L735, 1),"X","")</f>
        <v/>
      </c>
      <c r="X734" s="19" t="str">
        <f>IF(BITWISE_AND('Raw Data'!M735, 1),"Bat Voltage", IF(BITWISE_AND('Raw Data'!M735, 2), "Charge Current", IF(BITWISE_AND('Raw Data'!M735, 4),"Input Ilim", IF(BITWISE_AND('Raw Data'!M735, 8), "Input UV", "none"))))</f>
        <v>none</v>
      </c>
    </row>
    <row r="735" spans="1:24" x14ac:dyDescent="0.2">
      <c r="A735" s="15">
        <f>A734+TIME(0,0,'Raw Data'!B735)</f>
        <v>0</v>
      </c>
      <c r="B735" s="4">
        <f>'Raw Data'!C736*0.025</f>
        <v>0</v>
      </c>
      <c r="C735" s="4">
        <f t="shared" si="36"/>
        <v>0</v>
      </c>
      <c r="D735" s="4">
        <f>'Raw Data'!D736*0.025</f>
        <v>0</v>
      </c>
      <c r="E735" s="4">
        <f t="shared" si="37"/>
        <v>0</v>
      </c>
      <c r="F735" s="4">
        <f>'Raw Data'!E736*0.001648</f>
        <v>0</v>
      </c>
      <c r="G735" s="4">
        <f>'Raw Data'!F736*0.001648</f>
        <v>0</v>
      </c>
      <c r="H735" s="4">
        <f>'Raw Data'!G736*6*0.000128176</f>
        <v>0</v>
      </c>
      <c r="I735" s="4">
        <f>'Raw Data'!H736*0.000732435</f>
        <v>0</v>
      </c>
      <c r="J735" s="4">
        <f t="shared" si="35"/>
        <v>0</v>
      </c>
      <c r="K735" s="36">
        <f>IF(('Raw Data'!I736-16384)/32768&lt;0,0,('Raw Data'!I736-16384)/32768)</f>
        <v>0</v>
      </c>
      <c r="L735" s="4">
        <f>IF(('Raw Data'!J736-12010)/45.6=-263.377192982456,0,('Raw Data'!J736-12010)/45.6)</f>
        <v>0</v>
      </c>
      <c r="M735" s="16">
        <f>'Raw Data'!N736*2^-8</f>
        <v>0</v>
      </c>
      <c r="N735" s="16">
        <f>'Raw Data'!O736*2^-8</f>
        <v>0</v>
      </c>
      <c r="O735" s="17" t="str">
        <f>IF(BITWISE_AND('Raw Data'!$K736, 8192),"X","")</f>
        <v/>
      </c>
      <c r="P735" s="17" t="str">
        <f>IF(BITWISE_AND('Raw Data'!$K736, 2048),"X","")</f>
        <v/>
      </c>
      <c r="Q735" s="17" t="str">
        <f>IF(BITWISE_AND('Raw Data'!$K736, 64),"X","")</f>
        <v/>
      </c>
      <c r="R735" s="18" t="str">
        <f>IF(BITWISE_AND('Raw Data'!$L736, 1024),"X","")</f>
        <v/>
      </c>
      <c r="S735" s="18" t="str">
        <f>IF(BITWISE_AND('Raw Data'!$L736, 512),"X","")</f>
        <v/>
      </c>
      <c r="T735" s="18" t="str">
        <f>IF(BITWISE_AND('Raw Data'!$L736, 256),"X","")</f>
        <v/>
      </c>
      <c r="U735" s="18" t="str">
        <f>IF(BITWISE_AND('Raw Data'!$L736, 64),"X","")</f>
        <v/>
      </c>
      <c r="V735" s="18" t="str">
        <f>IF(BITWISE_AND('Raw Data'!$L736, 2),"X","")</f>
        <v/>
      </c>
      <c r="W735" s="18" t="str">
        <f>IF(BITWISE_AND('Raw Data'!$L736, 1),"X","")</f>
        <v/>
      </c>
      <c r="X735" s="19" t="str">
        <f>IF(BITWISE_AND('Raw Data'!M736, 1),"Bat Voltage", IF(BITWISE_AND('Raw Data'!M736, 2), "Charge Current", IF(BITWISE_AND('Raw Data'!M736, 4),"Input Ilim", IF(BITWISE_AND('Raw Data'!M736, 8), "Input UV", "none"))))</f>
        <v>none</v>
      </c>
    </row>
    <row r="736" spans="1:24" x14ac:dyDescent="0.2">
      <c r="A736" s="15">
        <f>A735+TIME(0,0,'Raw Data'!B736)</f>
        <v>0</v>
      </c>
      <c r="B736" s="4">
        <f>'Raw Data'!C737*0.025</f>
        <v>0</v>
      </c>
      <c r="C736" s="4">
        <f t="shared" si="36"/>
        <v>0</v>
      </c>
      <c r="D736" s="4">
        <f>'Raw Data'!D737*0.025</f>
        <v>0</v>
      </c>
      <c r="E736" s="4">
        <f t="shared" si="37"/>
        <v>0</v>
      </c>
      <c r="F736" s="4">
        <f>'Raw Data'!E737*0.001648</f>
        <v>0</v>
      </c>
      <c r="G736" s="4">
        <f>'Raw Data'!F737*0.001648</f>
        <v>0</v>
      </c>
      <c r="H736" s="4">
        <f>'Raw Data'!G737*6*0.000128176</f>
        <v>0</v>
      </c>
      <c r="I736" s="4">
        <f>'Raw Data'!H737*0.000732435</f>
        <v>0</v>
      </c>
      <c r="J736" s="4">
        <f t="shared" si="35"/>
        <v>0</v>
      </c>
      <c r="K736" s="36">
        <f>IF(('Raw Data'!I737-16384)/32768&lt;0,0,('Raw Data'!I737-16384)/32768)</f>
        <v>0</v>
      </c>
      <c r="L736" s="4">
        <f>IF(('Raw Data'!J737-12010)/45.6=-263.377192982456,0,('Raw Data'!J737-12010)/45.6)</f>
        <v>0</v>
      </c>
      <c r="M736" s="16">
        <f>'Raw Data'!N737*2^-8</f>
        <v>0</v>
      </c>
      <c r="N736" s="16">
        <f>'Raw Data'!O737*2^-8</f>
        <v>0</v>
      </c>
      <c r="O736" s="17" t="str">
        <f>IF(BITWISE_AND('Raw Data'!$K737, 8192),"X","")</f>
        <v/>
      </c>
      <c r="P736" s="17" t="str">
        <f>IF(BITWISE_AND('Raw Data'!$K737, 2048),"X","")</f>
        <v/>
      </c>
      <c r="Q736" s="17" t="str">
        <f>IF(BITWISE_AND('Raw Data'!$K737, 64),"X","")</f>
        <v/>
      </c>
      <c r="R736" s="18" t="str">
        <f>IF(BITWISE_AND('Raw Data'!$L737, 1024),"X","")</f>
        <v/>
      </c>
      <c r="S736" s="18" t="str">
        <f>IF(BITWISE_AND('Raw Data'!$L737, 512),"X","")</f>
        <v/>
      </c>
      <c r="T736" s="18" t="str">
        <f>IF(BITWISE_AND('Raw Data'!$L737, 256),"X","")</f>
        <v/>
      </c>
      <c r="U736" s="18" t="str">
        <f>IF(BITWISE_AND('Raw Data'!$L737, 64),"X","")</f>
        <v/>
      </c>
      <c r="V736" s="18" t="str">
        <f>IF(BITWISE_AND('Raw Data'!$L737, 2),"X","")</f>
        <v/>
      </c>
      <c r="W736" s="18" t="str">
        <f>IF(BITWISE_AND('Raw Data'!$L737, 1),"X","")</f>
        <v/>
      </c>
      <c r="X736" s="19" t="str">
        <f>IF(BITWISE_AND('Raw Data'!M737, 1),"Bat Voltage", IF(BITWISE_AND('Raw Data'!M737, 2), "Charge Current", IF(BITWISE_AND('Raw Data'!M737, 4),"Input Ilim", IF(BITWISE_AND('Raw Data'!M737, 8), "Input UV", "none"))))</f>
        <v>none</v>
      </c>
    </row>
    <row r="737" spans="1:24" x14ac:dyDescent="0.2">
      <c r="A737" s="15">
        <f>A736+TIME(0,0,'Raw Data'!B737)</f>
        <v>0</v>
      </c>
      <c r="B737" s="4">
        <f>'Raw Data'!C738*0.025</f>
        <v>0</v>
      </c>
      <c r="C737" s="4">
        <f t="shared" si="36"/>
        <v>0</v>
      </c>
      <c r="D737" s="4">
        <f>'Raw Data'!D738*0.025</f>
        <v>0</v>
      </c>
      <c r="E737" s="4">
        <f t="shared" si="37"/>
        <v>0</v>
      </c>
      <c r="F737" s="4">
        <f>'Raw Data'!E738*0.001648</f>
        <v>0</v>
      </c>
      <c r="G737" s="4">
        <f>'Raw Data'!F738*0.001648</f>
        <v>0</v>
      </c>
      <c r="H737" s="4">
        <f>'Raw Data'!G738*6*0.000128176</f>
        <v>0</v>
      </c>
      <c r="I737" s="4">
        <f>'Raw Data'!H738*0.000732435</f>
        <v>0</v>
      </c>
      <c r="J737" s="4">
        <f t="shared" si="35"/>
        <v>0</v>
      </c>
      <c r="K737" s="36">
        <f>IF(('Raw Data'!I738-16384)/32768&lt;0,0,('Raw Data'!I738-16384)/32768)</f>
        <v>0</v>
      </c>
      <c r="L737" s="4">
        <f>IF(('Raw Data'!J738-12010)/45.6=-263.377192982456,0,('Raw Data'!J738-12010)/45.6)</f>
        <v>0</v>
      </c>
      <c r="M737" s="16">
        <f>'Raw Data'!N738*2^-8</f>
        <v>0</v>
      </c>
      <c r="N737" s="16">
        <f>'Raw Data'!O738*2^-8</f>
        <v>0</v>
      </c>
      <c r="O737" s="17" t="str">
        <f>IF(BITWISE_AND('Raw Data'!$K738, 8192),"X","")</f>
        <v/>
      </c>
      <c r="P737" s="17" t="str">
        <f>IF(BITWISE_AND('Raw Data'!$K738, 2048),"X","")</f>
        <v/>
      </c>
      <c r="Q737" s="17" t="str">
        <f>IF(BITWISE_AND('Raw Data'!$K738, 64),"X","")</f>
        <v/>
      </c>
      <c r="R737" s="18" t="str">
        <f>IF(BITWISE_AND('Raw Data'!$L738, 1024),"X","")</f>
        <v/>
      </c>
      <c r="S737" s="18" t="str">
        <f>IF(BITWISE_AND('Raw Data'!$L738, 512),"X","")</f>
        <v/>
      </c>
      <c r="T737" s="18" t="str">
        <f>IF(BITWISE_AND('Raw Data'!$L738, 256),"X","")</f>
        <v/>
      </c>
      <c r="U737" s="18" t="str">
        <f>IF(BITWISE_AND('Raw Data'!$L738, 64),"X","")</f>
        <v/>
      </c>
      <c r="V737" s="18" t="str">
        <f>IF(BITWISE_AND('Raw Data'!$L738, 2),"X","")</f>
        <v/>
      </c>
      <c r="W737" s="18" t="str">
        <f>IF(BITWISE_AND('Raw Data'!$L738, 1),"X","")</f>
        <v/>
      </c>
      <c r="X737" s="19" t="str">
        <f>IF(BITWISE_AND('Raw Data'!M738, 1),"Bat Voltage", IF(BITWISE_AND('Raw Data'!M738, 2), "Charge Current", IF(BITWISE_AND('Raw Data'!M738, 4),"Input Ilim", IF(BITWISE_AND('Raw Data'!M738, 8), "Input UV", "none"))))</f>
        <v>none</v>
      </c>
    </row>
    <row r="738" spans="1:24" x14ac:dyDescent="0.2">
      <c r="A738" s="15">
        <f>A737+TIME(0,0,'Raw Data'!B738)</f>
        <v>0</v>
      </c>
      <c r="B738" s="4">
        <f>'Raw Data'!C739*0.025</f>
        <v>0</v>
      </c>
      <c r="C738" s="4">
        <f t="shared" si="36"/>
        <v>0</v>
      </c>
      <c r="D738" s="4">
        <f>'Raw Data'!D739*0.025</f>
        <v>0</v>
      </c>
      <c r="E738" s="4">
        <f t="shared" si="37"/>
        <v>0</v>
      </c>
      <c r="F738" s="4">
        <f>'Raw Data'!E739*0.001648</f>
        <v>0</v>
      </c>
      <c r="G738" s="4">
        <f>'Raw Data'!F739*0.001648</f>
        <v>0</v>
      </c>
      <c r="H738" s="4">
        <f>'Raw Data'!G739*6*0.000128176</f>
        <v>0</v>
      </c>
      <c r="I738" s="4">
        <f>'Raw Data'!H739*0.000732435</f>
        <v>0</v>
      </c>
      <c r="J738" s="4">
        <f t="shared" si="35"/>
        <v>0</v>
      </c>
      <c r="K738" s="36">
        <f>IF(('Raw Data'!I739-16384)/32768&lt;0,0,('Raw Data'!I739-16384)/32768)</f>
        <v>0</v>
      </c>
      <c r="L738" s="4">
        <f>IF(('Raw Data'!J739-12010)/45.6=-263.377192982456,0,('Raw Data'!J739-12010)/45.6)</f>
        <v>0</v>
      </c>
      <c r="M738" s="16">
        <f>'Raw Data'!N739*2^-8</f>
        <v>0</v>
      </c>
      <c r="N738" s="16">
        <f>'Raw Data'!O739*2^-8</f>
        <v>0</v>
      </c>
      <c r="O738" s="17" t="str">
        <f>IF(BITWISE_AND('Raw Data'!$K739, 8192),"X","")</f>
        <v/>
      </c>
      <c r="P738" s="17" t="str">
        <f>IF(BITWISE_AND('Raw Data'!$K739, 2048),"X","")</f>
        <v/>
      </c>
      <c r="Q738" s="17" t="str">
        <f>IF(BITWISE_AND('Raw Data'!$K739, 64),"X","")</f>
        <v/>
      </c>
      <c r="R738" s="18" t="str">
        <f>IF(BITWISE_AND('Raw Data'!$L739, 1024),"X","")</f>
        <v/>
      </c>
      <c r="S738" s="18" t="str">
        <f>IF(BITWISE_AND('Raw Data'!$L739, 512),"X","")</f>
        <v/>
      </c>
      <c r="T738" s="18" t="str">
        <f>IF(BITWISE_AND('Raw Data'!$L739, 256),"X","")</f>
        <v/>
      </c>
      <c r="U738" s="18" t="str">
        <f>IF(BITWISE_AND('Raw Data'!$L739, 64),"X","")</f>
        <v/>
      </c>
      <c r="V738" s="18" t="str">
        <f>IF(BITWISE_AND('Raw Data'!$L739, 2),"X","")</f>
        <v/>
      </c>
      <c r="W738" s="18" t="str">
        <f>IF(BITWISE_AND('Raw Data'!$L739, 1),"X","")</f>
        <v/>
      </c>
      <c r="X738" s="19" t="str">
        <f>IF(BITWISE_AND('Raw Data'!M739, 1),"Bat Voltage", IF(BITWISE_AND('Raw Data'!M739, 2), "Charge Current", IF(BITWISE_AND('Raw Data'!M739, 4),"Input Ilim", IF(BITWISE_AND('Raw Data'!M739, 8), "Input UV", "none"))))</f>
        <v>none</v>
      </c>
    </row>
    <row r="739" spans="1:24" x14ac:dyDescent="0.2">
      <c r="A739" s="15">
        <f>A738+TIME(0,0,'Raw Data'!B739)</f>
        <v>0</v>
      </c>
      <c r="B739" s="4">
        <f>'Raw Data'!C740*0.025</f>
        <v>0</v>
      </c>
      <c r="C739" s="4">
        <f t="shared" si="36"/>
        <v>0</v>
      </c>
      <c r="D739" s="4">
        <f>'Raw Data'!D740*0.025</f>
        <v>0</v>
      </c>
      <c r="E739" s="4">
        <f t="shared" si="37"/>
        <v>0</v>
      </c>
      <c r="F739" s="4">
        <f>'Raw Data'!E740*0.001648</f>
        <v>0</v>
      </c>
      <c r="G739" s="4">
        <f>'Raw Data'!F740*0.001648</f>
        <v>0</v>
      </c>
      <c r="H739" s="4">
        <f>'Raw Data'!G740*6*0.000128176</f>
        <v>0</v>
      </c>
      <c r="I739" s="4">
        <f>'Raw Data'!H740*0.000732435</f>
        <v>0</v>
      </c>
      <c r="J739" s="4">
        <f t="shared" si="35"/>
        <v>0</v>
      </c>
      <c r="K739" s="36">
        <f>IF(('Raw Data'!I740-16384)/32768&lt;0,0,('Raw Data'!I740-16384)/32768)</f>
        <v>0</v>
      </c>
      <c r="L739" s="4">
        <f>IF(('Raw Data'!J740-12010)/45.6=-263.377192982456,0,('Raw Data'!J740-12010)/45.6)</f>
        <v>0</v>
      </c>
      <c r="M739" s="16">
        <f>'Raw Data'!N740*2^-8</f>
        <v>0</v>
      </c>
      <c r="N739" s="16">
        <f>'Raw Data'!O740*2^-8</f>
        <v>0</v>
      </c>
      <c r="O739" s="17" t="str">
        <f>IF(BITWISE_AND('Raw Data'!$K740, 8192),"X","")</f>
        <v/>
      </c>
      <c r="P739" s="17" t="str">
        <f>IF(BITWISE_AND('Raw Data'!$K740, 2048),"X","")</f>
        <v/>
      </c>
      <c r="Q739" s="17" t="str">
        <f>IF(BITWISE_AND('Raw Data'!$K740, 64),"X","")</f>
        <v/>
      </c>
      <c r="R739" s="18" t="str">
        <f>IF(BITWISE_AND('Raw Data'!$L740, 1024),"X","")</f>
        <v/>
      </c>
      <c r="S739" s="18" t="str">
        <f>IF(BITWISE_AND('Raw Data'!$L740, 512),"X","")</f>
        <v/>
      </c>
      <c r="T739" s="18" t="str">
        <f>IF(BITWISE_AND('Raw Data'!$L740, 256),"X","")</f>
        <v/>
      </c>
      <c r="U739" s="18" t="str">
        <f>IF(BITWISE_AND('Raw Data'!$L740, 64),"X","")</f>
        <v/>
      </c>
      <c r="V739" s="18" t="str">
        <f>IF(BITWISE_AND('Raw Data'!$L740, 2),"X","")</f>
        <v/>
      </c>
      <c r="W739" s="18" t="str">
        <f>IF(BITWISE_AND('Raw Data'!$L740, 1),"X","")</f>
        <v/>
      </c>
      <c r="X739" s="19" t="str">
        <f>IF(BITWISE_AND('Raw Data'!M740, 1),"Bat Voltage", IF(BITWISE_AND('Raw Data'!M740, 2), "Charge Current", IF(BITWISE_AND('Raw Data'!M740, 4),"Input Ilim", IF(BITWISE_AND('Raw Data'!M740, 8), "Input UV", "none"))))</f>
        <v>none</v>
      </c>
    </row>
    <row r="740" spans="1:24" x14ac:dyDescent="0.2">
      <c r="A740" s="15">
        <f>A739+TIME(0,0,'Raw Data'!B740)</f>
        <v>0</v>
      </c>
      <c r="B740" s="4">
        <f>'Raw Data'!C741*0.025</f>
        <v>0</v>
      </c>
      <c r="C740" s="4">
        <f t="shared" si="36"/>
        <v>0</v>
      </c>
      <c r="D740" s="4">
        <f>'Raw Data'!D741*0.025</f>
        <v>0</v>
      </c>
      <c r="E740" s="4">
        <f t="shared" si="37"/>
        <v>0</v>
      </c>
      <c r="F740" s="4">
        <f>'Raw Data'!E741*0.001648</f>
        <v>0</v>
      </c>
      <c r="G740" s="4">
        <f>'Raw Data'!F741*0.001648</f>
        <v>0</v>
      </c>
      <c r="H740" s="4">
        <f>'Raw Data'!G741*6*0.000128176</f>
        <v>0</v>
      </c>
      <c r="I740" s="4">
        <f>'Raw Data'!H741*0.000732435</f>
        <v>0</v>
      </c>
      <c r="J740" s="4">
        <f t="shared" si="35"/>
        <v>0</v>
      </c>
      <c r="K740" s="36">
        <f>IF(('Raw Data'!I741-16384)/32768&lt;0,0,('Raw Data'!I741-16384)/32768)</f>
        <v>0</v>
      </c>
      <c r="L740" s="4">
        <f>IF(('Raw Data'!J741-12010)/45.6=-263.377192982456,0,('Raw Data'!J741-12010)/45.6)</f>
        <v>0</v>
      </c>
      <c r="M740" s="16">
        <f>'Raw Data'!N741*2^-8</f>
        <v>0</v>
      </c>
      <c r="N740" s="16">
        <f>'Raw Data'!O741*2^-8</f>
        <v>0</v>
      </c>
      <c r="O740" s="17" t="str">
        <f>IF(BITWISE_AND('Raw Data'!$K741, 8192),"X","")</f>
        <v/>
      </c>
      <c r="P740" s="17" t="str">
        <f>IF(BITWISE_AND('Raw Data'!$K741, 2048),"X","")</f>
        <v/>
      </c>
      <c r="Q740" s="17" t="str">
        <f>IF(BITWISE_AND('Raw Data'!$K741, 64),"X","")</f>
        <v/>
      </c>
      <c r="R740" s="18" t="str">
        <f>IF(BITWISE_AND('Raw Data'!$L741, 1024),"X","")</f>
        <v/>
      </c>
      <c r="S740" s="18" t="str">
        <f>IF(BITWISE_AND('Raw Data'!$L741, 512),"X","")</f>
        <v/>
      </c>
      <c r="T740" s="18" t="str">
        <f>IF(BITWISE_AND('Raw Data'!$L741, 256),"X","")</f>
        <v/>
      </c>
      <c r="U740" s="18" t="str">
        <f>IF(BITWISE_AND('Raw Data'!$L741, 64),"X","")</f>
        <v/>
      </c>
      <c r="V740" s="18" t="str">
        <f>IF(BITWISE_AND('Raw Data'!$L741, 2),"X","")</f>
        <v/>
      </c>
      <c r="W740" s="18" t="str">
        <f>IF(BITWISE_AND('Raw Data'!$L741, 1),"X","")</f>
        <v/>
      </c>
      <c r="X740" s="19" t="str">
        <f>IF(BITWISE_AND('Raw Data'!M741, 1),"Bat Voltage", IF(BITWISE_AND('Raw Data'!M741, 2), "Charge Current", IF(BITWISE_AND('Raw Data'!M741, 4),"Input Ilim", IF(BITWISE_AND('Raw Data'!M741, 8), "Input UV", "none"))))</f>
        <v>none</v>
      </c>
    </row>
    <row r="741" spans="1:24" x14ac:dyDescent="0.2">
      <c r="A741" s="15">
        <f>A740+TIME(0,0,'Raw Data'!B741)</f>
        <v>0</v>
      </c>
      <c r="B741" s="4">
        <f>'Raw Data'!C742*0.025</f>
        <v>0</v>
      </c>
      <c r="C741" s="4">
        <f t="shared" si="36"/>
        <v>0</v>
      </c>
      <c r="D741" s="4">
        <f>'Raw Data'!D742*0.025</f>
        <v>0</v>
      </c>
      <c r="E741" s="4">
        <f t="shared" si="37"/>
        <v>0</v>
      </c>
      <c r="F741" s="4">
        <f>'Raw Data'!E742*0.001648</f>
        <v>0</v>
      </c>
      <c r="G741" s="4">
        <f>'Raw Data'!F742*0.001648</f>
        <v>0</v>
      </c>
      <c r="H741" s="4">
        <f>'Raw Data'!G742*6*0.000128176</f>
        <v>0</v>
      </c>
      <c r="I741" s="4">
        <f>'Raw Data'!H742*0.000732435</f>
        <v>0</v>
      </c>
      <c r="J741" s="4">
        <f t="shared" si="35"/>
        <v>0</v>
      </c>
      <c r="K741" s="36">
        <f>IF(('Raw Data'!I742-16384)/32768&lt;0,0,('Raw Data'!I742-16384)/32768)</f>
        <v>0</v>
      </c>
      <c r="L741" s="4">
        <f>IF(('Raw Data'!J742-12010)/45.6=-263.377192982456,0,('Raw Data'!J742-12010)/45.6)</f>
        <v>0</v>
      </c>
      <c r="M741" s="16">
        <f>'Raw Data'!N742*2^-8</f>
        <v>0</v>
      </c>
      <c r="N741" s="16">
        <f>'Raw Data'!O742*2^-8</f>
        <v>0</v>
      </c>
      <c r="O741" s="17" t="str">
        <f>IF(BITWISE_AND('Raw Data'!$K742, 8192),"X","")</f>
        <v/>
      </c>
      <c r="P741" s="17" t="str">
        <f>IF(BITWISE_AND('Raw Data'!$K742, 2048),"X","")</f>
        <v/>
      </c>
      <c r="Q741" s="17" t="str">
        <f>IF(BITWISE_AND('Raw Data'!$K742, 64),"X","")</f>
        <v/>
      </c>
      <c r="R741" s="18" t="str">
        <f>IF(BITWISE_AND('Raw Data'!$L742, 1024),"X","")</f>
        <v/>
      </c>
      <c r="S741" s="18" t="str">
        <f>IF(BITWISE_AND('Raw Data'!$L742, 512),"X","")</f>
        <v/>
      </c>
      <c r="T741" s="18" t="str">
        <f>IF(BITWISE_AND('Raw Data'!$L742, 256),"X","")</f>
        <v/>
      </c>
      <c r="U741" s="18" t="str">
        <f>IF(BITWISE_AND('Raw Data'!$L742, 64),"X","")</f>
        <v/>
      </c>
      <c r="V741" s="18" t="str">
        <f>IF(BITWISE_AND('Raw Data'!$L742, 2),"X","")</f>
        <v/>
      </c>
      <c r="W741" s="18" t="str">
        <f>IF(BITWISE_AND('Raw Data'!$L742, 1),"X","")</f>
        <v/>
      </c>
      <c r="X741" s="19" t="str">
        <f>IF(BITWISE_AND('Raw Data'!M742, 1),"Bat Voltage", IF(BITWISE_AND('Raw Data'!M742, 2), "Charge Current", IF(BITWISE_AND('Raw Data'!M742, 4),"Input Ilim", IF(BITWISE_AND('Raw Data'!M742, 8), "Input UV", "none"))))</f>
        <v>none</v>
      </c>
    </row>
    <row r="742" spans="1:24" x14ac:dyDescent="0.2">
      <c r="A742" s="15">
        <f>A741+TIME(0,0,'Raw Data'!B742)</f>
        <v>0</v>
      </c>
      <c r="B742" s="4">
        <f>'Raw Data'!C743*0.025</f>
        <v>0</v>
      </c>
      <c r="C742" s="4">
        <f t="shared" si="36"/>
        <v>0</v>
      </c>
      <c r="D742" s="4">
        <f>'Raw Data'!D743*0.025</f>
        <v>0</v>
      </c>
      <c r="E742" s="4">
        <f t="shared" si="37"/>
        <v>0</v>
      </c>
      <c r="F742" s="4">
        <f>'Raw Data'!E743*0.001648</f>
        <v>0</v>
      </c>
      <c r="G742" s="4">
        <f>'Raw Data'!F743*0.001648</f>
        <v>0</v>
      </c>
      <c r="H742" s="4">
        <f>'Raw Data'!G743*6*0.000128176</f>
        <v>0</v>
      </c>
      <c r="I742" s="4">
        <f>'Raw Data'!H743*0.000732435</f>
        <v>0</v>
      </c>
      <c r="J742" s="4">
        <f t="shared" si="35"/>
        <v>0</v>
      </c>
      <c r="K742" s="36">
        <f>IF(('Raw Data'!I743-16384)/32768&lt;0,0,('Raw Data'!I743-16384)/32768)</f>
        <v>0</v>
      </c>
      <c r="L742" s="4">
        <f>IF(('Raw Data'!J743-12010)/45.6=-263.377192982456,0,('Raw Data'!J743-12010)/45.6)</f>
        <v>0</v>
      </c>
      <c r="M742" s="16">
        <f>'Raw Data'!N743*2^-8</f>
        <v>0</v>
      </c>
      <c r="N742" s="16">
        <f>'Raw Data'!O743*2^-8</f>
        <v>0</v>
      </c>
      <c r="O742" s="17" t="str">
        <f>IF(BITWISE_AND('Raw Data'!$K743, 8192),"X","")</f>
        <v/>
      </c>
      <c r="P742" s="17" t="str">
        <f>IF(BITWISE_AND('Raw Data'!$K743, 2048),"X","")</f>
        <v/>
      </c>
      <c r="Q742" s="17" t="str">
        <f>IF(BITWISE_AND('Raw Data'!$K743, 64),"X","")</f>
        <v/>
      </c>
      <c r="R742" s="18" t="str">
        <f>IF(BITWISE_AND('Raw Data'!$L743, 1024),"X","")</f>
        <v/>
      </c>
      <c r="S742" s="18" t="str">
        <f>IF(BITWISE_AND('Raw Data'!$L743, 512),"X","")</f>
        <v/>
      </c>
      <c r="T742" s="18" t="str">
        <f>IF(BITWISE_AND('Raw Data'!$L743, 256),"X","")</f>
        <v/>
      </c>
      <c r="U742" s="18" t="str">
        <f>IF(BITWISE_AND('Raw Data'!$L743, 64),"X","")</f>
        <v/>
      </c>
      <c r="V742" s="18" t="str">
        <f>IF(BITWISE_AND('Raw Data'!$L743, 2),"X","")</f>
        <v/>
      </c>
      <c r="W742" s="18" t="str">
        <f>IF(BITWISE_AND('Raw Data'!$L743, 1),"X","")</f>
        <v/>
      </c>
      <c r="X742" s="19" t="str">
        <f>IF(BITWISE_AND('Raw Data'!M743, 1),"Bat Voltage", IF(BITWISE_AND('Raw Data'!M743, 2), "Charge Current", IF(BITWISE_AND('Raw Data'!M743, 4),"Input Ilim", IF(BITWISE_AND('Raw Data'!M743, 8), "Input UV", "none"))))</f>
        <v>none</v>
      </c>
    </row>
    <row r="743" spans="1:24" x14ac:dyDescent="0.2">
      <c r="A743" s="15">
        <f>A742+TIME(0,0,'Raw Data'!B743)</f>
        <v>0</v>
      </c>
      <c r="B743" s="4">
        <f>'Raw Data'!C744*0.025</f>
        <v>0</v>
      </c>
      <c r="C743" s="4">
        <f t="shared" si="36"/>
        <v>0</v>
      </c>
      <c r="D743" s="4">
        <f>'Raw Data'!D744*0.025</f>
        <v>0</v>
      </c>
      <c r="E743" s="4">
        <f t="shared" si="37"/>
        <v>0</v>
      </c>
      <c r="F743" s="4">
        <f>'Raw Data'!E744*0.001648</f>
        <v>0</v>
      </c>
      <c r="G743" s="4">
        <f>'Raw Data'!F744*0.001648</f>
        <v>0</v>
      </c>
      <c r="H743" s="4">
        <f>'Raw Data'!G744*6*0.000128176</f>
        <v>0</v>
      </c>
      <c r="I743" s="4">
        <f>'Raw Data'!H744*0.000732435</f>
        <v>0</v>
      </c>
      <c r="J743" s="4">
        <f t="shared" si="35"/>
        <v>0</v>
      </c>
      <c r="K743" s="36">
        <f>IF(('Raw Data'!I744-16384)/32768&lt;0,0,('Raw Data'!I744-16384)/32768)</f>
        <v>0</v>
      </c>
      <c r="L743" s="4">
        <f>IF(('Raw Data'!J744-12010)/45.6=-263.377192982456,0,('Raw Data'!J744-12010)/45.6)</f>
        <v>0</v>
      </c>
      <c r="M743" s="16">
        <f>'Raw Data'!N744*2^-8</f>
        <v>0</v>
      </c>
      <c r="N743" s="16">
        <f>'Raw Data'!O744*2^-8</f>
        <v>0</v>
      </c>
      <c r="O743" s="17" t="str">
        <f>IF(BITWISE_AND('Raw Data'!$K744, 8192),"X","")</f>
        <v/>
      </c>
      <c r="P743" s="17" t="str">
        <f>IF(BITWISE_AND('Raw Data'!$K744, 2048),"X","")</f>
        <v/>
      </c>
      <c r="Q743" s="17" t="str">
        <f>IF(BITWISE_AND('Raw Data'!$K744, 64),"X","")</f>
        <v/>
      </c>
      <c r="R743" s="18" t="str">
        <f>IF(BITWISE_AND('Raw Data'!$L744, 1024),"X","")</f>
        <v/>
      </c>
      <c r="S743" s="18" t="str">
        <f>IF(BITWISE_AND('Raw Data'!$L744, 512),"X","")</f>
        <v/>
      </c>
      <c r="T743" s="18" t="str">
        <f>IF(BITWISE_AND('Raw Data'!$L744, 256),"X","")</f>
        <v/>
      </c>
      <c r="U743" s="18" t="str">
        <f>IF(BITWISE_AND('Raw Data'!$L744, 64),"X","")</f>
        <v/>
      </c>
      <c r="V743" s="18" t="str">
        <f>IF(BITWISE_AND('Raw Data'!$L744, 2),"X","")</f>
        <v/>
      </c>
      <c r="W743" s="18" t="str">
        <f>IF(BITWISE_AND('Raw Data'!$L744, 1),"X","")</f>
        <v/>
      </c>
      <c r="X743" s="19" t="str">
        <f>IF(BITWISE_AND('Raw Data'!M744, 1),"Bat Voltage", IF(BITWISE_AND('Raw Data'!M744, 2), "Charge Current", IF(BITWISE_AND('Raw Data'!M744, 4),"Input Ilim", IF(BITWISE_AND('Raw Data'!M744, 8), "Input UV", "none"))))</f>
        <v>none</v>
      </c>
    </row>
    <row r="744" spans="1:24" x14ac:dyDescent="0.2">
      <c r="A744" s="15">
        <f>A743+TIME(0,0,'Raw Data'!B744)</f>
        <v>0</v>
      </c>
      <c r="B744" s="4">
        <f>'Raw Data'!C745*0.025</f>
        <v>0</v>
      </c>
      <c r="C744" s="4">
        <f t="shared" si="36"/>
        <v>0</v>
      </c>
      <c r="D744" s="4">
        <f>'Raw Data'!D745*0.025</f>
        <v>0</v>
      </c>
      <c r="E744" s="4">
        <f t="shared" si="37"/>
        <v>0</v>
      </c>
      <c r="F744" s="4">
        <f>'Raw Data'!E745*0.001648</f>
        <v>0</v>
      </c>
      <c r="G744" s="4">
        <f>'Raw Data'!F745*0.001648</f>
        <v>0</v>
      </c>
      <c r="H744" s="4">
        <f>'Raw Data'!G745*6*0.000128176</f>
        <v>0</v>
      </c>
      <c r="I744" s="4">
        <f>'Raw Data'!H745*0.000732435</f>
        <v>0</v>
      </c>
      <c r="J744" s="4">
        <f t="shared" si="35"/>
        <v>0</v>
      </c>
      <c r="K744" s="36">
        <f>IF(('Raw Data'!I745-16384)/32768&lt;0,0,('Raw Data'!I745-16384)/32768)</f>
        <v>0</v>
      </c>
      <c r="L744" s="4">
        <f>IF(('Raw Data'!J745-12010)/45.6=-263.377192982456,0,('Raw Data'!J745-12010)/45.6)</f>
        <v>0</v>
      </c>
      <c r="M744" s="16">
        <f>'Raw Data'!N745*2^-8</f>
        <v>0</v>
      </c>
      <c r="N744" s="16">
        <f>'Raw Data'!O745*2^-8</f>
        <v>0</v>
      </c>
      <c r="O744" s="17" t="str">
        <f>IF(BITWISE_AND('Raw Data'!$K745, 8192),"X","")</f>
        <v/>
      </c>
      <c r="P744" s="17" t="str">
        <f>IF(BITWISE_AND('Raw Data'!$K745, 2048),"X","")</f>
        <v/>
      </c>
      <c r="Q744" s="17" t="str">
        <f>IF(BITWISE_AND('Raw Data'!$K745, 64),"X","")</f>
        <v/>
      </c>
      <c r="R744" s="18" t="str">
        <f>IF(BITWISE_AND('Raw Data'!$L745, 1024),"X","")</f>
        <v/>
      </c>
      <c r="S744" s="18" t="str">
        <f>IF(BITWISE_AND('Raw Data'!$L745, 512),"X","")</f>
        <v/>
      </c>
      <c r="T744" s="18" t="str">
        <f>IF(BITWISE_AND('Raw Data'!$L745, 256),"X","")</f>
        <v/>
      </c>
      <c r="U744" s="18" t="str">
        <f>IF(BITWISE_AND('Raw Data'!$L745, 64),"X","")</f>
        <v/>
      </c>
      <c r="V744" s="18" t="str">
        <f>IF(BITWISE_AND('Raw Data'!$L745, 2),"X","")</f>
        <v/>
      </c>
      <c r="W744" s="18" t="str">
        <f>IF(BITWISE_AND('Raw Data'!$L745, 1),"X","")</f>
        <v/>
      </c>
      <c r="X744" s="19" t="str">
        <f>IF(BITWISE_AND('Raw Data'!M745, 1),"Bat Voltage", IF(BITWISE_AND('Raw Data'!M745, 2), "Charge Current", IF(BITWISE_AND('Raw Data'!M745, 4),"Input Ilim", IF(BITWISE_AND('Raw Data'!M745, 8), "Input UV", "none"))))</f>
        <v>none</v>
      </c>
    </row>
    <row r="745" spans="1:24" x14ac:dyDescent="0.2">
      <c r="A745" s="15">
        <f>A744+TIME(0,0,'Raw Data'!B745)</f>
        <v>0</v>
      </c>
      <c r="B745" s="4">
        <f>'Raw Data'!C746*0.025</f>
        <v>0</v>
      </c>
      <c r="C745" s="4">
        <f t="shared" si="36"/>
        <v>0</v>
      </c>
      <c r="D745" s="4">
        <f>'Raw Data'!D746*0.025</f>
        <v>0</v>
      </c>
      <c r="E745" s="4">
        <f t="shared" si="37"/>
        <v>0</v>
      </c>
      <c r="F745" s="4">
        <f>'Raw Data'!E746*0.001648</f>
        <v>0</v>
      </c>
      <c r="G745" s="4">
        <f>'Raw Data'!F746*0.001648</f>
        <v>0</v>
      </c>
      <c r="H745" s="4">
        <f>'Raw Data'!G746*6*0.000128176</f>
        <v>0</v>
      </c>
      <c r="I745" s="4">
        <f>'Raw Data'!H746*0.000732435</f>
        <v>0</v>
      </c>
      <c r="J745" s="4">
        <f t="shared" si="35"/>
        <v>0</v>
      </c>
      <c r="K745" s="36">
        <f>IF(('Raw Data'!I746-16384)/32768&lt;0,0,('Raw Data'!I746-16384)/32768)</f>
        <v>0</v>
      </c>
      <c r="L745" s="4">
        <f>IF(('Raw Data'!J746-12010)/45.6=-263.377192982456,0,('Raw Data'!J746-12010)/45.6)</f>
        <v>0</v>
      </c>
      <c r="M745" s="16">
        <f>'Raw Data'!N746*2^-8</f>
        <v>0</v>
      </c>
      <c r="N745" s="16">
        <f>'Raw Data'!O746*2^-8</f>
        <v>0</v>
      </c>
      <c r="O745" s="17" t="str">
        <f>IF(BITWISE_AND('Raw Data'!$K746, 8192),"X","")</f>
        <v/>
      </c>
      <c r="P745" s="17" t="str">
        <f>IF(BITWISE_AND('Raw Data'!$K746, 2048),"X","")</f>
        <v/>
      </c>
      <c r="Q745" s="17" t="str">
        <f>IF(BITWISE_AND('Raw Data'!$K746, 64),"X","")</f>
        <v/>
      </c>
      <c r="R745" s="18" t="str">
        <f>IF(BITWISE_AND('Raw Data'!$L746, 1024),"X","")</f>
        <v/>
      </c>
      <c r="S745" s="18" t="str">
        <f>IF(BITWISE_AND('Raw Data'!$L746, 512),"X","")</f>
        <v/>
      </c>
      <c r="T745" s="18" t="str">
        <f>IF(BITWISE_AND('Raw Data'!$L746, 256),"X","")</f>
        <v/>
      </c>
      <c r="U745" s="18" t="str">
        <f>IF(BITWISE_AND('Raw Data'!$L746, 64),"X","")</f>
        <v/>
      </c>
      <c r="V745" s="18" t="str">
        <f>IF(BITWISE_AND('Raw Data'!$L746, 2),"X","")</f>
        <v/>
      </c>
      <c r="W745" s="18" t="str">
        <f>IF(BITWISE_AND('Raw Data'!$L746, 1),"X","")</f>
        <v/>
      </c>
      <c r="X745" s="19" t="str">
        <f>IF(BITWISE_AND('Raw Data'!M746, 1),"Bat Voltage", IF(BITWISE_AND('Raw Data'!M746, 2), "Charge Current", IF(BITWISE_AND('Raw Data'!M746, 4),"Input Ilim", IF(BITWISE_AND('Raw Data'!M746, 8), "Input UV", "none"))))</f>
        <v>none</v>
      </c>
    </row>
    <row r="746" spans="1:24" x14ac:dyDescent="0.2">
      <c r="A746" s="15">
        <f>A745+TIME(0,0,'Raw Data'!B746)</f>
        <v>0</v>
      </c>
      <c r="B746" s="4">
        <f>'Raw Data'!C747*0.025</f>
        <v>0</v>
      </c>
      <c r="C746" s="4">
        <f t="shared" si="36"/>
        <v>0</v>
      </c>
      <c r="D746" s="4">
        <f>'Raw Data'!D747*0.025</f>
        <v>0</v>
      </c>
      <c r="E746" s="4">
        <f t="shared" si="37"/>
        <v>0</v>
      </c>
      <c r="F746" s="4">
        <f>'Raw Data'!E747*0.001648</f>
        <v>0</v>
      </c>
      <c r="G746" s="4">
        <f>'Raw Data'!F747*0.001648</f>
        <v>0</v>
      </c>
      <c r="H746" s="4">
        <f>'Raw Data'!G747*6*0.000128176</f>
        <v>0</v>
      </c>
      <c r="I746" s="4">
        <f>'Raw Data'!H747*0.000732435</f>
        <v>0</v>
      </c>
      <c r="J746" s="4">
        <f t="shared" si="35"/>
        <v>0</v>
      </c>
      <c r="K746" s="36">
        <f>IF(('Raw Data'!I747-16384)/32768&lt;0,0,('Raw Data'!I747-16384)/32768)</f>
        <v>0</v>
      </c>
      <c r="L746" s="4">
        <f>IF(('Raw Data'!J747-12010)/45.6=-263.377192982456,0,('Raw Data'!J747-12010)/45.6)</f>
        <v>0</v>
      </c>
      <c r="M746" s="16">
        <f>'Raw Data'!N747*2^-8</f>
        <v>0</v>
      </c>
      <c r="N746" s="16">
        <f>'Raw Data'!O747*2^-8</f>
        <v>0</v>
      </c>
      <c r="O746" s="17" t="str">
        <f>IF(BITWISE_AND('Raw Data'!$K747, 8192),"X","")</f>
        <v/>
      </c>
      <c r="P746" s="17" t="str">
        <f>IF(BITWISE_AND('Raw Data'!$K747, 2048),"X","")</f>
        <v/>
      </c>
      <c r="Q746" s="17" t="str">
        <f>IF(BITWISE_AND('Raw Data'!$K747, 64),"X","")</f>
        <v/>
      </c>
      <c r="R746" s="18" t="str">
        <f>IF(BITWISE_AND('Raw Data'!$L747, 1024),"X","")</f>
        <v/>
      </c>
      <c r="S746" s="18" t="str">
        <f>IF(BITWISE_AND('Raw Data'!$L747, 512),"X","")</f>
        <v/>
      </c>
      <c r="T746" s="18" t="str">
        <f>IF(BITWISE_AND('Raw Data'!$L747, 256),"X","")</f>
        <v/>
      </c>
      <c r="U746" s="18" t="str">
        <f>IF(BITWISE_AND('Raw Data'!$L747, 64),"X","")</f>
        <v/>
      </c>
      <c r="V746" s="18" t="str">
        <f>IF(BITWISE_AND('Raw Data'!$L747, 2),"X","")</f>
        <v/>
      </c>
      <c r="W746" s="18" t="str">
        <f>IF(BITWISE_AND('Raw Data'!$L747, 1),"X","")</f>
        <v/>
      </c>
      <c r="X746" s="19" t="str">
        <f>IF(BITWISE_AND('Raw Data'!M747, 1),"Bat Voltage", IF(BITWISE_AND('Raw Data'!M747, 2), "Charge Current", IF(BITWISE_AND('Raw Data'!M747, 4),"Input Ilim", IF(BITWISE_AND('Raw Data'!M747, 8), "Input UV", "none"))))</f>
        <v>none</v>
      </c>
    </row>
    <row r="747" spans="1:24" x14ac:dyDescent="0.2">
      <c r="A747" s="15">
        <f>A746+TIME(0,0,'Raw Data'!B747)</f>
        <v>0</v>
      </c>
      <c r="B747" s="4">
        <f>'Raw Data'!C748*0.025</f>
        <v>0</v>
      </c>
      <c r="C747" s="4">
        <f t="shared" si="36"/>
        <v>0</v>
      </c>
      <c r="D747" s="4">
        <f>'Raw Data'!D748*0.025</f>
        <v>0</v>
      </c>
      <c r="E747" s="4">
        <f t="shared" si="37"/>
        <v>0</v>
      </c>
      <c r="F747" s="4">
        <f>'Raw Data'!E748*0.001648</f>
        <v>0</v>
      </c>
      <c r="G747" s="4">
        <f>'Raw Data'!F748*0.001648</f>
        <v>0</v>
      </c>
      <c r="H747" s="4">
        <f>'Raw Data'!G748*6*0.000128176</f>
        <v>0</v>
      </c>
      <c r="I747" s="4">
        <f>'Raw Data'!H748*0.000732435</f>
        <v>0</v>
      </c>
      <c r="J747" s="4">
        <f t="shared" si="35"/>
        <v>0</v>
      </c>
      <c r="K747" s="36">
        <f>IF(('Raw Data'!I748-16384)/32768&lt;0,0,('Raw Data'!I748-16384)/32768)</f>
        <v>0</v>
      </c>
      <c r="L747" s="4">
        <f>IF(('Raw Data'!J748-12010)/45.6=-263.377192982456,0,('Raw Data'!J748-12010)/45.6)</f>
        <v>0</v>
      </c>
      <c r="M747" s="16">
        <f>'Raw Data'!N748*2^-8</f>
        <v>0</v>
      </c>
      <c r="N747" s="16">
        <f>'Raw Data'!O748*2^-8</f>
        <v>0</v>
      </c>
      <c r="O747" s="17" t="str">
        <f>IF(BITWISE_AND('Raw Data'!$K748, 8192),"X","")</f>
        <v/>
      </c>
      <c r="P747" s="17" t="str">
        <f>IF(BITWISE_AND('Raw Data'!$K748, 2048),"X","")</f>
        <v/>
      </c>
      <c r="Q747" s="17" t="str">
        <f>IF(BITWISE_AND('Raw Data'!$K748, 64),"X","")</f>
        <v/>
      </c>
      <c r="R747" s="18" t="str">
        <f>IF(BITWISE_AND('Raw Data'!$L748, 1024),"X","")</f>
        <v/>
      </c>
      <c r="S747" s="18" t="str">
        <f>IF(BITWISE_AND('Raw Data'!$L748, 512),"X","")</f>
        <v/>
      </c>
      <c r="T747" s="18" t="str">
        <f>IF(BITWISE_AND('Raw Data'!$L748, 256),"X","")</f>
        <v/>
      </c>
      <c r="U747" s="18" t="str">
        <f>IF(BITWISE_AND('Raw Data'!$L748, 64),"X","")</f>
        <v/>
      </c>
      <c r="V747" s="18" t="str">
        <f>IF(BITWISE_AND('Raw Data'!$L748, 2),"X","")</f>
        <v/>
      </c>
      <c r="W747" s="18" t="str">
        <f>IF(BITWISE_AND('Raw Data'!$L748, 1),"X","")</f>
        <v/>
      </c>
      <c r="X747" s="19" t="str">
        <f>IF(BITWISE_AND('Raw Data'!M748, 1),"Bat Voltage", IF(BITWISE_AND('Raw Data'!M748, 2), "Charge Current", IF(BITWISE_AND('Raw Data'!M748, 4),"Input Ilim", IF(BITWISE_AND('Raw Data'!M748, 8), "Input UV", "none"))))</f>
        <v>none</v>
      </c>
    </row>
    <row r="748" spans="1:24" x14ac:dyDescent="0.2">
      <c r="A748" s="15">
        <f>A747+TIME(0,0,'Raw Data'!B748)</f>
        <v>0</v>
      </c>
      <c r="B748" s="4">
        <f>'Raw Data'!C749*0.025</f>
        <v>0</v>
      </c>
      <c r="C748" s="4">
        <f t="shared" si="36"/>
        <v>0</v>
      </c>
      <c r="D748" s="4">
        <f>'Raw Data'!D749*0.025</f>
        <v>0</v>
      </c>
      <c r="E748" s="4">
        <f t="shared" si="37"/>
        <v>0</v>
      </c>
      <c r="F748" s="4">
        <f>'Raw Data'!E749*0.001648</f>
        <v>0</v>
      </c>
      <c r="G748" s="4">
        <f>'Raw Data'!F749*0.001648</f>
        <v>0</v>
      </c>
      <c r="H748" s="4">
        <f>'Raw Data'!G749*6*0.000128176</f>
        <v>0</v>
      </c>
      <c r="I748" s="4">
        <f>'Raw Data'!H749*0.000732435</f>
        <v>0</v>
      </c>
      <c r="J748" s="4">
        <f t="shared" si="35"/>
        <v>0</v>
      </c>
      <c r="K748" s="36">
        <f>IF(('Raw Data'!I749-16384)/32768&lt;0,0,('Raw Data'!I749-16384)/32768)</f>
        <v>0</v>
      </c>
      <c r="L748" s="4">
        <f>IF(('Raw Data'!J749-12010)/45.6=-263.377192982456,0,('Raw Data'!J749-12010)/45.6)</f>
        <v>0</v>
      </c>
      <c r="M748" s="16">
        <f>'Raw Data'!N749*2^-8</f>
        <v>0</v>
      </c>
      <c r="N748" s="16">
        <f>'Raw Data'!O749*2^-8</f>
        <v>0</v>
      </c>
      <c r="O748" s="17" t="str">
        <f>IF(BITWISE_AND('Raw Data'!$K749, 8192),"X","")</f>
        <v/>
      </c>
      <c r="P748" s="17" t="str">
        <f>IF(BITWISE_AND('Raw Data'!$K749, 2048),"X","")</f>
        <v/>
      </c>
      <c r="Q748" s="17" t="str">
        <f>IF(BITWISE_AND('Raw Data'!$K749, 64),"X","")</f>
        <v/>
      </c>
      <c r="R748" s="18" t="str">
        <f>IF(BITWISE_AND('Raw Data'!$L749, 1024),"X","")</f>
        <v/>
      </c>
      <c r="S748" s="18" t="str">
        <f>IF(BITWISE_AND('Raw Data'!$L749, 512),"X","")</f>
        <v/>
      </c>
      <c r="T748" s="18" t="str">
        <f>IF(BITWISE_AND('Raw Data'!$L749, 256),"X","")</f>
        <v/>
      </c>
      <c r="U748" s="18" t="str">
        <f>IF(BITWISE_AND('Raw Data'!$L749, 64),"X","")</f>
        <v/>
      </c>
      <c r="V748" s="18" t="str">
        <f>IF(BITWISE_AND('Raw Data'!$L749, 2),"X","")</f>
        <v/>
      </c>
      <c r="W748" s="18" t="str">
        <f>IF(BITWISE_AND('Raw Data'!$L749, 1),"X","")</f>
        <v/>
      </c>
      <c r="X748" s="19" t="str">
        <f>IF(BITWISE_AND('Raw Data'!M749, 1),"Bat Voltage", IF(BITWISE_AND('Raw Data'!M749, 2), "Charge Current", IF(BITWISE_AND('Raw Data'!M749, 4),"Input Ilim", IF(BITWISE_AND('Raw Data'!M749, 8), "Input UV", "none"))))</f>
        <v>none</v>
      </c>
    </row>
    <row r="749" spans="1:24" x14ac:dyDescent="0.2">
      <c r="A749" s="15">
        <f>A748+TIME(0,0,'Raw Data'!B749)</f>
        <v>0</v>
      </c>
      <c r="B749" s="4">
        <f>'Raw Data'!C750*0.025</f>
        <v>0</v>
      </c>
      <c r="C749" s="4">
        <f t="shared" si="36"/>
        <v>0</v>
      </c>
      <c r="D749" s="4">
        <f>'Raw Data'!D750*0.025</f>
        <v>0</v>
      </c>
      <c r="E749" s="4">
        <f t="shared" si="37"/>
        <v>0</v>
      </c>
      <c r="F749" s="4">
        <f>'Raw Data'!E750*0.001648</f>
        <v>0</v>
      </c>
      <c r="G749" s="4">
        <f>'Raw Data'!F750*0.001648</f>
        <v>0</v>
      </c>
      <c r="H749" s="4">
        <f>'Raw Data'!G750*6*0.000128176</f>
        <v>0</v>
      </c>
      <c r="I749" s="4">
        <f>'Raw Data'!H750*0.000732435</f>
        <v>0</v>
      </c>
      <c r="J749" s="4">
        <f t="shared" si="35"/>
        <v>0</v>
      </c>
      <c r="K749" s="36">
        <f>IF(('Raw Data'!I750-16384)/32768&lt;0,0,('Raw Data'!I750-16384)/32768)</f>
        <v>0</v>
      </c>
      <c r="L749" s="4">
        <f>IF(('Raw Data'!J750-12010)/45.6=-263.377192982456,0,('Raw Data'!J750-12010)/45.6)</f>
        <v>0</v>
      </c>
      <c r="M749" s="16">
        <f>'Raw Data'!N750*2^-8</f>
        <v>0</v>
      </c>
      <c r="N749" s="16">
        <f>'Raw Data'!O750*2^-8</f>
        <v>0</v>
      </c>
      <c r="O749" s="17" t="str">
        <f>IF(BITWISE_AND('Raw Data'!$K750, 8192),"X","")</f>
        <v/>
      </c>
      <c r="P749" s="17" t="str">
        <f>IF(BITWISE_AND('Raw Data'!$K750, 2048),"X","")</f>
        <v/>
      </c>
      <c r="Q749" s="17" t="str">
        <f>IF(BITWISE_AND('Raw Data'!$K750, 64),"X","")</f>
        <v/>
      </c>
      <c r="R749" s="18" t="str">
        <f>IF(BITWISE_AND('Raw Data'!$L750, 1024),"X","")</f>
        <v/>
      </c>
      <c r="S749" s="18" t="str">
        <f>IF(BITWISE_AND('Raw Data'!$L750, 512),"X","")</f>
        <v/>
      </c>
      <c r="T749" s="18" t="str">
        <f>IF(BITWISE_AND('Raw Data'!$L750, 256),"X","")</f>
        <v/>
      </c>
      <c r="U749" s="18" t="str">
        <f>IF(BITWISE_AND('Raw Data'!$L750, 64),"X","")</f>
        <v/>
      </c>
      <c r="V749" s="18" t="str">
        <f>IF(BITWISE_AND('Raw Data'!$L750, 2),"X","")</f>
        <v/>
      </c>
      <c r="W749" s="18" t="str">
        <f>IF(BITWISE_AND('Raw Data'!$L750, 1),"X","")</f>
        <v/>
      </c>
      <c r="X749" s="19" t="str">
        <f>IF(BITWISE_AND('Raw Data'!M750, 1),"Bat Voltage", IF(BITWISE_AND('Raw Data'!M750, 2), "Charge Current", IF(BITWISE_AND('Raw Data'!M750, 4),"Input Ilim", IF(BITWISE_AND('Raw Data'!M750, 8), "Input UV", "none"))))</f>
        <v>none</v>
      </c>
    </row>
    <row r="750" spans="1:24" x14ac:dyDescent="0.2">
      <c r="A750" s="15">
        <f>A749+TIME(0,0,'Raw Data'!B750)</f>
        <v>0</v>
      </c>
      <c r="B750" s="4">
        <f>'Raw Data'!C751*0.025</f>
        <v>0</v>
      </c>
      <c r="C750" s="4">
        <f t="shared" si="36"/>
        <v>0</v>
      </c>
      <c r="D750" s="4">
        <f>'Raw Data'!D751*0.025</f>
        <v>0</v>
      </c>
      <c r="E750" s="4">
        <f t="shared" si="37"/>
        <v>0</v>
      </c>
      <c r="F750" s="4">
        <f>'Raw Data'!E751*0.001648</f>
        <v>0</v>
      </c>
      <c r="G750" s="4">
        <f>'Raw Data'!F751*0.001648</f>
        <v>0</v>
      </c>
      <c r="H750" s="4">
        <f>'Raw Data'!G751*6*0.000128176</f>
        <v>0</v>
      </c>
      <c r="I750" s="4">
        <f>'Raw Data'!H751*0.000732435</f>
        <v>0</v>
      </c>
      <c r="J750" s="4">
        <f t="shared" si="35"/>
        <v>0</v>
      </c>
      <c r="K750" s="36">
        <f>IF(('Raw Data'!I751-16384)/32768&lt;0,0,('Raw Data'!I751-16384)/32768)</f>
        <v>0</v>
      </c>
      <c r="L750" s="4">
        <f>IF(('Raw Data'!J751-12010)/45.6=-263.377192982456,0,('Raw Data'!J751-12010)/45.6)</f>
        <v>0</v>
      </c>
      <c r="M750" s="16">
        <f>'Raw Data'!N751*2^-8</f>
        <v>0</v>
      </c>
      <c r="N750" s="16">
        <f>'Raw Data'!O751*2^-8</f>
        <v>0</v>
      </c>
      <c r="O750" s="17" t="str">
        <f>IF(BITWISE_AND('Raw Data'!$K751, 8192),"X","")</f>
        <v/>
      </c>
      <c r="P750" s="17" t="str">
        <f>IF(BITWISE_AND('Raw Data'!$K751, 2048),"X","")</f>
        <v/>
      </c>
      <c r="Q750" s="17" t="str">
        <f>IF(BITWISE_AND('Raw Data'!$K751, 64),"X","")</f>
        <v/>
      </c>
      <c r="R750" s="18" t="str">
        <f>IF(BITWISE_AND('Raw Data'!$L751, 1024),"X","")</f>
        <v/>
      </c>
      <c r="S750" s="18" t="str">
        <f>IF(BITWISE_AND('Raw Data'!$L751, 512),"X","")</f>
        <v/>
      </c>
      <c r="T750" s="18" t="str">
        <f>IF(BITWISE_AND('Raw Data'!$L751, 256),"X","")</f>
        <v/>
      </c>
      <c r="U750" s="18" t="str">
        <f>IF(BITWISE_AND('Raw Data'!$L751, 64),"X","")</f>
        <v/>
      </c>
      <c r="V750" s="18" t="str">
        <f>IF(BITWISE_AND('Raw Data'!$L751, 2),"X","")</f>
        <v/>
      </c>
      <c r="W750" s="18" t="str">
        <f>IF(BITWISE_AND('Raw Data'!$L751, 1),"X","")</f>
        <v/>
      </c>
      <c r="X750" s="19" t="str">
        <f>IF(BITWISE_AND('Raw Data'!M751, 1),"Bat Voltage", IF(BITWISE_AND('Raw Data'!M751, 2), "Charge Current", IF(BITWISE_AND('Raw Data'!M751, 4),"Input Ilim", IF(BITWISE_AND('Raw Data'!M751, 8), "Input UV", "none"))))</f>
        <v>none</v>
      </c>
    </row>
    <row r="751" spans="1:24" x14ac:dyDescent="0.2">
      <c r="A751" s="15">
        <f>A750+TIME(0,0,'Raw Data'!B751)</f>
        <v>0</v>
      </c>
      <c r="B751" s="4">
        <f>'Raw Data'!C752*0.025</f>
        <v>0</v>
      </c>
      <c r="C751" s="4">
        <f t="shared" si="36"/>
        <v>0</v>
      </c>
      <c r="D751" s="4">
        <f>'Raw Data'!D752*0.025</f>
        <v>0</v>
      </c>
      <c r="E751" s="4">
        <f t="shared" si="37"/>
        <v>0</v>
      </c>
      <c r="F751" s="4">
        <f>'Raw Data'!E752*0.001648</f>
        <v>0</v>
      </c>
      <c r="G751" s="4">
        <f>'Raw Data'!F752*0.001648</f>
        <v>0</v>
      </c>
      <c r="H751" s="4">
        <f>'Raw Data'!G752*6*0.000128176</f>
        <v>0</v>
      </c>
      <c r="I751" s="4">
        <f>'Raw Data'!H752*0.000732435</f>
        <v>0</v>
      </c>
      <c r="J751" s="4">
        <f t="shared" si="35"/>
        <v>0</v>
      </c>
      <c r="K751" s="36">
        <f>IF(('Raw Data'!I752-16384)/32768&lt;0,0,('Raw Data'!I752-16384)/32768)</f>
        <v>0</v>
      </c>
      <c r="L751" s="4">
        <f>IF(('Raw Data'!J752-12010)/45.6=-263.377192982456,0,('Raw Data'!J752-12010)/45.6)</f>
        <v>0</v>
      </c>
      <c r="M751" s="16">
        <f>'Raw Data'!N752*2^-8</f>
        <v>0</v>
      </c>
      <c r="N751" s="16">
        <f>'Raw Data'!O752*2^-8</f>
        <v>0</v>
      </c>
      <c r="O751" s="17" t="str">
        <f>IF(BITWISE_AND('Raw Data'!$K752, 8192),"X","")</f>
        <v/>
      </c>
      <c r="P751" s="17" t="str">
        <f>IF(BITWISE_AND('Raw Data'!$K752, 2048),"X","")</f>
        <v/>
      </c>
      <c r="Q751" s="17" t="str">
        <f>IF(BITWISE_AND('Raw Data'!$K752, 64),"X","")</f>
        <v/>
      </c>
      <c r="R751" s="18" t="str">
        <f>IF(BITWISE_AND('Raw Data'!$L752, 1024),"X","")</f>
        <v/>
      </c>
      <c r="S751" s="18" t="str">
        <f>IF(BITWISE_AND('Raw Data'!$L752, 512),"X","")</f>
        <v/>
      </c>
      <c r="T751" s="18" t="str">
        <f>IF(BITWISE_AND('Raw Data'!$L752, 256),"X","")</f>
        <v/>
      </c>
      <c r="U751" s="18" t="str">
        <f>IF(BITWISE_AND('Raw Data'!$L752, 64),"X","")</f>
        <v/>
      </c>
      <c r="V751" s="18" t="str">
        <f>IF(BITWISE_AND('Raw Data'!$L752, 2),"X","")</f>
        <v/>
      </c>
      <c r="W751" s="18" t="str">
        <f>IF(BITWISE_AND('Raw Data'!$L752, 1),"X","")</f>
        <v/>
      </c>
      <c r="X751" s="19" t="str">
        <f>IF(BITWISE_AND('Raw Data'!M752, 1),"Bat Voltage", IF(BITWISE_AND('Raw Data'!M752, 2), "Charge Current", IF(BITWISE_AND('Raw Data'!M752, 4),"Input Ilim", IF(BITWISE_AND('Raw Data'!M752, 8), "Input UV", "none"))))</f>
        <v>none</v>
      </c>
    </row>
    <row r="752" spans="1:24" x14ac:dyDescent="0.2">
      <c r="A752" s="15">
        <f>A751+TIME(0,0,'Raw Data'!B752)</f>
        <v>0</v>
      </c>
      <c r="B752" s="4">
        <f>'Raw Data'!C753*0.025</f>
        <v>0</v>
      </c>
      <c r="C752" s="4">
        <f t="shared" si="36"/>
        <v>0</v>
      </c>
      <c r="D752" s="4">
        <f>'Raw Data'!D753*0.025</f>
        <v>0</v>
      </c>
      <c r="E752" s="4">
        <f t="shared" si="37"/>
        <v>0</v>
      </c>
      <c r="F752" s="4">
        <f>'Raw Data'!E753*0.001648</f>
        <v>0</v>
      </c>
      <c r="G752" s="4">
        <f>'Raw Data'!F753*0.001648</f>
        <v>0</v>
      </c>
      <c r="H752" s="4">
        <f>'Raw Data'!G753*6*0.000128176</f>
        <v>0</v>
      </c>
      <c r="I752" s="4">
        <f>'Raw Data'!H753*0.000732435</f>
        <v>0</v>
      </c>
      <c r="J752" s="4">
        <f t="shared" si="35"/>
        <v>0</v>
      </c>
      <c r="K752" s="36">
        <f>IF(('Raw Data'!I753-16384)/32768&lt;0,0,('Raw Data'!I753-16384)/32768)</f>
        <v>0</v>
      </c>
      <c r="L752" s="4">
        <f>IF(('Raw Data'!J753-12010)/45.6=-263.377192982456,0,('Raw Data'!J753-12010)/45.6)</f>
        <v>0</v>
      </c>
      <c r="M752" s="16">
        <f>'Raw Data'!N753*2^-8</f>
        <v>0</v>
      </c>
      <c r="N752" s="16">
        <f>'Raw Data'!O753*2^-8</f>
        <v>0</v>
      </c>
      <c r="O752" s="17" t="str">
        <f>IF(BITWISE_AND('Raw Data'!$K753, 8192),"X","")</f>
        <v/>
      </c>
      <c r="P752" s="17" t="str">
        <f>IF(BITWISE_AND('Raw Data'!$K753, 2048),"X","")</f>
        <v/>
      </c>
      <c r="Q752" s="17" t="str">
        <f>IF(BITWISE_AND('Raw Data'!$K753, 64),"X","")</f>
        <v/>
      </c>
      <c r="R752" s="18" t="str">
        <f>IF(BITWISE_AND('Raw Data'!$L753, 1024),"X","")</f>
        <v/>
      </c>
      <c r="S752" s="18" t="str">
        <f>IF(BITWISE_AND('Raw Data'!$L753, 512),"X","")</f>
        <v/>
      </c>
      <c r="T752" s="18" t="str">
        <f>IF(BITWISE_AND('Raw Data'!$L753, 256),"X","")</f>
        <v/>
      </c>
      <c r="U752" s="18" t="str">
        <f>IF(BITWISE_AND('Raw Data'!$L753, 64),"X","")</f>
        <v/>
      </c>
      <c r="V752" s="18" t="str">
        <f>IF(BITWISE_AND('Raw Data'!$L753, 2),"X","")</f>
        <v/>
      </c>
      <c r="W752" s="18" t="str">
        <f>IF(BITWISE_AND('Raw Data'!$L753, 1),"X","")</f>
        <v/>
      </c>
      <c r="X752" s="19" t="str">
        <f>IF(BITWISE_AND('Raw Data'!M753, 1),"Bat Voltage", IF(BITWISE_AND('Raw Data'!M753, 2), "Charge Current", IF(BITWISE_AND('Raw Data'!M753, 4),"Input Ilim", IF(BITWISE_AND('Raw Data'!M753, 8), "Input UV", "none"))))</f>
        <v>none</v>
      </c>
    </row>
    <row r="753" spans="1:24" x14ac:dyDescent="0.2">
      <c r="A753" s="15">
        <f>A752+TIME(0,0,'Raw Data'!B753)</f>
        <v>0</v>
      </c>
      <c r="B753" s="4">
        <f>'Raw Data'!C754*0.025</f>
        <v>0</v>
      </c>
      <c r="C753" s="4">
        <f t="shared" si="36"/>
        <v>0</v>
      </c>
      <c r="D753" s="4">
        <f>'Raw Data'!D754*0.025</f>
        <v>0</v>
      </c>
      <c r="E753" s="4">
        <f t="shared" si="37"/>
        <v>0</v>
      </c>
      <c r="F753" s="4">
        <f>'Raw Data'!E754*0.001648</f>
        <v>0</v>
      </c>
      <c r="G753" s="4">
        <f>'Raw Data'!F754*0.001648</f>
        <v>0</v>
      </c>
      <c r="H753" s="4">
        <f>'Raw Data'!G754*6*0.000128176</f>
        <v>0</v>
      </c>
      <c r="I753" s="4">
        <f>'Raw Data'!H754*0.000732435</f>
        <v>0</v>
      </c>
      <c r="J753" s="4">
        <f t="shared" si="35"/>
        <v>0</v>
      </c>
      <c r="K753" s="36">
        <f>IF(('Raw Data'!I754-16384)/32768&lt;0,0,('Raw Data'!I754-16384)/32768)</f>
        <v>0</v>
      </c>
      <c r="L753" s="4">
        <f>IF(('Raw Data'!J754-12010)/45.6=-263.377192982456,0,('Raw Data'!J754-12010)/45.6)</f>
        <v>0</v>
      </c>
      <c r="M753" s="16">
        <f>'Raw Data'!N754*2^-8</f>
        <v>0</v>
      </c>
      <c r="N753" s="16">
        <f>'Raw Data'!O754*2^-8</f>
        <v>0</v>
      </c>
      <c r="O753" s="17" t="str">
        <f>IF(BITWISE_AND('Raw Data'!$K754, 8192),"X","")</f>
        <v/>
      </c>
      <c r="P753" s="17" t="str">
        <f>IF(BITWISE_AND('Raw Data'!$K754, 2048),"X","")</f>
        <v/>
      </c>
      <c r="Q753" s="17" t="str">
        <f>IF(BITWISE_AND('Raw Data'!$K754, 64),"X","")</f>
        <v/>
      </c>
      <c r="R753" s="18" t="str">
        <f>IF(BITWISE_AND('Raw Data'!$L754, 1024),"X","")</f>
        <v/>
      </c>
      <c r="S753" s="18" t="str">
        <f>IF(BITWISE_AND('Raw Data'!$L754, 512),"X","")</f>
        <v/>
      </c>
      <c r="T753" s="18" t="str">
        <f>IF(BITWISE_AND('Raw Data'!$L754, 256),"X","")</f>
        <v/>
      </c>
      <c r="U753" s="18" t="str">
        <f>IF(BITWISE_AND('Raw Data'!$L754, 64),"X","")</f>
        <v/>
      </c>
      <c r="V753" s="18" t="str">
        <f>IF(BITWISE_AND('Raw Data'!$L754, 2),"X","")</f>
        <v/>
      </c>
      <c r="W753" s="18" t="str">
        <f>IF(BITWISE_AND('Raw Data'!$L754, 1),"X","")</f>
        <v/>
      </c>
      <c r="X753" s="19" t="str">
        <f>IF(BITWISE_AND('Raw Data'!M754, 1),"Bat Voltage", IF(BITWISE_AND('Raw Data'!M754, 2), "Charge Current", IF(BITWISE_AND('Raw Data'!M754, 4),"Input Ilim", IF(BITWISE_AND('Raw Data'!M754, 8), "Input UV", "none"))))</f>
        <v>none</v>
      </c>
    </row>
    <row r="754" spans="1:24" x14ac:dyDescent="0.2">
      <c r="A754" s="15">
        <f>A753+TIME(0,0,'Raw Data'!B754)</f>
        <v>0</v>
      </c>
      <c r="B754" s="4">
        <f>'Raw Data'!C755*0.025</f>
        <v>0</v>
      </c>
      <c r="C754" s="4">
        <f t="shared" si="36"/>
        <v>0</v>
      </c>
      <c r="D754" s="4">
        <f>'Raw Data'!D755*0.025</f>
        <v>0</v>
      </c>
      <c r="E754" s="4">
        <f t="shared" si="37"/>
        <v>0</v>
      </c>
      <c r="F754" s="4">
        <f>'Raw Data'!E755*0.001648</f>
        <v>0</v>
      </c>
      <c r="G754" s="4">
        <f>'Raw Data'!F755*0.001648</f>
        <v>0</v>
      </c>
      <c r="H754" s="4">
        <f>'Raw Data'!G755*6*0.000128176</f>
        <v>0</v>
      </c>
      <c r="I754" s="4">
        <f>'Raw Data'!H755*0.000732435</f>
        <v>0</v>
      </c>
      <c r="J754" s="4">
        <f t="shared" si="35"/>
        <v>0</v>
      </c>
      <c r="K754" s="36">
        <f>IF(('Raw Data'!I755-16384)/32768&lt;0,0,('Raw Data'!I755-16384)/32768)</f>
        <v>0</v>
      </c>
      <c r="L754" s="4">
        <f>IF(('Raw Data'!J755-12010)/45.6=-263.377192982456,0,('Raw Data'!J755-12010)/45.6)</f>
        <v>0</v>
      </c>
      <c r="M754" s="16">
        <f>'Raw Data'!N755*2^-8</f>
        <v>0</v>
      </c>
      <c r="N754" s="16">
        <f>'Raw Data'!O755*2^-8</f>
        <v>0</v>
      </c>
      <c r="O754" s="17" t="str">
        <f>IF(BITWISE_AND('Raw Data'!$K755, 8192),"X","")</f>
        <v/>
      </c>
      <c r="P754" s="17" t="str">
        <f>IF(BITWISE_AND('Raw Data'!$K755, 2048),"X","")</f>
        <v/>
      </c>
      <c r="Q754" s="17" t="str">
        <f>IF(BITWISE_AND('Raw Data'!$K755, 64),"X","")</f>
        <v/>
      </c>
      <c r="R754" s="18" t="str">
        <f>IF(BITWISE_AND('Raw Data'!$L755, 1024),"X","")</f>
        <v/>
      </c>
      <c r="S754" s="18" t="str">
        <f>IF(BITWISE_AND('Raw Data'!$L755, 512),"X","")</f>
        <v/>
      </c>
      <c r="T754" s="18" t="str">
        <f>IF(BITWISE_AND('Raw Data'!$L755, 256),"X","")</f>
        <v/>
      </c>
      <c r="U754" s="18" t="str">
        <f>IF(BITWISE_AND('Raw Data'!$L755, 64),"X","")</f>
        <v/>
      </c>
      <c r="V754" s="18" t="str">
        <f>IF(BITWISE_AND('Raw Data'!$L755, 2),"X","")</f>
        <v/>
      </c>
      <c r="W754" s="18" t="str">
        <f>IF(BITWISE_AND('Raw Data'!$L755, 1),"X","")</f>
        <v/>
      </c>
      <c r="X754" s="19" t="str">
        <f>IF(BITWISE_AND('Raw Data'!M755, 1),"Bat Voltage", IF(BITWISE_AND('Raw Data'!M755, 2), "Charge Current", IF(BITWISE_AND('Raw Data'!M755, 4),"Input Ilim", IF(BITWISE_AND('Raw Data'!M755, 8), "Input UV", "none"))))</f>
        <v>none</v>
      </c>
    </row>
    <row r="755" spans="1:24" x14ac:dyDescent="0.2">
      <c r="A755" s="15">
        <f>A754+TIME(0,0,'Raw Data'!B755)</f>
        <v>0</v>
      </c>
      <c r="B755" s="4">
        <f>'Raw Data'!C756*0.025</f>
        <v>0</v>
      </c>
      <c r="C755" s="4">
        <f t="shared" si="36"/>
        <v>0</v>
      </c>
      <c r="D755" s="4">
        <f>'Raw Data'!D756*0.025</f>
        <v>0</v>
      </c>
      <c r="E755" s="4">
        <f t="shared" si="37"/>
        <v>0</v>
      </c>
      <c r="F755" s="4">
        <f>'Raw Data'!E756*0.001648</f>
        <v>0</v>
      </c>
      <c r="G755" s="4">
        <f>'Raw Data'!F756*0.001648</f>
        <v>0</v>
      </c>
      <c r="H755" s="4">
        <f>'Raw Data'!G756*6*0.000128176</f>
        <v>0</v>
      </c>
      <c r="I755" s="4">
        <f>'Raw Data'!H756*0.000732435</f>
        <v>0</v>
      </c>
      <c r="J755" s="4">
        <f t="shared" si="35"/>
        <v>0</v>
      </c>
      <c r="K755" s="36">
        <f>IF(('Raw Data'!I756-16384)/32768&lt;0,0,('Raw Data'!I756-16384)/32768)</f>
        <v>0</v>
      </c>
      <c r="L755" s="4">
        <f>IF(('Raw Data'!J756-12010)/45.6=-263.377192982456,0,('Raw Data'!J756-12010)/45.6)</f>
        <v>0</v>
      </c>
      <c r="M755" s="16">
        <f>'Raw Data'!N756*2^-8</f>
        <v>0</v>
      </c>
      <c r="N755" s="16">
        <f>'Raw Data'!O756*2^-8</f>
        <v>0</v>
      </c>
      <c r="O755" s="17" t="str">
        <f>IF(BITWISE_AND('Raw Data'!$K756, 8192),"X","")</f>
        <v/>
      </c>
      <c r="P755" s="17" t="str">
        <f>IF(BITWISE_AND('Raw Data'!$K756, 2048),"X","")</f>
        <v/>
      </c>
      <c r="Q755" s="17" t="str">
        <f>IF(BITWISE_AND('Raw Data'!$K756, 64),"X","")</f>
        <v/>
      </c>
      <c r="R755" s="18" t="str">
        <f>IF(BITWISE_AND('Raw Data'!$L756, 1024),"X","")</f>
        <v/>
      </c>
      <c r="S755" s="18" t="str">
        <f>IF(BITWISE_AND('Raw Data'!$L756, 512),"X","")</f>
        <v/>
      </c>
      <c r="T755" s="18" t="str">
        <f>IF(BITWISE_AND('Raw Data'!$L756, 256),"X","")</f>
        <v/>
      </c>
      <c r="U755" s="18" t="str">
        <f>IF(BITWISE_AND('Raw Data'!$L756, 64),"X","")</f>
        <v/>
      </c>
      <c r="V755" s="18" t="str">
        <f>IF(BITWISE_AND('Raw Data'!$L756, 2),"X","")</f>
        <v/>
      </c>
      <c r="W755" s="18" t="str">
        <f>IF(BITWISE_AND('Raw Data'!$L756, 1),"X","")</f>
        <v/>
      </c>
      <c r="X755" s="19" t="str">
        <f>IF(BITWISE_AND('Raw Data'!M756, 1),"Bat Voltage", IF(BITWISE_AND('Raw Data'!M756, 2), "Charge Current", IF(BITWISE_AND('Raw Data'!M756, 4),"Input Ilim", IF(BITWISE_AND('Raw Data'!M756, 8), "Input UV", "none"))))</f>
        <v>none</v>
      </c>
    </row>
    <row r="756" spans="1:24" x14ac:dyDescent="0.2">
      <c r="A756" s="15">
        <f>A755+TIME(0,0,'Raw Data'!B756)</f>
        <v>0</v>
      </c>
      <c r="B756" s="4">
        <f>'Raw Data'!C757*0.025</f>
        <v>0</v>
      </c>
      <c r="C756" s="4">
        <f t="shared" si="36"/>
        <v>0</v>
      </c>
      <c r="D756" s="4">
        <f>'Raw Data'!D757*0.025</f>
        <v>0</v>
      </c>
      <c r="E756" s="4">
        <f t="shared" si="37"/>
        <v>0</v>
      </c>
      <c r="F756" s="4">
        <f>'Raw Data'!E757*0.001648</f>
        <v>0</v>
      </c>
      <c r="G756" s="4">
        <f>'Raw Data'!F757*0.001648</f>
        <v>0</v>
      </c>
      <c r="H756" s="4">
        <f>'Raw Data'!G757*6*0.000128176</f>
        <v>0</v>
      </c>
      <c r="I756" s="4">
        <f>'Raw Data'!H757*0.000732435</f>
        <v>0</v>
      </c>
      <c r="J756" s="4">
        <f t="shared" si="35"/>
        <v>0</v>
      </c>
      <c r="K756" s="36">
        <f>IF(('Raw Data'!I757-16384)/32768&lt;0,0,('Raw Data'!I757-16384)/32768)</f>
        <v>0</v>
      </c>
      <c r="L756" s="4">
        <f>IF(('Raw Data'!J757-12010)/45.6=-263.377192982456,0,('Raw Data'!J757-12010)/45.6)</f>
        <v>0</v>
      </c>
      <c r="M756" s="16">
        <f>'Raw Data'!N757*2^-8</f>
        <v>0</v>
      </c>
      <c r="N756" s="16">
        <f>'Raw Data'!O757*2^-8</f>
        <v>0</v>
      </c>
      <c r="O756" s="17" t="str">
        <f>IF(BITWISE_AND('Raw Data'!$K757, 8192),"X","")</f>
        <v/>
      </c>
      <c r="P756" s="17" t="str">
        <f>IF(BITWISE_AND('Raw Data'!$K757, 2048),"X","")</f>
        <v/>
      </c>
      <c r="Q756" s="17" t="str">
        <f>IF(BITWISE_AND('Raw Data'!$K757, 64),"X","")</f>
        <v/>
      </c>
      <c r="R756" s="18" t="str">
        <f>IF(BITWISE_AND('Raw Data'!$L757, 1024),"X","")</f>
        <v/>
      </c>
      <c r="S756" s="18" t="str">
        <f>IF(BITWISE_AND('Raw Data'!$L757, 512),"X","")</f>
        <v/>
      </c>
      <c r="T756" s="18" t="str">
        <f>IF(BITWISE_AND('Raw Data'!$L757, 256),"X","")</f>
        <v/>
      </c>
      <c r="U756" s="18" t="str">
        <f>IF(BITWISE_AND('Raw Data'!$L757, 64),"X","")</f>
        <v/>
      </c>
      <c r="V756" s="18" t="str">
        <f>IF(BITWISE_AND('Raw Data'!$L757, 2),"X","")</f>
        <v/>
      </c>
      <c r="W756" s="18" t="str">
        <f>IF(BITWISE_AND('Raw Data'!$L757, 1),"X","")</f>
        <v/>
      </c>
      <c r="X756" s="19" t="str">
        <f>IF(BITWISE_AND('Raw Data'!M757, 1),"Bat Voltage", IF(BITWISE_AND('Raw Data'!M757, 2), "Charge Current", IF(BITWISE_AND('Raw Data'!M757, 4),"Input Ilim", IF(BITWISE_AND('Raw Data'!M757, 8), "Input UV", "none"))))</f>
        <v>none</v>
      </c>
    </row>
    <row r="757" spans="1:24" x14ac:dyDescent="0.2">
      <c r="A757" s="15">
        <f>A756+TIME(0,0,'Raw Data'!B757)</f>
        <v>0</v>
      </c>
      <c r="B757" s="4">
        <f>'Raw Data'!C758*0.025</f>
        <v>0</v>
      </c>
      <c r="C757" s="4">
        <f t="shared" si="36"/>
        <v>0</v>
      </c>
      <c r="D757" s="4">
        <f>'Raw Data'!D758*0.025</f>
        <v>0</v>
      </c>
      <c r="E757" s="4">
        <f t="shared" si="37"/>
        <v>0</v>
      </c>
      <c r="F757" s="4">
        <f>'Raw Data'!E758*0.001648</f>
        <v>0</v>
      </c>
      <c r="G757" s="4">
        <f>'Raw Data'!F758*0.001648</f>
        <v>0</v>
      </c>
      <c r="H757" s="4">
        <f>'Raw Data'!G758*6*0.000128176</f>
        <v>0</v>
      </c>
      <c r="I757" s="4">
        <f>'Raw Data'!H758*0.000732435</f>
        <v>0</v>
      </c>
      <c r="J757" s="4">
        <f t="shared" si="35"/>
        <v>0</v>
      </c>
      <c r="K757" s="36">
        <f>IF(('Raw Data'!I758-16384)/32768&lt;0,0,('Raw Data'!I758-16384)/32768)</f>
        <v>0</v>
      </c>
      <c r="L757" s="4">
        <f>IF(('Raw Data'!J758-12010)/45.6=-263.377192982456,0,('Raw Data'!J758-12010)/45.6)</f>
        <v>0</v>
      </c>
      <c r="M757" s="16">
        <f>'Raw Data'!N758*2^-8</f>
        <v>0</v>
      </c>
      <c r="N757" s="16">
        <f>'Raw Data'!O758*2^-8</f>
        <v>0</v>
      </c>
      <c r="O757" s="17" t="str">
        <f>IF(BITWISE_AND('Raw Data'!$K758, 8192),"X","")</f>
        <v/>
      </c>
      <c r="P757" s="17" t="str">
        <f>IF(BITWISE_AND('Raw Data'!$K758, 2048),"X","")</f>
        <v/>
      </c>
      <c r="Q757" s="17" t="str">
        <f>IF(BITWISE_AND('Raw Data'!$K758, 64),"X","")</f>
        <v/>
      </c>
      <c r="R757" s="18" t="str">
        <f>IF(BITWISE_AND('Raw Data'!$L758, 1024),"X","")</f>
        <v/>
      </c>
      <c r="S757" s="18" t="str">
        <f>IF(BITWISE_AND('Raw Data'!$L758, 512),"X","")</f>
        <v/>
      </c>
      <c r="T757" s="18" t="str">
        <f>IF(BITWISE_AND('Raw Data'!$L758, 256),"X","")</f>
        <v/>
      </c>
      <c r="U757" s="18" t="str">
        <f>IF(BITWISE_AND('Raw Data'!$L758, 64),"X","")</f>
        <v/>
      </c>
      <c r="V757" s="18" t="str">
        <f>IF(BITWISE_AND('Raw Data'!$L758, 2),"X","")</f>
        <v/>
      </c>
      <c r="W757" s="18" t="str">
        <f>IF(BITWISE_AND('Raw Data'!$L758, 1),"X","")</f>
        <v/>
      </c>
      <c r="X757" s="19" t="str">
        <f>IF(BITWISE_AND('Raw Data'!M758, 1),"Bat Voltage", IF(BITWISE_AND('Raw Data'!M758, 2), "Charge Current", IF(BITWISE_AND('Raw Data'!M758, 4),"Input Ilim", IF(BITWISE_AND('Raw Data'!M758, 8), "Input UV", "none"))))</f>
        <v>none</v>
      </c>
    </row>
    <row r="758" spans="1:24" x14ac:dyDescent="0.2">
      <c r="A758" s="15">
        <f>A757+TIME(0,0,'Raw Data'!B758)</f>
        <v>0</v>
      </c>
      <c r="B758" s="4">
        <f>'Raw Data'!C759*0.025</f>
        <v>0</v>
      </c>
      <c r="C758" s="4">
        <f t="shared" si="36"/>
        <v>0</v>
      </c>
      <c r="D758" s="4">
        <f>'Raw Data'!D759*0.025</f>
        <v>0</v>
      </c>
      <c r="E758" s="4">
        <f t="shared" si="37"/>
        <v>0</v>
      </c>
      <c r="F758" s="4">
        <f>'Raw Data'!E759*0.001648</f>
        <v>0</v>
      </c>
      <c r="G758" s="4">
        <f>'Raw Data'!F759*0.001648</f>
        <v>0</v>
      </c>
      <c r="H758" s="4">
        <f>'Raw Data'!G759*6*0.000128176</f>
        <v>0</v>
      </c>
      <c r="I758" s="4">
        <f>'Raw Data'!H759*0.000732435</f>
        <v>0</v>
      </c>
      <c r="J758" s="4">
        <f t="shared" si="35"/>
        <v>0</v>
      </c>
      <c r="K758" s="36">
        <f>IF(('Raw Data'!I759-16384)/32768&lt;0,0,('Raw Data'!I759-16384)/32768)</f>
        <v>0</v>
      </c>
      <c r="L758" s="4">
        <f>IF(('Raw Data'!J759-12010)/45.6=-263.377192982456,0,('Raw Data'!J759-12010)/45.6)</f>
        <v>0</v>
      </c>
      <c r="M758" s="16">
        <f>'Raw Data'!N759*2^-8</f>
        <v>0</v>
      </c>
      <c r="N758" s="16">
        <f>'Raw Data'!O759*2^-8</f>
        <v>0</v>
      </c>
      <c r="O758" s="17" t="str">
        <f>IF(BITWISE_AND('Raw Data'!$K759, 8192),"X","")</f>
        <v/>
      </c>
      <c r="P758" s="17" t="str">
        <f>IF(BITWISE_AND('Raw Data'!$K759, 2048),"X","")</f>
        <v/>
      </c>
      <c r="Q758" s="17" t="str">
        <f>IF(BITWISE_AND('Raw Data'!$K759, 64),"X","")</f>
        <v/>
      </c>
      <c r="R758" s="18" t="str">
        <f>IF(BITWISE_AND('Raw Data'!$L759, 1024),"X","")</f>
        <v/>
      </c>
      <c r="S758" s="18" t="str">
        <f>IF(BITWISE_AND('Raw Data'!$L759, 512),"X","")</f>
        <v/>
      </c>
      <c r="T758" s="18" t="str">
        <f>IF(BITWISE_AND('Raw Data'!$L759, 256),"X","")</f>
        <v/>
      </c>
      <c r="U758" s="18" t="str">
        <f>IF(BITWISE_AND('Raw Data'!$L759, 64),"X","")</f>
        <v/>
      </c>
      <c r="V758" s="18" t="str">
        <f>IF(BITWISE_AND('Raw Data'!$L759, 2),"X","")</f>
        <v/>
      </c>
      <c r="W758" s="18" t="str">
        <f>IF(BITWISE_AND('Raw Data'!$L759, 1),"X","")</f>
        <v/>
      </c>
      <c r="X758" s="19" t="str">
        <f>IF(BITWISE_AND('Raw Data'!M759, 1),"Bat Voltage", IF(BITWISE_AND('Raw Data'!M759, 2), "Charge Current", IF(BITWISE_AND('Raw Data'!M759, 4),"Input Ilim", IF(BITWISE_AND('Raw Data'!M759, 8), "Input UV", "none"))))</f>
        <v>none</v>
      </c>
    </row>
    <row r="759" spans="1:24" x14ac:dyDescent="0.2">
      <c r="A759" s="15">
        <f>A758+TIME(0,0,'Raw Data'!B759)</f>
        <v>0</v>
      </c>
      <c r="B759" s="4">
        <f>'Raw Data'!C760*0.025</f>
        <v>0</v>
      </c>
      <c r="C759" s="4">
        <f t="shared" si="36"/>
        <v>0</v>
      </c>
      <c r="D759" s="4">
        <f>'Raw Data'!D760*0.025</f>
        <v>0</v>
      </c>
      <c r="E759" s="4">
        <f t="shared" si="37"/>
        <v>0</v>
      </c>
      <c r="F759" s="4">
        <f>'Raw Data'!E760*0.001648</f>
        <v>0</v>
      </c>
      <c r="G759" s="4">
        <f>'Raw Data'!F760*0.001648</f>
        <v>0</v>
      </c>
      <c r="H759" s="4">
        <f>'Raw Data'!G760*6*0.000128176</f>
        <v>0</v>
      </c>
      <c r="I759" s="4">
        <f>'Raw Data'!H760*0.000732435</f>
        <v>0</v>
      </c>
      <c r="J759" s="4">
        <f t="shared" si="35"/>
        <v>0</v>
      </c>
      <c r="K759" s="36">
        <f>IF(('Raw Data'!I760-16384)/32768&lt;0,0,('Raw Data'!I760-16384)/32768)</f>
        <v>0</v>
      </c>
      <c r="L759" s="4">
        <f>IF(('Raw Data'!J760-12010)/45.6=-263.377192982456,0,('Raw Data'!J760-12010)/45.6)</f>
        <v>0</v>
      </c>
      <c r="M759" s="16">
        <f>'Raw Data'!N760*2^-8</f>
        <v>0</v>
      </c>
      <c r="N759" s="16">
        <f>'Raw Data'!O760*2^-8</f>
        <v>0</v>
      </c>
      <c r="O759" s="17" t="str">
        <f>IF(BITWISE_AND('Raw Data'!$K760, 8192),"X","")</f>
        <v/>
      </c>
      <c r="P759" s="17" t="str">
        <f>IF(BITWISE_AND('Raw Data'!$K760, 2048),"X","")</f>
        <v/>
      </c>
      <c r="Q759" s="17" t="str">
        <f>IF(BITWISE_AND('Raw Data'!$K760, 64),"X","")</f>
        <v/>
      </c>
      <c r="R759" s="18" t="str">
        <f>IF(BITWISE_AND('Raw Data'!$L760, 1024),"X","")</f>
        <v/>
      </c>
      <c r="S759" s="18" t="str">
        <f>IF(BITWISE_AND('Raw Data'!$L760, 512),"X","")</f>
        <v/>
      </c>
      <c r="T759" s="18" t="str">
        <f>IF(BITWISE_AND('Raw Data'!$L760, 256),"X","")</f>
        <v/>
      </c>
      <c r="U759" s="18" t="str">
        <f>IF(BITWISE_AND('Raw Data'!$L760, 64),"X","")</f>
        <v/>
      </c>
      <c r="V759" s="18" t="str">
        <f>IF(BITWISE_AND('Raw Data'!$L760, 2),"X","")</f>
        <v/>
      </c>
      <c r="W759" s="18" t="str">
        <f>IF(BITWISE_AND('Raw Data'!$L760, 1),"X","")</f>
        <v/>
      </c>
      <c r="X759" s="19" t="str">
        <f>IF(BITWISE_AND('Raw Data'!M760, 1),"Bat Voltage", IF(BITWISE_AND('Raw Data'!M760, 2), "Charge Current", IF(BITWISE_AND('Raw Data'!M760, 4),"Input Ilim", IF(BITWISE_AND('Raw Data'!M760, 8), "Input UV", "none"))))</f>
        <v>none</v>
      </c>
    </row>
    <row r="760" spans="1:24" x14ac:dyDescent="0.2">
      <c r="A760" s="15">
        <f>A759+TIME(0,0,'Raw Data'!B760)</f>
        <v>0</v>
      </c>
      <c r="B760" s="4">
        <f>'Raw Data'!C761*0.025</f>
        <v>0</v>
      </c>
      <c r="C760" s="4">
        <f t="shared" si="36"/>
        <v>0</v>
      </c>
      <c r="D760" s="4">
        <f>'Raw Data'!D761*0.025</f>
        <v>0</v>
      </c>
      <c r="E760" s="4">
        <f t="shared" si="37"/>
        <v>0</v>
      </c>
      <c r="F760" s="4">
        <f>'Raw Data'!E761*0.001648</f>
        <v>0</v>
      </c>
      <c r="G760" s="4">
        <f>'Raw Data'!F761*0.001648</f>
        <v>0</v>
      </c>
      <c r="H760" s="4">
        <f>'Raw Data'!G761*6*0.000128176</f>
        <v>0</v>
      </c>
      <c r="I760" s="4">
        <f>'Raw Data'!H761*0.000732435</f>
        <v>0</v>
      </c>
      <c r="J760" s="4">
        <f t="shared" si="35"/>
        <v>0</v>
      </c>
      <c r="K760" s="36">
        <f>IF(('Raw Data'!I761-16384)/32768&lt;0,0,('Raw Data'!I761-16384)/32768)</f>
        <v>0</v>
      </c>
      <c r="L760" s="4">
        <f>IF(('Raw Data'!J761-12010)/45.6=-263.377192982456,0,('Raw Data'!J761-12010)/45.6)</f>
        <v>0</v>
      </c>
      <c r="M760" s="16">
        <f>'Raw Data'!N761*2^-8</f>
        <v>0</v>
      </c>
      <c r="N760" s="16">
        <f>'Raw Data'!O761*2^-8</f>
        <v>0</v>
      </c>
      <c r="O760" s="17" t="str">
        <f>IF(BITWISE_AND('Raw Data'!$K761, 8192),"X","")</f>
        <v/>
      </c>
      <c r="P760" s="17" t="str">
        <f>IF(BITWISE_AND('Raw Data'!$K761, 2048),"X","")</f>
        <v/>
      </c>
      <c r="Q760" s="17" t="str">
        <f>IF(BITWISE_AND('Raw Data'!$K761, 64),"X","")</f>
        <v/>
      </c>
      <c r="R760" s="18" t="str">
        <f>IF(BITWISE_AND('Raw Data'!$L761, 1024),"X","")</f>
        <v/>
      </c>
      <c r="S760" s="18" t="str">
        <f>IF(BITWISE_AND('Raw Data'!$L761, 512),"X","")</f>
        <v/>
      </c>
      <c r="T760" s="18" t="str">
        <f>IF(BITWISE_AND('Raw Data'!$L761, 256),"X","")</f>
        <v/>
      </c>
      <c r="U760" s="18" t="str">
        <f>IF(BITWISE_AND('Raw Data'!$L761, 64),"X","")</f>
        <v/>
      </c>
      <c r="V760" s="18" t="str">
        <f>IF(BITWISE_AND('Raw Data'!$L761, 2),"X","")</f>
        <v/>
      </c>
      <c r="W760" s="18" t="str">
        <f>IF(BITWISE_AND('Raw Data'!$L761, 1),"X","")</f>
        <v/>
      </c>
      <c r="X760" s="19" t="str">
        <f>IF(BITWISE_AND('Raw Data'!M761, 1),"Bat Voltage", IF(BITWISE_AND('Raw Data'!M761, 2), "Charge Current", IF(BITWISE_AND('Raw Data'!M761, 4),"Input Ilim", IF(BITWISE_AND('Raw Data'!M761, 8), "Input UV", "none"))))</f>
        <v>none</v>
      </c>
    </row>
    <row r="761" spans="1:24" x14ac:dyDescent="0.2">
      <c r="A761" s="15">
        <f>A760+TIME(0,0,'Raw Data'!B761)</f>
        <v>0</v>
      </c>
      <c r="B761" s="4">
        <f>'Raw Data'!C762*0.025</f>
        <v>0</v>
      </c>
      <c r="C761" s="4">
        <f t="shared" si="36"/>
        <v>0</v>
      </c>
      <c r="D761" s="4">
        <f>'Raw Data'!D762*0.025</f>
        <v>0</v>
      </c>
      <c r="E761" s="4">
        <f t="shared" si="37"/>
        <v>0</v>
      </c>
      <c r="F761" s="4">
        <f>'Raw Data'!E762*0.001648</f>
        <v>0</v>
      </c>
      <c r="G761" s="4">
        <f>'Raw Data'!F762*0.001648</f>
        <v>0</v>
      </c>
      <c r="H761" s="4">
        <f>'Raw Data'!G762*6*0.000128176</f>
        <v>0</v>
      </c>
      <c r="I761" s="4">
        <f>'Raw Data'!H762*0.000732435</f>
        <v>0</v>
      </c>
      <c r="J761" s="4">
        <f t="shared" si="35"/>
        <v>0</v>
      </c>
      <c r="K761" s="36">
        <f>IF(('Raw Data'!I762-16384)/32768&lt;0,0,('Raw Data'!I762-16384)/32768)</f>
        <v>0</v>
      </c>
      <c r="L761" s="4">
        <f>IF(('Raw Data'!J762-12010)/45.6=-263.377192982456,0,('Raw Data'!J762-12010)/45.6)</f>
        <v>0</v>
      </c>
      <c r="M761" s="16">
        <f>'Raw Data'!N762*2^-8</f>
        <v>0</v>
      </c>
      <c r="N761" s="16">
        <f>'Raw Data'!O762*2^-8</f>
        <v>0</v>
      </c>
      <c r="O761" s="17" t="str">
        <f>IF(BITWISE_AND('Raw Data'!$K762, 8192),"X","")</f>
        <v/>
      </c>
      <c r="P761" s="17" t="str">
        <f>IF(BITWISE_AND('Raw Data'!$K762, 2048),"X","")</f>
        <v/>
      </c>
      <c r="Q761" s="17" t="str">
        <f>IF(BITWISE_AND('Raw Data'!$K762, 64),"X","")</f>
        <v/>
      </c>
      <c r="R761" s="18" t="str">
        <f>IF(BITWISE_AND('Raw Data'!$L762, 1024),"X","")</f>
        <v/>
      </c>
      <c r="S761" s="18" t="str">
        <f>IF(BITWISE_AND('Raw Data'!$L762, 512),"X","")</f>
        <v/>
      </c>
      <c r="T761" s="18" t="str">
        <f>IF(BITWISE_AND('Raw Data'!$L762, 256),"X","")</f>
        <v/>
      </c>
      <c r="U761" s="18" t="str">
        <f>IF(BITWISE_AND('Raw Data'!$L762, 64),"X","")</f>
        <v/>
      </c>
      <c r="V761" s="18" t="str">
        <f>IF(BITWISE_AND('Raw Data'!$L762, 2),"X","")</f>
        <v/>
      </c>
      <c r="W761" s="18" t="str">
        <f>IF(BITWISE_AND('Raw Data'!$L762, 1),"X","")</f>
        <v/>
      </c>
      <c r="X761" s="19" t="str">
        <f>IF(BITWISE_AND('Raw Data'!M762, 1),"Bat Voltage", IF(BITWISE_AND('Raw Data'!M762, 2), "Charge Current", IF(BITWISE_AND('Raw Data'!M762, 4),"Input Ilim", IF(BITWISE_AND('Raw Data'!M762, 8), "Input UV", "none"))))</f>
        <v>none</v>
      </c>
    </row>
    <row r="762" spans="1:24" x14ac:dyDescent="0.2">
      <c r="A762" s="15">
        <f>A761+TIME(0,0,'Raw Data'!B762)</f>
        <v>0</v>
      </c>
      <c r="B762" s="4">
        <f>'Raw Data'!C763*0.025</f>
        <v>0</v>
      </c>
      <c r="C762" s="4">
        <f t="shared" si="36"/>
        <v>0</v>
      </c>
      <c r="D762" s="4">
        <f>'Raw Data'!D763*0.025</f>
        <v>0</v>
      </c>
      <c r="E762" s="4">
        <f t="shared" si="37"/>
        <v>0</v>
      </c>
      <c r="F762" s="4">
        <f>'Raw Data'!E763*0.001648</f>
        <v>0</v>
      </c>
      <c r="G762" s="4">
        <f>'Raw Data'!F763*0.001648</f>
        <v>0</v>
      </c>
      <c r="H762" s="4">
        <f>'Raw Data'!G763*6*0.000128176</f>
        <v>0</v>
      </c>
      <c r="I762" s="4">
        <f>'Raw Data'!H763*0.000732435</f>
        <v>0</v>
      </c>
      <c r="J762" s="4">
        <f t="shared" si="35"/>
        <v>0</v>
      </c>
      <c r="K762" s="36">
        <f>IF(('Raw Data'!I763-16384)/32768&lt;0,0,('Raw Data'!I763-16384)/32768)</f>
        <v>0</v>
      </c>
      <c r="L762" s="4">
        <f>IF(('Raw Data'!J763-12010)/45.6=-263.377192982456,0,('Raw Data'!J763-12010)/45.6)</f>
        <v>0</v>
      </c>
      <c r="M762" s="16">
        <f>'Raw Data'!N763*2^-8</f>
        <v>0</v>
      </c>
      <c r="N762" s="16">
        <f>'Raw Data'!O763*2^-8</f>
        <v>0</v>
      </c>
      <c r="O762" s="17" t="str">
        <f>IF(BITWISE_AND('Raw Data'!$K763, 8192),"X","")</f>
        <v/>
      </c>
      <c r="P762" s="17" t="str">
        <f>IF(BITWISE_AND('Raw Data'!$K763, 2048),"X","")</f>
        <v/>
      </c>
      <c r="Q762" s="17" t="str">
        <f>IF(BITWISE_AND('Raw Data'!$K763, 64),"X","")</f>
        <v/>
      </c>
      <c r="R762" s="18" t="str">
        <f>IF(BITWISE_AND('Raw Data'!$L763, 1024),"X","")</f>
        <v/>
      </c>
      <c r="S762" s="18" t="str">
        <f>IF(BITWISE_AND('Raw Data'!$L763, 512),"X","")</f>
        <v/>
      </c>
      <c r="T762" s="18" t="str">
        <f>IF(BITWISE_AND('Raw Data'!$L763, 256),"X","")</f>
        <v/>
      </c>
      <c r="U762" s="18" t="str">
        <f>IF(BITWISE_AND('Raw Data'!$L763, 64),"X","")</f>
        <v/>
      </c>
      <c r="V762" s="18" t="str">
        <f>IF(BITWISE_AND('Raw Data'!$L763, 2),"X","")</f>
        <v/>
      </c>
      <c r="W762" s="18" t="str">
        <f>IF(BITWISE_AND('Raw Data'!$L763, 1),"X","")</f>
        <v/>
      </c>
      <c r="X762" s="19" t="str">
        <f>IF(BITWISE_AND('Raw Data'!M763, 1),"Bat Voltage", IF(BITWISE_AND('Raw Data'!M763, 2), "Charge Current", IF(BITWISE_AND('Raw Data'!M763, 4),"Input Ilim", IF(BITWISE_AND('Raw Data'!M763, 8), "Input UV", "none"))))</f>
        <v>none</v>
      </c>
    </row>
    <row r="763" spans="1:24" x14ac:dyDescent="0.2">
      <c r="A763" s="15">
        <f>A762+TIME(0,0,'Raw Data'!B763)</f>
        <v>0</v>
      </c>
      <c r="B763" s="4">
        <f>'Raw Data'!C764*0.025</f>
        <v>0</v>
      </c>
      <c r="C763" s="4">
        <f t="shared" si="36"/>
        <v>0</v>
      </c>
      <c r="D763" s="4">
        <f>'Raw Data'!D764*0.025</f>
        <v>0</v>
      </c>
      <c r="E763" s="4">
        <f t="shared" si="37"/>
        <v>0</v>
      </c>
      <c r="F763" s="4">
        <f>'Raw Data'!E764*0.001648</f>
        <v>0</v>
      </c>
      <c r="G763" s="4">
        <f>'Raw Data'!F764*0.001648</f>
        <v>0</v>
      </c>
      <c r="H763" s="4">
        <f>'Raw Data'!G764*6*0.000128176</f>
        <v>0</v>
      </c>
      <c r="I763" s="4">
        <f>'Raw Data'!H764*0.000732435</f>
        <v>0</v>
      </c>
      <c r="J763" s="4">
        <f t="shared" si="35"/>
        <v>0</v>
      </c>
      <c r="K763" s="36">
        <f>IF(('Raw Data'!I764-16384)/32768&lt;0,0,('Raw Data'!I764-16384)/32768)</f>
        <v>0</v>
      </c>
      <c r="L763" s="4">
        <f>IF(('Raw Data'!J764-12010)/45.6=-263.377192982456,0,('Raw Data'!J764-12010)/45.6)</f>
        <v>0</v>
      </c>
      <c r="M763" s="16">
        <f>'Raw Data'!N764*2^-8</f>
        <v>0</v>
      </c>
      <c r="N763" s="16">
        <f>'Raw Data'!O764*2^-8</f>
        <v>0</v>
      </c>
      <c r="O763" s="17" t="str">
        <f>IF(BITWISE_AND('Raw Data'!$K764, 8192),"X","")</f>
        <v/>
      </c>
      <c r="P763" s="17" t="str">
        <f>IF(BITWISE_AND('Raw Data'!$K764, 2048),"X","")</f>
        <v/>
      </c>
      <c r="Q763" s="17" t="str">
        <f>IF(BITWISE_AND('Raw Data'!$K764, 64),"X","")</f>
        <v/>
      </c>
      <c r="R763" s="18" t="str">
        <f>IF(BITWISE_AND('Raw Data'!$L764, 1024),"X","")</f>
        <v/>
      </c>
      <c r="S763" s="18" t="str">
        <f>IF(BITWISE_AND('Raw Data'!$L764, 512),"X","")</f>
        <v/>
      </c>
      <c r="T763" s="18" t="str">
        <f>IF(BITWISE_AND('Raw Data'!$L764, 256),"X","")</f>
        <v/>
      </c>
      <c r="U763" s="18" t="str">
        <f>IF(BITWISE_AND('Raw Data'!$L764, 64),"X","")</f>
        <v/>
      </c>
      <c r="V763" s="18" t="str">
        <f>IF(BITWISE_AND('Raw Data'!$L764, 2),"X","")</f>
        <v/>
      </c>
      <c r="W763" s="18" t="str">
        <f>IF(BITWISE_AND('Raw Data'!$L764, 1),"X","")</f>
        <v/>
      </c>
      <c r="X763" s="19" t="str">
        <f>IF(BITWISE_AND('Raw Data'!M764, 1),"Bat Voltage", IF(BITWISE_AND('Raw Data'!M764, 2), "Charge Current", IF(BITWISE_AND('Raw Data'!M764, 4),"Input Ilim", IF(BITWISE_AND('Raw Data'!M764, 8), "Input UV", "none"))))</f>
        <v>none</v>
      </c>
    </row>
    <row r="764" spans="1:24" x14ac:dyDescent="0.2">
      <c r="A764" s="15">
        <f>A763+TIME(0,0,'Raw Data'!B764)</f>
        <v>0</v>
      </c>
      <c r="B764" s="4">
        <f>'Raw Data'!C765*0.025</f>
        <v>0</v>
      </c>
      <c r="C764" s="4">
        <f t="shared" si="36"/>
        <v>0</v>
      </c>
      <c r="D764" s="4">
        <f>'Raw Data'!D765*0.025</f>
        <v>0</v>
      </c>
      <c r="E764" s="4">
        <f t="shared" si="37"/>
        <v>0</v>
      </c>
      <c r="F764" s="4">
        <f>'Raw Data'!E765*0.001648</f>
        <v>0</v>
      </c>
      <c r="G764" s="4">
        <f>'Raw Data'!F765*0.001648</f>
        <v>0</v>
      </c>
      <c r="H764" s="4">
        <f>'Raw Data'!G765*6*0.000128176</f>
        <v>0</v>
      </c>
      <c r="I764" s="4">
        <f>'Raw Data'!H765*0.000732435</f>
        <v>0</v>
      </c>
      <c r="J764" s="4">
        <f t="shared" si="35"/>
        <v>0</v>
      </c>
      <c r="K764" s="36">
        <f>IF(('Raw Data'!I765-16384)/32768&lt;0,0,('Raw Data'!I765-16384)/32768)</f>
        <v>0</v>
      </c>
      <c r="L764" s="4">
        <f>IF(('Raw Data'!J765-12010)/45.6=-263.377192982456,0,('Raw Data'!J765-12010)/45.6)</f>
        <v>0</v>
      </c>
      <c r="M764" s="16">
        <f>'Raw Data'!N765*2^-8</f>
        <v>0</v>
      </c>
      <c r="N764" s="16">
        <f>'Raw Data'!O765*2^-8</f>
        <v>0</v>
      </c>
      <c r="O764" s="17" t="str">
        <f>IF(BITWISE_AND('Raw Data'!$K765, 8192),"X","")</f>
        <v/>
      </c>
      <c r="P764" s="17" t="str">
        <f>IF(BITWISE_AND('Raw Data'!$K765, 2048),"X","")</f>
        <v/>
      </c>
      <c r="Q764" s="17" t="str">
        <f>IF(BITWISE_AND('Raw Data'!$K765, 64),"X","")</f>
        <v/>
      </c>
      <c r="R764" s="18" t="str">
        <f>IF(BITWISE_AND('Raw Data'!$L765, 1024),"X","")</f>
        <v/>
      </c>
      <c r="S764" s="18" t="str">
        <f>IF(BITWISE_AND('Raw Data'!$L765, 512),"X","")</f>
        <v/>
      </c>
      <c r="T764" s="18" t="str">
        <f>IF(BITWISE_AND('Raw Data'!$L765, 256),"X","")</f>
        <v/>
      </c>
      <c r="U764" s="18" t="str">
        <f>IF(BITWISE_AND('Raw Data'!$L765, 64),"X","")</f>
        <v/>
      </c>
      <c r="V764" s="18" t="str">
        <f>IF(BITWISE_AND('Raw Data'!$L765, 2),"X","")</f>
        <v/>
      </c>
      <c r="W764" s="18" t="str">
        <f>IF(BITWISE_AND('Raw Data'!$L765, 1),"X","")</f>
        <v/>
      </c>
      <c r="X764" s="19" t="str">
        <f>IF(BITWISE_AND('Raw Data'!M765, 1),"Bat Voltage", IF(BITWISE_AND('Raw Data'!M765, 2), "Charge Current", IF(BITWISE_AND('Raw Data'!M765, 4),"Input Ilim", IF(BITWISE_AND('Raw Data'!M765, 8), "Input UV", "none"))))</f>
        <v>none</v>
      </c>
    </row>
    <row r="765" spans="1:24" x14ac:dyDescent="0.2">
      <c r="A765" s="15">
        <f>A764+TIME(0,0,'Raw Data'!B765)</f>
        <v>0</v>
      </c>
      <c r="B765" s="4">
        <f>'Raw Data'!C766*0.025</f>
        <v>0</v>
      </c>
      <c r="C765" s="4">
        <f t="shared" si="36"/>
        <v>0</v>
      </c>
      <c r="D765" s="4">
        <f>'Raw Data'!D766*0.025</f>
        <v>0</v>
      </c>
      <c r="E765" s="4">
        <f t="shared" si="37"/>
        <v>0</v>
      </c>
      <c r="F765" s="4">
        <f>'Raw Data'!E766*0.001648</f>
        <v>0</v>
      </c>
      <c r="G765" s="4">
        <f>'Raw Data'!F766*0.001648</f>
        <v>0</v>
      </c>
      <c r="H765" s="4">
        <f>'Raw Data'!G766*6*0.000128176</f>
        <v>0</v>
      </c>
      <c r="I765" s="4">
        <f>'Raw Data'!H766*0.000732435</f>
        <v>0</v>
      </c>
      <c r="J765" s="4">
        <f t="shared" si="35"/>
        <v>0</v>
      </c>
      <c r="K765" s="36">
        <f>IF(('Raw Data'!I766-16384)/32768&lt;0,0,('Raw Data'!I766-16384)/32768)</f>
        <v>0</v>
      </c>
      <c r="L765" s="4">
        <f>IF(('Raw Data'!J766-12010)/45.6=-263.377192982456,0,('Raw Data'!J766-12010)/45.6)</f>
        <v>0</v>
      </c>
      <c r="M765" s="16">
        <f>'Raw Data'!N766*2^-8</f>
        <v>0</v>
      </c>
      <c r="N765" s="16">
        <f>'Raw Data'!O766*2^-8</f>
        <v>0</v>
      </c>
      <c r="O765" s="17" t="str">
        <f>IF(BITWISE_AND('Raw Data'!$K766, 8192),"X","")</f>
        <v/>
      </c>
      <c r="P765" s="17" t="str">
        <f>IF(BITWISE_AND('Raw Data'!$K766, 2048),"X","")</f>
        <v/>
      </c>
      <c r="Q765" s="17" t="str">
        <f>IF(BITWISE_AND('Raw Data'!$K766, 64),"X","")</f>
        <v/>
      </c>
      <c r="R765" s="18" t="str">
        <f>IF(BITWISE_AND('Raw Data'!$L766, 1024),"X","")</f>
        <v/>
      </c>
      <c r="S765" s="18" t="str">
        <f>IF(BITWISE_AND('Raw Data'!$L766, 512),"X","")</f>
        <v/>
      </c>
      <c r="T765" s="18" t="str">
        <f>IF(BITWISE_AND('Raw Data'!$L766, 256),"X","")</f>
        <v/>
      </c>
      <c r="U765" s="18" t="str">
        <f>IF(BITWISE_AND('Raw Data'!$L766, 64),"X","")</f>
        <v/>
      </c>
      <c r="V765" s="18" t="str">
        <f>IF(BITWISE_AND('Raw Data'!$L766, 2),"X","")</f>
        <v/>
      </c>
      <c r="W765" s="18" t="str">
        <f>IF(BITWISE_AND('Raw Data'!$L766, 1),"X","")</f>
        <v/>
      </c>
      <c r="X765" s="19" t="str">
        <f>IF(BITWISE_AND('Raw Data'!M766, 1),"Bat Voltage", IF(BITWISE_AND('Raw Data'!M766, 2), "Charge Current", IF(BITWISE_AND('Raw Data'!M766, 4),"Input Ilim", IF(BITWISE_AND('Raw Data'!M766, 8), "Input UV", "none"))))</f>
        <v>none</v>
      </c>
    </row>
    <row r="766" spans="1:24" x14ac:dyDescent="0.2">
      <c r="A766" s="15">
        <f>A765+TIME(0,0,'Raw Data'!B766)</f>
        <v>0</v>
      </c>
      <c r="B766" s="4">
        <f>'Raw Data'!C767*0.025</f>
        <v>0</v>
      </c>
      <c r="C766" s="4">
        <f t="shared" si="36"/>
        <v>0</v>
      </c>
      <c r="D766" s="4">
        <f>'Raw Data'!D767*0.025</f>
        <v>0</v>
      </c>
      <c r="E766" s="4">
        <f t="shared" si="37"/>
        <v>0</v>
      </c>
      <c r="F766" s="4">
        <f>'Raw Data'!E767*0.001648</f>
        <v>0</v>
      </c>
      <c r="G766" s="4">
        <f>'Raw Data'!F767*0.001648</f>
        <v>0</v>
      </c>
      <c r="H766" s="4">
        <f>'Raw Data'!G767*6*0.000128176</f>
        <v>0</v>
      </c>
      <c r="I766" s="4">
        <f>'Raw Data'!H767*0.000732435</f>
        <v>0</v>
      </c>
      <c r="J766" s="4">
        <f t="shared" si="35"/>
        <v>0</v>
      </c>
      <c r="K766" s="36">
        <f>IF(('Raw Data'!I767-16384)/32768&lt;0,0,('Raw Data'!I767-16384)/32768)</f>
        <v>0</v>
      </c>
      <c r="L766" s="4">
        <f>IF(('Raw Data'!J767-12010)/45.6=-263.377192982456,0,('Raw Data'!J767-12010)/45.6)</f>
        <v>0</v>
      </c>
      <c r="M766" s="16">
        <f>'Raw Data'!N767*2^-8</f>
        <v>0</v>
      </c>
      <c r="N766" s="16">
        <f>'Raw Data'!O767*2^-8</f>
        <v>0</v>
      </c>
      <c r="O766" s="17" t="str">
        <f>IF(BITWISE_AND('Raw Data'!$K767, 8192),"X","")</f>
        <v/>
      </c>
      <c r="P766" s="17" t="str">
        <f>IF(BITWISE_AND('Raw Data'!$K767, 2048),"X","")</f>
        <v/>
      </c>
      <c r="Q766" s="17" t="str">
        <f>IF(BITWISE_AND('Raw Data'!$K767, 64),"X","")</f>
        <v/>
      </c>
      <c r="R766" s="18" t="str">
        <f>IF(BITWISE_AND('Raw Data'!$L767, 1024),"X","")</f>
        <v/>
      </c>
      <c r="S766" s="18" t="str">
        <f>IF(BITWISE_AND('Raw Data'!$L767, 512),"X","")</f>
        <v/>
      </c>
      <c r="T766" s="18" t="str">
        <f>IF(BITWISE_AND('Raw Data'!$L767, 256),"X","")</f>
        <v/>
      </c>
      <c r="U766" s="18" t="str">
        <f>IF(BITWISE_AND('Raw Data'!$L767, 64),"X","")</f>
        <v/>
      </c>
      <c r="V766" s="18" t="str">
        <f>IF(BITWISE_AND('Raw Data'!$L767, 2),"X","")</f>
        <v/>
      </c>
      <c r="W766" s="18" t="str">
        <f>IF(BITWISE_AND('Raw Data'!$L767, 1),"X","")</f>
        <v/>
      </c>
      <c r="X766" s="19" t="str">
        <f>IF(BITWISE_AND('Raw Data'!M767, 1),"Bat Voltage", IF(BITWISE_AND('Raw Data'!M767, 2), "Charge Current", IF(BITWISE_AND('Raw Data'!M767, 4),"Input Ilim", IF(BITWISE_AND('Raw Data'!M767, 8), "Input UV", "none"))))</f>
        <v>none</v>
      </c>
    </row>
    <row r="767" spans="1:24" x14ac:dyDescent="0.2">
      <c r="A767" s="15">
        <f>A766+TIME(0,0,'Raw Data'!B767)</f>
        <v>0</v>
      </c>
      <c r="B767" s="4">
        <f>'Raw Data'!C768*0.025</f>
        <v>0</v>
      </c>
      <c r="C767" s="4">
        <f t="shared" si="36"/>
        <v>0</v>
      </c>
      <c r="D767" s="4">
        <f>'Raw Data'!D768*0.025</f>
        <v>0</v>
      </c>
      <c r="E767" s="4">
        <f t="shared" si="37"/>
        <v>0</v>
      </c>
      <c r="F767" s="4">
        <f>'Raw Data'!E768*0.001648</f>
        <v>0</v>
      </c>
      <c r="G767" s="4">
        <f>'Raw Data'!F768*0.001648</f>
        <v>0</v>
      </c>
      <c r="H767" s="4">
        <f>'Raw Data'!G768*6*0.000128176</f>
        <v>0</v>
      </c>
      <c r="I767" s="4">
        <f>'Raw Data'!H768*0.000732435</f>
        <v>0</v>
      </c>
      <c r="J767" s="4">
        <f t="shared" si="35"/>
        <v>0</v>
      </c>
      <c r="K767" s="36">
        <f>IF(('Raw Data'!I768-16384)/32768&lt;0,0,('Raw Data'!I768-16384)/32768)</f>
        <v>0</v>
      </c>
      <c r="L767" s="4">
        <f>IF(('Raw Data'!J768-12010)/45.6=-263.377192982456,0,('Raw Data'!J768-12010)/45.6)</f>
        <v>0</v>
      </c>
      <c r="M767" s="16">
        <f>'Raw Data'!N768*2^-8</f>
        <v>0</v>
      </c>
      <c r="N767" s="16">
        <f>'Raw Data'!O768*2^-8</f>
        <v>0</v>
      </c>
      <c r="O767" s="17" t="str">
        <f>IF(BITWISE_AND('Raw Data'!$K768, 8192),"X","")</f>
        <v/>
      </c>
      <c r="P767" s="17" t="str">
        <f>IF(BITWISE_AND('Raw Data'!$K768, 2048),"X","")</f>
        <v/>
      </c>
      <c r="Q767" s="17" t="str">
        <f>IF(BITWISE_AND('Raw Data'!$K768, 64),"X","")</f>
        <v/>
      </c>
      <c r="R767" s="18" t="str">
        <f>IF(BITWISE_AND('Raw Data'!$L768, 1024),"X","")</f>
        <v/>
      </c>
      <c r="S767" s="18" t="str">
        <f>IF(BITWISE_AND('Raw Data'!$L768, 512),"X","")</f>
        <v/>
      </c>
      <c r="T767" s="18" t="str">
        <f>IF(BITWISE_AND('Raw Data'!$L768, 256),"X","")</f>
        <v/>
      </c>
      <c r="U767" s="18" t="str">
        <f>IF(BITWISE_AND('Raw Data'!$L768, 64),"X","")</f>
        <v/>
      </c>
      <c r="V767" s="18" t="str">
        <f>IF(BITWISE_AND('Raw Data'!$L768, 2),"X","")</f>
        <v/>
      </c>
      <c r="W767" s="18" t="str">
        <f>IF(BITWISE_AND('Raw Data'!$L768, 1),"X","")</f>
        <v/>
      </c>
      <c r="X767" s="19" t="str">
        <f>IF(BITWISE_AND('Raw Data'!M768, 1),"Bat Voltage", IF(BITWISE_AND('Raw Data'!M768, 2), "Charge Current", IF(BITWISE_AND('Raw Data'!M768, 4),"Input Ilim", IF(BITWISE_AND('Raw Data'!M768, 8), "Input UV", "none"))))</f>
        <v>none</v>
      </c>
    </row>
    <row r="768" spans="1:24" x14ac:dyDescent="0.2">
      <c r="A768" s="15">
        <f>A767+TIME(0,0,'Raw Data'!B768)</f>
        <v>0</v>
      </c>
      <c r="B768" s="4">
        <f>'Raw Data'!C769*0.025</f>
        <v>0</v>
      </c>
      <c r="C768" s="4">
        <f t="shared" si="36"/>
        <v>0</v>
      </c>
      <c r="D768" s="4">
        <f>'Raw Data'!D769*0.025</f>
        <v>0</v>
      </c>
      <c r="E768" s="4">
        <f t="shared" si="37"/>
        <v>0</v>
      </c>
      <c r="F768" s="4">
        <f>'Raw Data'!E769*0.001648</f>
        <v>0</v>
      </c>
      <c r="G768" s="4">
        <f>'Raw Data'!F769*0.001648</f>
        <v>0</v>
      </c>
      <c r="H768" s="4">
        <f>'Raw Data'!G769*6*0.000128176</f>
        <v>0</v>
      </c>
      <c r="I768" s="4">
        <f>'Raw Data'!H769*0.000732435</f>
        <v>0</v>
      </c>
      <c r="J768" s="4">
        <f t="shared" si="35"/>
        <v>0</v>
      </c>
      <c r="K768" s="36">
        <f>IF(('Raw Data'!I769-16384)/32768&lt;0,0,('Raw Data'!I769-16384)/32768)</f>
        <v>0</v>
      </c>
      <c r="L768" s="4">
        <f>IF(('Raw Data'!J769-12010)/45.6=-263.377192982456,0,('Raw Data'!J769-12010)/45.6)</f>
        <v>0</v>
      </c>
      <c r="M768" s="16">
        <f>'Raw Data'!N769*2^-8</f>
        <v>0</v>
      </c>
      <c r="N768" s="16">
        <f>'Raw Data'!O769*2^-8</f>
        <v>0</v>
      </c>
      <c r="O768" s="17" t="str">
        <f>IF(BITWISE_AND('Raw Data'!$K769, 8192),"X","")</f>
        <v/>
      </c>
      <c r="P768" s="17" t="str">
        <f>IF(BITWISE_AND('Raw Data'!$K769, 2048),"X","")</f>
        <v/>
      </c>
      <c r="Q768" s="17" t="str">
        <f>IF(BITWISE_AND('Raw Data'!$K769, 64),"X","")</f>
        <v/>
      </c>
      <c r="R768" s="18" t="str">
        <f>IF(BITWISE_AND('Raw Data'!$L769, 1024),"X","")</f>
        <v/>
      </c>
      <c r="S768" s="18" t="str">
        <f>IF(BITWISE_AND('Raw Data'!$L769, 512),"X","")</f>
        <v/>
      </c>
      <c r="T768" s="18" t="str">
        <f>IF(BITWISE_AND('Raw Data'!$L769, 256),"X","")</f>
        <v/>
      </c>
      <c r="U768" s="18" t="str">
        <f>IF(BITWISE_AND('Raw Data'!$L769, 64),"X","")</f>
        <v/>
      </c>
      <c r="V768" s="18" t="str">
        <f>IF(BITWISE_AND('Raw Data'!$L769, 2),"X","")</f>
        <v/>
      </c>
      <c r="W768" s="18" t="str">
        <f>IF(BITWISE_AND('Raw Data'!$L769, 1),"X","")</f>
        <v/>
      </c>
      <c r="X768" s="19" t="str">
        <f>IF(BITWISE_AND('Raw Data'!M769, 1),"Bat Voltage", IF(BITWISE_AND('Raw Data'!M769, 2), "Charge Current", IF(BITWISE_AND('Raw Data'!M769, 4),"Input Ilim", IF(BITWISE_AND('Raw Data'!M769, 8), "Input UV", "none"))))</f>
        <v>none</v>
      </c>
    </row>
    <row r="769" spans="1:24" x14ac:dyDescent="0.2">
      <c r="A769" s="15">
        <f>A768+TIME(0,0,'Raw Data'!B769)</f>
        <v>0</v>
      </c>
      <c r="B769" s="4">
        <f>'Raw Data'!C770*0.025</f>
        <v>0</v>
      </c>
      <c r="C769" s="4">
        <f t="shared" si="36"/>
        <v>0</v>
      </c>
      <c r="D769" s="4">
        <f>'Raw Data'!D770*0.025</f>
        <v>0</v>
      </c>
      <c r="E769" s="4">
        <f t="shared" si="37"/>
        <v>0</v>
      </c>
      <c r="F769" s="4">
        <f>'Raw Data'!E770*0.001648</f>
        <v>0</v>
      </c>
      <c r="G769" s="4">
        <f>'Raw Data'!F770*0.001648</f>
        <v>0</v>
      </c>
      <c r="H769" s="4">
        <f>'Raw Data'!G770*6*0.000128176</f>
        <v>0</v>
      </c>
      <c r="I769" s="4">
        <f>'Raw Data'!H770*0.000732435</f>
        <v>0</v>
      </c>
      <c r="J769" s="4">
        <f t="shared" si="35"/>
        <v>0</v>
      </c>
      <c r="K769" s="36">
        <f>IF(('Raw Data'!I770-16384)/32768&lt;0,0,('Raw Data'!I770-16384)/32768)</f>
        <v>0</v>
      </c>
      <c r="L769" s="4">
        <f>IF(('Raw Data'!J770-12010)/45.6=-263.377192982456,0,('Raw Data'!J770-12010)/45.6)</f>
        <v>0</v>
      </c>
      <c r="M769" s="16">
        <f>'Raw Data'!N770*2^-8</f>
        <v>0</v>
      </c>
      <c r="N769" s="16">
        <f>'Raw Data'!O770*2^-8</f>
        <v>0</v>
      </c>
      <c r="O769" s="17" t="str">
        <f>IF(BITWISE_AND('Raw Data'!$K770, 8192),"X","")</f>
        <v/>
      </c>
      <c r="P769" s="17" t="str">
        <f>IF(BITWISE_AND('Raw Data'!$K770, 2048),"X","")</f>
        <v/>
      </c>
      <c r="Q769" s="17" t="str">
        <f>IF(BITWISE_AND('Raw Data'!$K770, 64),"X","")</f>
        <v/>
      </c>
      <c r="R769" s="18" t="str">
        <f>IF(BITWISE_AND('Raw Data'!$L770, 1024),"X","")</f>
        <v/>
      </c>
      <c r="S769" s="18" t="str">
        <f>IF(BITWISE_AND('Raw Data'!$L770, 512),"X","")</f>
        <v/>
      </c>
      <c r="T769" s="18" t="str">
        <f>IF(BITWISE_AND('Raw Data'!$L770, 256),"X","")</f>
        <v/>
      </c>
      <c r="U769" s="18" t="str">
        <f>IF(BITWISE_AND('Raw Data'!$L770, 64),"X","")</f>
        <v/>
      </c>
      <c r="V769" s="18" t="str">
        <f>IF(BITWISE_AND('Raw Data'!$L770, 2),"X","")</f>
        <v/>
      </c>
      <c r="W769" s="18" t="str">
        <f>IF(BITWISE_AND('Raw Data'!$L770, 1),"X","")</f>
        <v/>
      </c>
      <c r="X769" s="19" t="str">
        <f>IF(BITWISE_AND('Raw Data'!M770, 1),"Bat Voltage", IF(BITWISE_AND('Raw Data'!M770, 2), "Charge Current", IF(BITWISE_AND('Raw Data'!M770, 4),"Input Ilim", IF(BITWISE_AND('Raw Data'!M770, 8), "Input UV", "none"))))</f>
        <v>none</v>
      </c>
    </row>
    <row r="770" spans="1:24" x14ac:dyDescent="0.2">
      <c r="A770" s="15">
        <f>A769+TIME(0,0,'Raw Data'!B770)</f>
        <v>0</v>
      </c>
      <c r="B770" s="4">
        <f>'Raw Data'!C771*0.025</f>
        <v>0</v>
      </c>
      <c r="C770" s="4">
        <f t="shared" si="36"/>
        <v>0</v>
      </c>
      <c r="D770" s="4">
        <f>'Raw Data'!D771*0.025</f>
        <v>0</v>
      </c>
      <c r="E770" s="4">
        <f t="shared" si="37"/>
        <v>0</v>
      </c>
      <c r="F770" s="4">
        <f>'Raw Data'!E771*0.001648</f>
        <v>0</v>
      </c>
      <c r="G770" s="4">
        <f>'Raw Data'!F771*0.001648</f>
        <v>0</v>
      </c>
      <c r="H770" s="4">
        <f>'Raw Data'!G771*6*0.000128176</f>
        <v>0</v>
      </c>
      <c r="I770" s="4">
        <f>'Raw Data'!H771*0.000732435</f>
        <v>0</v>
      </c>
      <c r="J770" s="4">
        <f t="shared" si="35"/>
        <v>0</v>
      </c>
      <c r="K770" s="36">
        <f>IF(('Raw Data'!I771-16384)/32768&lt;0,0,('Raw Data'!I771-16384)/32768)</f>
        <v>0</v>
      </c>
      <c r="L770" s="4">
        <f>IF(('Raw Data'!J771-12010)/45.6=-263.377192982456,0,('Raw Data'!J771-12010)/45.6)</f>
        <v>0</v>
      </c>
      <c r="M770" s="16">
        <f>'Raw Data'!N771*2^-8</f>
        <v>0</v>
      </c>
      <c r="N770" s="16">
        <f>'Raw Data'!O771*2^-8</f>
        <v>0</v>
      </c>
      <c r="O770" s="17" t="str">
        <f>IF(BITWISE_AND('Raw Data'!$K771, 8192),"X","")</f>
        <v/>
      </c>
      <c r="P770" s="17" t="str">
        <f>IF(BITWISE_AND('Raw Data'!$K771, 2048),"X","")</f>
        <v/>
      </c>
      <c r="Q770" s="17" t="str">
        <f>IF(BITWISE_AND('Raw Data'!$K771, 64),"X","")</f>
        <v/>
      </c>
      <c r="R770" s="18" t="str">
        <f>IF(BITWISE_AND('Raw Data'!$L771, 1024),"X","")</f>
        <v/>
      </c>
      <c r="S770" s="18" t="str">
        <f>IF(BITWISE_AND('Raw Data'!$L771, 512),"X","")</f>
        <v/>
      </c>
      <c r="T770" s="18" t="str">
        <f>IF(BITWISE_AND('Raw Data'!$L771, 256),"X","")</f>
        <v/>
      </c>
      <c r="U770" s="18" t="str">
        <f>IF(BITWISE_AND('Raw Data'!$L771, 64),"X","")</f>
        <v/>
      </c>
      <c r="V770" s="18" t="str">
        <f>IF(BITWISE_AND('Raw Data'!$L771, 2),"X","")</f>
        <v/>
      </c>
      <c r="W770" s="18" t="str">
        <f>IF(BITWISE_AND('Raw Data'!$L771, 1),"X","")</f>
        <v/>
      </c>
      <c r="X770" s="19" t="str">
        <f>IF(BITWISE_AND('Raw Data'!M771, 1),"Bat Voltage", IF(BITWISE_AND('Raw Data'!M771, 2), "Charge Current", IF(BITWISE_AND('Raw Data'!M771, 4),"Input Ilim", IF(BITWISE_AND('Raw Data'!M771, 8), "Input UV", "none"))))</f>
        <v>none</v>
      </c>
    </row>
    <row r="771" spans="1:24" x14ac:dyDescent="0.2">
      <c r="A771" s="15">
        <f>A770+TIME(0,0,'Raw Data'!B771)</f>
        <v>0</v>
      </c>
      <c r="B771" s="4">
        <f>'Raw Data'!C772*0.025</f>
        <v>0</v>
      </c>
      <c r="C771" s="4">
        <f t="shared" si="36"/>
        <v>0</v>
      </c>
      <c r="D771" s="4">
        <f>'Raw Data'!D772*0.025</f>
        <v>0</v>
      </c>
      <c r="E771" s="4">
        <f t="shared" si="37"/>
        <v>0</v>
      </c>
      <c r="F771" s="4">
        <f>'Raw Data'!E772*0.001648</f>
        <v>0</v>
      </c>
      <c r="G771" s="4">
        <f>'Raw Data'!F772*0.001648</f>
        <v>0</v>
      </c>
      <c r="H771" s="4">
        <f>'Raw Data'!G772*6*0.000128176</f>
        <v>0</v>
      </c>
      <c r="I771" s="4">
        <f>'Raw Data'!H772*0.000732435</f>
        <v>0</v>
      </c>
      <c r="J771" s="4">
        <f t="shared" ref="J771:J834" si="38">H771*I771</f>
        <v>0</v>
      </c>
      <c r="K771" s="36">
        <f>IF(('Raw Data'!I772-16384)/32768&lt;0,0,('Raw Data'!I772-16384)/32768)</f>
        <v>0</v>
      </c>
      <c r="L771" s="4">
        <f>IF(('Raw Data'!J772-12010)/45.6=-263.377192982456,0,('Raw Data'!J772-12010)/45.6)</f>
        <v>0</v>
      </c>
      <c r="M771" s="16">
        <f>'Raw Data'!N772*2^-8</f>
        <v>0</v>
      </c>
      <c r="N771" s="16">
        <f>'Raw Data'!O772*2^-8</f>
        <v>0</v>
      </c>
      <c r="O771" s="17" t="str">
        <f>IF(BITWISE_AND('Raw Data'!$K772, 8192),"X","")</f>
        <v/>
      </c>
      <c r="P771" s="17" t="str">
        <f>IF(BITWISE_AND('Raw Data'!$K772, 2048),"X","")</f>
        <v/>
      </c>
      <c r="Q771" s="17" t="str">
        <f>IF(BITWISE_AND('Raw Data'!$K772, 64),"X","")</f>
        <v/>
      </c>
      <c r="R771" s="18" t="str">
        <f>IF(BITWISE_AND('Raw Data'!$L772, 1024),"X","")</f>
        <v/>
      </c>
      <c r="S771" s="18" t="str">
        <f>IF(BITWISE_AND('Raw Data'!$L772, 512),"X","")</f>
        <v/>
      </c>
      <c r="T771" s="18" t="str">
        <f>IF(BITWISE_AND('Raw Data'!$L772, 256),"X","")</f>
        <v/>
      </c>
      <c r="U771" s="18" t="str">
        <f>IF(BITWISE_AND('Raw Data'!$L772, 64),"X","")</f>
        <v/>
      </c>
      <c r="V771" s="18" t="str">
        <f>IF(BITWISE_AND('Raw Data'!$L772, 2),"X","")</f>
        <v/>
      </c>
      <c r="W771" s="18" t="str">
        <f>IF(BITWISE_AND('Raw Data'!$L772, 1),"X","")</f>
        <v/>
      </c>
      <c r="X771" s="19" t="str">
        <f>IF(BITWISE_AND('Raw Data'!M772, 1),"Bat Voltage", IF(BITWISE_AND('Raw Data'!M772, 2), "Charge Current", IF(BITWISE_AND('Raw Data'!M772, 4),"Input Ilim", IF(BITWISE_AND('Raw Data'!M772, 8), "Input UV", "none"))))</f>
        <v>none</v>
      </c>
    </row>
    <row r="772" spans="1:24" x14ac:dyDescent="0.2">
      <c r="A772" s="15">
        <f>A771+TIME(0,0,'Raw Data'!B772)</f>
        <v>0</v>
      </c>
      <c r="B772" s="4">
        <f>'Raw Data'!C773*0.025</f>
        <v>0</v>
      </c>
      <c r="C772" s="4">
        <f t="shared" si="36"/>
        <v>0</v>
      </c>
      <c r="D772" s="4">
        <f>'Raw Data'!D773*0.025</f>
        <v>0</v>
      </c>
      <c r="E772" s="4">
        <f t="shared" si="37"/>
        <v>0</v>
      </c>
      <c r="F772" s="4">
        <f>'Raw Data'!E773*0.001648</f>
        <v>0</v>
      </c>
      <c r="G772" s="4">
        <f>'Raw Data'!F773*0.001648</f>
        <v>0</v>
      </c>
      <c r="H772" s="4">
        <f>'Raw Data'!G773*6*0.000128176</f>
        <v>0</v>
      </c>
      <c r="I772" s="4">
        <f>'Raw Data'!H773*0.000732435</f>
        <v>0</v>
      </c>
      <c r="J772" s="4">
        <f t="shared" si="38"/>
        <v>0</v>
      </c>
      <c r="K772" s="36">
        <f>IF(('Raw Data'!I773-16384)/32768&lt;0,0,('Raw Data'!I773-16384)/32768)</f>
        <v>0</v>
      </c>
      <c r="L772" s="4">
        <f>IF(('Raw Data'!J773-12010)/45.6=-263.377192982456,0,('Raw Data'!J773-12010)/45.6)</f>
        <v>0</v>
      </c>
      <c r="M772" s="16">
        <f>'Raw Data'!N773*2^-8</f>
        <v>0</v>
      </c>
      <c r="N772" s="16">
        <f>'Raw Data'!O773*2^-8</f>
        <v>0</v>
      </c>
      <c r="O772" s="17" t="str">
        <f>IF(BITWISE_AND('Raw Data'!$K773, 8192),"X","")</f>
        <v/>
      </c>
      <c r="P772" s="17" t="str">
        <f>IF(BITWISE_AND('Raw Data'!$K773, 2048),"X","")</f>
        <v/>
      </c>
      <c r="Q772" s="17" t="str">
        <f>IF(BITWISE_AND('Raw Data'!$K773, 64),"X","")</f>
        <v/>
      </c>
      <c r="R772" s="18" t="str">
        <f>IF(BITWISE_AND('Raw Data'!$L773, 1024),"X","")</f>
        <v/>
      </c>
      <c r="S772" s="18" t="str">
        <f>IF(BITWISE_AND('Raw Data'!$L773, 512),"X","")</f>
        <v/>
      </c>
      <c r="T772" s="18" t="str">
        <f>IF(BITWISE_AND('Raw Data'!$L773, 256),"X","")</f>
        <v/>
      </c>
      <c r="U772" s="18" t="str">
        <f>IF(BITWISE_AND('Raw Data'!$L773, 64),"X","")</f>
        <v/>
      </c>
      <c r="V772" s="18" t="str">
        <f>IF(BITWISE_AND('Raw Data'!$L773, 2),"X","")</f>
        <v/>
      </c>
      <c r="W772" s="18" t="str">
        <f>IF(BITWISE_AND('Raw Data'!$L773, 1),"X","")</f>
        <v/>
      </c>
      <c r="X772" s="19" t="str">
        <f>IF(BITWISE_AND('Raw Data'!M773, 1),"Bat Voltage", IF(BITWISE_AND('Raw Data'!M773, 2), "Charge Current", IF(BITWISE_AND('Raw Data'!M773, 4),"Input Ilim", IF(BITWISE_AND('Raw Data'!M773, 8), "Input UV", "none"))))</f>
        <v>none</v>
      </c>
    </row>
    <row r="773" spans="1:24" x14ac:dyDescent="0.2">
      <c r="A773" s="15">
        <f>A772+TIME(0,0,'Raw Data'!B773)</f>
        <v>0</v>
      </c>
      <c r="B773" s="4">
        <f>'Raw Data'!C774*0.025</f>
        <v>0</v>
      </c>
      <c r="C773" s="4">
        <f t="shared" si="36"/>
        <v>0</v>
      </c>
      <c r="D773" s="4">
        <f>'Raw Data'!D774*0.025</f>
        <v>0</v>
      </c>
      <c r="E773" s="4">
        <f t="shared" si="37"/>
        <v>0</v>
      </c>
      <c r="F773" s="4">
        <f>'Raw Data'!E774*0.001648</f>
        <v>0</v>
      </c>
      <c r="G773" s="4">
        <f>'Raw Data'!F774*0.001648</f>
        <v>0</v>
      </c>
      <c r="H773" s="4">
        <f>'Raw Data'!G774*6*0.000128176</f>
        <v>0</v>
      </c>
      <c r="I773" s="4">
        <f>'Raw Data'!H774*0.000732435</f>
        <v>0</v>
      </c>
      <c r="J773" s="4">
        <f t="shared" si="38"/>
        <v>0</v>
      </c>
      <c r="K773" s="36">
        <f>IF(('Raw Data'!I774-16384)/32768&lt;0,0,('Raw Data'!I774-16384)/32768)</f>
        <v>0</v>
      </c>
      <c r="L773" s="4">
        <f>IF(('Raw Data'!J774-12010)/45.6=-263.377192982456,0,('Raw Data'!J774-12010)/45.6)</f>
        <v>0</v>
      </c>
      <c r="M773" s="16">
        <f>'Raw Data'!N774*2^-8</f>
        <v>0</v>
      </c>
      <c r="N773" s="16">
        <f>'Raw Data'!O774*2^-8</f>
        <v>0</v>
      </c>
      <c r="O773" s="17" t="str">
        <f>IF(BITWISE_AND('Raw Data'!$K774, 8192),"X","")</f>
        <v/>
      </c>
      <c r="P773" s="17" t="str">
        <f>IF(BITWISE_AND('Raw Data'!$K774, 2048),"X","")</f>
        <v/>
      </c>
      <c r="Q773" s="17" t="str">
        <f>IF(BITWISE_AND('Raw Data'!$K774, 64),"X","")</f>
        <v/>
      </c>
      <c r="R773" s="18" t="str">
        <f>IF(BITWISE_AND('Raw Data'!$L774, 1024),"X","")</f>
        <v/>
      </c>
      <c r="S773" s="18" t="str">
        <f>IF(BITWISE_AND('Raw Data'!$L774, 512),"X","")</f>
        <v/>
      </c>
      <c r="T773" s="18" t="str">
        <f>IF(BITWISE_AND('Raw Data'!$L774, 256),"X","")</f>
        <v/>
      </c>
      <c r="U773" s="18" t="str">
        <f>IF(BITWISE_AND('Raw Data'!$L774, 64),"X","")</f>
        <v/>
      </c>
      <c r="V773" s="18" t="str">
        <f>IF(BITWISE_AND('Raw Data'!$L774, 2),"X","")</f>
        <v/>
      </c>
      <c r="W773" s="18" t="str">
        <f>IF(BITWISE_AND('Raw Data'!$L774, 1),"X","")</f>
        <v/>
      </c>
      <c r="X773" s="19" t="str">
        <f>IF(BITWISE_AND('Raw Data'!M774, 1),"Bat Voltage", IF(BITWISE_AND('Raw Data'!M774, 2), "Charge Current", IF(BITWISE_AND('Raw Data'!M774, 4),"Input Ilim", IF(BITWISE_AND('Raw Data'!M774, 8), "Input UV", "none"))))</f>
        <v>none</v>
      </c>
    </row>
    <row r="774" spans="1:24" x14ac:dyDescent="0.2">
      <c r="A774" s="15">
        <f>A773+TIME(0,0,'Raw Data'!B774)</f>
        <v>0</v>
      </c>
      <c r="B774" s="4">
        <f>'Raw Data'!C775*0.025</f>
        <v>0</v>
      </c>
      <c r="C774" s="4">
        <f t="shared" si="36"/>
        <v>0</v>
      </c>
      <c r="D774" s="4">
        <f>'Raw Data'!D775*0.025</f>
        <v>0</v>
      </c>
      <c r="E774" s="4">
        <f t="shared" si="37"/>
        <v>0</v>
      </c>
      <c r="F774" s="4">
        <f>'Raw Data'!E775*0.001648</f>
        <v>0</v>
      </c>
      <c r="G774" s="4">
        <f>'Raw Data'!F775*0.001648</f>
        <v>0</v>
      </c>
      <c r="H774" s="4">
        <f>'Raw Data'!G775*6*0.000128176</f>
        <v>0</v>
      </c>
      <c r="I774" s="4">
        <f>'Raw Data'!H775*0.000732435</f>
        <v>0</v>
      </c>
      <c r="J774" s="4">
        <f t="shared" si="38"/>
        <v>0</v>
      </c>
      <c r="K774" s="36">
        <f>IF(('Raw Data'!I775-16384)/32768&lt;0,0,('Raw Data'!I775-16384)/32768)</f>
        <v>0</v>
      </c>
      <c r="L774" s="4">
        <f>IF(('Raw Data'!J775-12010)/45.6=-263.377192982456,0,('Raw Data'!J775-12010)/45.6)</f>
        <v>0</v>
      </c>
      <c r="M774" s="16">
        <f>'Raw Data'!N775*2^-8</f>
        <v>0</v>
      </c>
      <c r="N774" s="16">
        <f>'Raw Data'!O775*2^-8</f>
        <v>0</v>
      </c>
      <c r="O774" s="17" t="str">
        <f>IF(BITWISE_AND('Raw Data'!$K775, 8192),"X","")</f>
        <v/>
      </c>
      <c r="P774" s="17" t="str">
        <f>IF(BITWISE_AND('Raw Data'!$K775, 2048),"X","")</f>
        <v/>
      </c>
      <c r="Q774" s="17" t="str">
        <f>IF(BITWISE_AND('Raw Data'!$K775, 64),"X","")</f>
        <v/>
      </c>
      <c r="R774" s="18" t="str">
        <f>IF(BITWISE_AND('Raw Data'!$L775, 1024),"X","")</f>
        <v/>
      </c>
      <c r="S774" s="18" t="str">
        <f>IF(BITWISE_AND('Raw Data'!$L775, 512),"X","")</f>
        <v/>
      </c>
      <c r="T774" s="18" t="str">
        <f>IF(BITWISE_AND('Raw Data'!$L775, 256),"X","")</f>
        <v/>
      </c>
      <c r="U774" s="18" t="str">
        <f>IF(BITWISE_AND('Raw Data'!$L775, 64),"X","")</f>
        <v/>
      </c>
      <c r="V774" s="18" t="str">
        <f>IF(BITWISE_AND('Raw Data'!$L775, 2),"X","")</f>
        <v/>
      </c>
      <c r="W774" s="18" t="str">
        <f>IF(BITWISE_AND('Raw Data'!$L775, 1),"X","")</f>
        <v/>
      </c>
      <c r="X774" s="19" t="str">
        <f>IF(BITWISE_AND('Raw Data'!M775, 1),"Bat Voltage", IF(BITWISE_AND('Raw Data'!M775, 2), "Charge Current", IF(BITWISE_AND('Raw Data'!M775, 4),"Input Ilim", IF(BITWISE_AND('Raw Data'!M775, 8), "Input UV", "none"))))</f>
        <v>none</v>
      </c>
    </row>
    <row r="775" spans="1:24" x14ac:dyDescent="0.2">
      <c r="A775" s="15">
        <f>A774+TIME(0,0,'Raw Data'!B775)</f>
        <v>0</v>
      </c>
      <c r="B775" s="4">
        <f>'Raw Data'!C776*0.025</f>
        <v>0</v>
      </c>
      <c r="C775" s="4">
        <f t="shared" si="36"/>
        <v>0</v>
      </c>
      <c r="D775" s="4">
        <f>'Raw Data'!D776*0.025</f>
        <v>0</v>
      </c>
      <c r="E775" s="4">
        <f t="shared" si="37"/>
        <v>0</v>
      </c>
      <c r="F775" s="4">
        <f>'Raw Data'!E776*0.001648</f>
        <v>0</v>
      </c>
      <c r="G775" s="4">
        <f>'Raw Data'!F776*0.001648</f>
        <v>0</v>
      </c>
      <c r="H775" s="4">
        <f>'Raw Data'!G776*6*0.000128176</f>
        <v>0</v>
      </c>
      <c r="I775" s="4">
        <f>'Raw Data'!H776*0.000732435</f>
        <v>0</v>
      </c>
      <c r="J775" s="4">
        <f t="shared" si="38"/>
        <v>0</v>
      </c>
      <c r="K775" s="36">
        <f>IF(('Raw Data'!I776-16384)/32768&lt;0,0,('Raw Data'!I776-16384)/32768)</f>
        <v>0</v>
      </c>
      <c r="L775" s="4">
        <f>IF(('Raw Data'!J776-12010)/45.6=-263.377192982456,0,('Raw Data'!J776-12010)/45.6)</f>
        <v>0</v>
      </c>
      <c r="M775" s="16">
        <f>'Raw Data'!N776*2^-8</f>
        <v>0</v>
      </c>
      <c r="N775" s="16">
        <f>'Raw Data'!O776*2^-8</f>
        <v>0</v>
      </c>
      <c r="O775" s="17" t="str">
        <f>IF(BITWISE_AND('Raw Data'!$K776, 8192),"X","")</f>
        <v/>
      </c>
      <c r="P775" s="17" t="str">
        <f>IF(BITWISE_AND('Raw Data'!$K776, 2048),"X","")</f>
        <v/>
      </c>
      <c r="Q775" s="17" t="str">
        <f>IF(BITWISE_AND('Raw Data'!$K776, 64),"X","")</f>
        <v/>
      </c>
      <c r="R775" s="18" t="str">
        <f>IF(BITWISE_AND('Raw Data'!$L776, 1024),"X","")</f>
        <v/>
      </c>
      <c r="S775" s="18" t="str">
        <f>IF(BITWISE_AND('Raw Data'!$L776, 512),"X","")</f>
        <v/>
      </c>
      <c r="T775" s="18" t="str">
        <f>IF(BITWISE_AND('Raw Data'!$L776, 256),"X","")</f>
        <v/>
      </c>
      <c r="U775" s="18" t="str">
        <f>IF(BITWISE_AND('Raw Data'!$L776, 64),"X","")</f>
        <v/>
      </c>
      <c r="V775" s="18" t="str">
        <f>IF(BITWISE_AND('Raw Data'!$L776, 2),"X","")</f>
        <v/>
      </c>
      <c r="W775" s="18" t="str">
        <f>IF(BITWISE_AND('Raw Data'!$L776, 1),"X","")</f>
        <v/>
      </c>
      <c r="X775" s="19" t="str">
        <f>IF(BITWISE_AND('Raw Data'!M776, 1),"Bat Voltage", IF(BITWISE_AND('Raw Data'!M776, 2), "Charge Current", IF(BITWISE_AND('Raw Data'!M776, 4),"Input Ilim", IF(BITWISE_AND('Raw Data'!M776, 8), "Input UV", "none"))))</f>
        <v>none</v>
      </c>
    </row>
    <row r="776" spans="1:24" x14ac:dyDescent="0.2">
      <c r="A776" s="15">
        <f>A775+TIME(0,0,'Raw Data'!B776)</f>
        <v>0</v>
      </c>
      <c r="B776" s="4">
        <f>'Raw Data'!C777*0.025</f>
        <v>0</v>
      </c>
      <c r="C776" s="4">
        <f t="shared" si="36"/>
        <v>0</v>
      </c>
      <c r="D776" s="4">
        <f>'Raw Data'!D777*0.025</f>
        <v>0</v>
      </c>
      <c r="E776" s="4">
        <f t="shared" si="37"/>
        <v>0</v>
      </c>
      <c r="F776" s="4">
        <f>'Raw Data'!E777*0.001648</f>
        <v>0</v>
      </c>
      <c r="G776" s="4">
        <f>'Raw Data'!F777*0.001648</f>
        <v>0</v>
      </c>
      <c r="H776" s="4">
        <f>'Raw Data'!G777*6*0.000128176</f>
        <v>0</v>
      </c>
      <c r="I776" s="4">
        <f>'Raw Data'!H777*0.000732435</f>
        <v>0</v>
      </c>
      <c r="J776" s="4">
        <f t="shared" si="38"/>
        <v>0</v>
      </c>
      <c r="K776" s="36">
        <f>IF(('Raw Data'!I777-16384)/32768&lt;0,0,('Raw Data'!I777-16384)/32768)</f>
        <v>0</v>
      </c>
      <c r="L776" s="4">
        <f>IF(('Raw Data'!J777-12010)/45.6=-263.377192982456,0,('Raw Data'!J777-12010)/45.6)</f>
        <v>0</v>
      </c>
      <c r="M776" s="16">
        <f>'Raw Data'!N777*2^-8</f>
        <v>0</v>
      </c>
      <c r="N776" s="16">
        <f>'Raw Data'!O777*2^-8</f>
        <v>0</v>
      </c>
      <c r="O776" s="17" t="str">
        <f>IF(BITWISE_AND('Raw Data'!$K777, 8192),"X","")</f>
        <v/>
      </c>
      <c r="P776" s="17" t="str">
        <f>IF(BITWISE_AND('Raw Data'!$K777, 2048),"X","")</f>
        <v/>
      </c>
      <c r="Q776" s="17" t="str">
        <f>IF(BITWISE_AND('Raw Data'!$K777, 64),"X","")</f>
        <v/>
      </c>
      <c r="R776" s="18" t="str">
        <f>IF(BITWISE_AND('Raw Data'!$L777, 1024),"X","")</f>
        <v/>
      </c>
      <c r="S776" s="18" t="str">
        <f>IF(BITWISE_AND('Raw Data'!$L777, 512),"X","")</f>
        <v/>
      </c>
      <c r="T776" s="18" t="str">
        <f>IF(BITWISE_AND('Raw Data'!$L777, 256),"X","")</f>
        <v/>
      </c>
      <c r="U776" s="18" t="str">
        <f>IF(BITWISE_AND('Raw Data'!$L777, 64),"X","")</f>
        <v/>
      </c>
      <c r="V776" s="18" t="str">
        <f>IF(BITWISE_AND('Raw Data'!$L777, 2),"X","")</f>
        <v/>
      </c>
      <c r="W776" s="18" t="str">
        <f>IF(BITWISE_AND('Raw Data'!$L777, 1),"X","")</f>
        <v/>
      </c>
      <c r="X776" s="19" t="str">
        <f>IF(BITWISE_AND('Raw Data'!M777, 1),"Bat Voltage", IF(BITWISE_AND('Raw Data'!M777, 2), "Charge Current", IF(BITWISE_AND('Raw Data'!M777, 4),"Input Ilim", IF(BITWISE_AND('Raw Data'!M777, 8), "Input UV", "none"))))</f>
        <v>none</v>
      </c>
    </row>
    <row r="777" spans="1:24" x14ac:dyDescent="0.2">
      <c r="A777" s="15">
        <f>A776+TIME(0,0,'Raw Data'!B777)</f>
        <v>0</v>
      </c>
      <c r="B777" s="4">
        <f>'Raw Data'!C778*0.025</f>
        <v>0</v>
      </c>
      <c r="C777" s="4">
        <f t="shared" si="36"/>
        <v>0</v>
      </c>
      <c r="D777" s="4">
        <f>'Raw Data'!D778*0.025</f>
        <v>0</v>
      </c>
      <c r="E777" s="4">
        <f t="shared" si="37"/>
        <v>0</v>
      </c>
      <c r="F777" s="4">
        <f>'Raw Data'!E778*0.001648</f>
        <v>0</v>
      </c>
      <c r="G777" s="4">
        <f>'Raw Data'!F778*0.001648</f>
        <v>0</v>
      </c>
      <c r="H777" s="4">
        <f>'Raw Data'!G778*6*0.000128176</f>
        <v>0</v>
      </c>
      <c r="I777" s="4">
        <f>'Raw Data'!H778*0.000732435</f>
        <v>0</v>
      </c>
      <c r="J777" s="4">
        <f t="shared" si="38"/>
        <v>0</v>
      </c>
      <c r="K777" s="36">
        <f>IF(('Raw Data'!I778-16384)/32768&lt;0,0,('Raw Data'!I778-16384)/32768)</f>
        <v>0</v>
      </c>
      <c r="L777" s="4">
        <f>IF(('Raw Data'!J778-12010)/45.6=-263.377192982456,0,('Raw Data'!J778-12010)/45.6)</f>
        <v>0</v>
      </c>
      <c r="M777" s="16">
        <f>'Raw Data'!N778*2^-8</f>
        <v>0</v>
      </c>
      <c r="N777" s="16">
        <f>'Raw Data'!O778*2^-8</f>
        <v>0</v>
      </c>
      <c r="O777" s="17" t="str">
        <f>IF(BITWISE_AND('Raw Data'!$K778, 8192),"X","")</f>
        <v/>
      </c>
      <c r="P777" s="17" t="str">
        <f>IF(BITWISE_AND('Raw Data'!$K778, 2048),"X","")</f>
        <v/>
      </c>
      <c r="Q777" s="17" t="str">
        <f>IF(BITWISE_AND('Raw Data'!$K778, 64),"X","")</f>
        <v/>
      </c>
      <c r="R777" s="18" t="str">
        <f>IF(BITWISE_AND('Raw Data'!$L778, 1024),"X","")</f>
        <v/>
      </c>
      <c r="S777" s="18" t="str">
        <f>IF(BITWISE_AND('Raw Data'!$L778, 512),"X","")</f>
        <v/>
      </c>
      <c r="T777" s="18" t="str">
        <f>IF(BITWISE_AND('Raw Data'!$L778, 256),"X","")</f>
        <v/>
      </c>
      <c r="U777" s="18" t="str">
        <f>IF(BITWISE_AND('Raw Data'!$L778, 64),"X","")</f>
        <v/>
      </c>
      <c r="V777" s="18" t="str">
        <f>IF(BITWISE_AND('Raw Data'!$L778, 2),"X","")</f>
        <v/>
      </c>
      <c r="W777" s="18" t="str">
        <f>IF(BITWISE_AND('Raw Data'!$L778, 1),"X","")</f>
        <v/>
      </c>
      <c r="X777" s="19" t="str">
        <f>IF(BITWISE_AND('Raw Data'!M778, 1),"Bat Voltage", IF(BITWISE_AND('Raw Data'!M778, 2), "Charge Current", IF(BITWISE_AND('Raw Data'!M778, 4),"Input Ilim", IF(BITWISE_AND('Raw Data'!M778, 8), "Input UV", "none"))))</f>
        <v>none</v>
      </c>
    </row>
    <row r="778" spans="1:24" x14ac:dyDescent="0.2">
      <c r="A778" s="15">
        <f>A777+TIME(0,0,'Raw Data'!B778)</f>
        <v>0</v>
      </c>
      <c r="B778" s="4">
        <f>'Raw Data'!C779*0.025</f>
        <v>0</v>
      </c>
      <c r="C778" s="4">
        <f t="shared" si="36"/>
        <v>0</v>
      </c>
      <c r="D778" s="4">
        <f>'Raw Data'!D779*0.025</f>
        <v>0</v>
      </c>
      <c r="E778" s="4">
        <f t="shared" si="37"/>
        <v>0</v>
      </c>
      <c r="F778" s="4">
        <f>'Raw Data'!E779*0.001648</f>
        <v>0</v>
      </c>
      <c r="G778" s="4">
        <f>'Raw Data'!F779*0.001648</f>
        <v>0</v>
      </c>
      <c r="H778" s="4">
        <f>'Raw Data'!G779*6*0.000128176</f>
        <v>0</v>
      </c>
      <c r="I778" s="4">
        <f>'Raw Data'!H779*0.000732435</f>
        <v>0</v>
      </c>
      <c r="J778" s="4">
        <f t="shared" si="38"/>
        <v>0</v>
      </c>
      <c r="K778" s="36">
        <f>IF(('Raw Data'!I779-16384)/32768&lt;0,0,('Raw Data'!I779-16384)/32768)</f>
        <v>0</v>
      </c>
      <c r="L778" s="4">
        <f>IF(('Raw Data'!J779-12010)/45.6=-263.377192982456,0,('Raw Data'!J779-12010)/45.6)</f>
        <v>0</v>
      </c>
      <c r="M778" s="16">
        <f>'Raw Data'!N779*2^-8</f>
        <v>0</v>
      </c>
      <c r="N778" s="16">
        <f>'Raw Data'!O779*2^-8</f>
        <v>0</v>
      </c>
      <c r="O778" s="17" t="str">
        <f>IF(BITWISE_AND('Raw Data'!$K779, 8192),"X","")</f>
        <v/>
      </c>
      <c r="P778" s="17" t="str">
        <f>IF(BITWISE_AND('Raw Data'!$K779, 2048),"X","")</f>
        <v/>
      </c>
      <c r="Q778" s="17" t="str">
        <f>IF(BITWISE_AND('Raw Data'!$K779, 64),"X","")</f>
        <v/>
      </c>
      <c r="R778" s="18" t="str">
        <f>IF(BITWISE_AND('Raw Data'!$L779, 1024),"X","")</f>
        <v/>
      </c>
      <c r="S778" s="18" t="str">
        <f>IF(BITWISE_AND('Raw Data'!$L779, 512),"X","")</f>
        <v/>
      </c>
      <c r="T778" s="18" t="str">
        <f>IF(BITWISE_AND('Raw Data'!$L779, 256),"X","")</f>
        <v/>
      </c>
      <c r="U778" s="18" t="str">
        <f>IF(BITWISE_AND('Raw Data'!$L779, 64),"X","")</f>
        <v/>
      </c>
      <c r="V778" s="18" t="str">
        <f>IF(BITWISE_AND('Raw Data'!$L779, 2),"X","")</f>
        <v/>
      </c>
      <c r="W778" s="18" t="str">
        <f>IF(BITWISE_AND('Raw Data'!$L779, 1),"X","")</f>
        <v/>
      </c>
      <c r="X778" s="19" t="str">
        <f>IF(BITWISE_AND('Raw Data'!M779, 1),"Bat Voltage", IF(BITWISE_AND('Raw Data'!M779, 2), "Charge Current", IF(BITWISE_AND('Raw Data'!M779, 4),"Input Ilim", IF(BITWISE_AND('Raw Data'!M779, 8), "Input UV", "none"))))</f>
        <v>none</v>
      </c>
    </row>
    <row r="779" spans="1:24" x14ac:dyDescent="0.2">
      <c r="A779" s="15">
        <f>A778+TIME(0,0,'Raw Data'!B779)</f>
        <v>0</v>
      </c>
      <c r="B779" s="4">
        <f>'Raw Data'!C780*0.025</f>
        <v>0</v>
      </c>
      <c r="C779" s="4">
        <f t="shared" si="36"/>
        <v>0</v>
      </c>
      <c r="D779" s="4">
        <f>'Raw Data'!D780*0.025</f>
        <v>0</v>
      </c>
      <c r="E779" s="4">
        <f t="shared" si="37"/>
        <v>0</v>
      </c>
      <c r="F779" s="4">
        <f>'Raw Data'!E780*0.001648</f>
        <v>0</v>
      </c>
      <c r="G779" s="4">
        <f>'Raw Data'!F780*0.001648</f>
        <v>0</v>
      </c>
      <c r="H779" s="4">
        <f>'Raw Data'!G780*6*0.000128176</f>
        <v>0</v>
      </c>
      <c r="I779" s="4">
        <f>'Raw Data'!H780*0.000732435</f>
        <v>0</v>
      </c>
      <c r="J779" s="4">
        <f t="shared" si="38"/>
        <v>0</v>
      </c>
      <c r="K779" s="36">
        <f>IF(('Raw Data'!I780-16384)/32768&lt;0,0,('Raw Data'!I780-16384)/32768)</f>
        <v>0</v>
      </c>
      <c r="L779" s="4">
        <f>IF(('Raw Data'!J780-12010)/45.6=-263.377192982456,0,('Raw Data'!J780-12010)/45.6)</f>
        <v>0</v>
      </c>
      <c r="M779" s="16">
        <f>'Raw Data'!N780*2^-8</f>
        <v>0</v>
      </c>
      <c r="N779" s="16">
        <f>'Raw Data'!O780*2^-8</f>
        <v>0</v>
      </c>
      <c r="O779" s="17" t="str">
        <f>IF(BITWISE_AND('Raw Data'!$K780, 8192),"X","")</f>
        <v/>
      </c>
      <c r="P779" s="17" t="str">
        <f>IF(BITWISE_AND('Raw Data'!$K780, 2048),"X","")</f>
        <v/>
      </c>
      <c r="Q779" s="17" t="str">
        <f>IF(BITWISE_AND('Raw Data'!$K780, 64),"X","")</f>
        <v/>
      </c>
      <c r="R779" s="18" t="str">
        <f>IF(BITWISE_AND('Raw Data'!$L780, 1024),"X","")</f>
        <v/>
      </c>
      <c r="S779" s="18" t="str">
        <f>IF(BITWISE_AND('Raw Data'!$L780, 512),"X","")</f>
        <v/>
      </c>
      <c r="T779" s="18" t="str">
        <f>IF(BITWISE_AND('Raw Data'!$L780, 256),"X","")</f>
        <v/>
      </c>
      <c r="U779" s="18" t="str">
        <f>IF(BITWISE_AND('Raw Data'!$L780, 64),"X","")</f>
        <v/>
      </c>
      <c r="V779" s="18" t="str">
        <f>IF(BITWISE_AND('Raw Data'!$L780, 2),"X","")</f>
        <v/>
      </c>
      <c r="W779" s="18" t="str">
        <f>IF(BITWISE_AND('Raw Data'!$L780, 1),"X","")</f>
        <v/>
      </c>
      <c r="X779" s="19" t="str">
        <f>IF(BITWISE_AND('Raw Data'!M780, 1),"Bat Voltage", IF(BITWISE_AND('Raw Data'!M780, 2), "Charge Current", IF(BITWISE_AND('Raw Data'!M780, 4),"Input Ilim", IF(BITWISE_AND('Raw Data'!M780, 8), "Input UV", "none"))))</f>
        <v>none</v>
      </c>
    </row>
    <row r="780" spans="1:24" x14ac:dyDescent="0.2">
      <c r="A780" s="15">
        <f>A779+TIME(0,0,'Raw Data'!B780)</f>
        <v>0</v>
      </c>
      <c r="B780" s="4">
        <f>'Raw Data'!C781*0.025</f>
        <v>0</v>
      </c>
      <c r="C780" s="4">
        <f t="shared" si="36"/>
        <v>0</v>
      </c>
      <c r="D780" s="4">
        <f>'Raw Data'!D781*0.025</f>
        <v>0</v>
      </c>
      <c r="E780" s="4">
        <f t="shared" si="37"/>
        <v>0</v>
      </c>
      <c r="F780" s="4">
        <f>'Raw Data'!E781*0.001648</f>
        <v>0</v>
      </c>
      <c r="G780" s="4">
        <f>'Raw Data'!F781*0.001648</f>
        <v>0</v>
      </c>
      <c r="H780" s="4">
        <f>'Raw Data'!G781*6*0.000128176</f>
        <v>0</v>
      </c>
      <c r="I780" s="4">
        <f>'Raw Data'!H781*0.000732435</f>
        <v>0</v>
      </c>
      <c r="J780" s="4">
        <f t="shared" si="38"/>
        <v>0</v>
      </c>
      <c r="K780" s="36">
        <f>IF(('Raw Data'!I781-16384)/32768&lt;0,0,('Raw Data'!I781-16384)/32768)</f>
        <v>0</v>
      </c>
      <c r="L780" s="4">
        <f>IF(('Raw Data'!J781-12010)/45.6=-263.377192982456,0,('Raw Data'!J781-12010)/45.6)</f>
        <v>0</v>
      </c>
      <c r="M780" s="16">
        <f>'Raw Data'!N781*2^-8</f>
        <v>0</v>
      </c>
      <c r="N780" s="16">
        <f>'Raw Data'!O781*2^-8</f>
        <v>0</v>
      </c>
      <c r="O780" s="17" t="str">
        <f>IF(BITWISE_AND('Raw Data'!$K781, 8192),"X","")</f>
        <v/>
      </c>
      <c r="P780" s="17" t="str">
        <f>IF(BITWISE_AND('Raw Data'!$K781, 2048),"X","")</f>
        <v/>
      </c>
      <c r="Q780" s="17" t="str">
        <f>IF(BITWISE_AND('Raw Data'!$K781, 64),"X","")</f>
        <v/>
      </c>
      <c r="R780" s="18" t="str">
        <f>IF(BITWISE_AND('Raw Data'!$L781, 1024),"X","")</f>
        <v/>
      </c>
      <c r="S780" s="18" t="str">
        <f>IF(BITWISE_AND('Raw Data'!$L781, 512),"X","")</f>
        <v/>
      </c>
      <c r="T780" s="18" t="str">
        <f>IF(BITWISE_AND('Raw Data'!$L781, 256),"X","")</f>
        <v/>
      </c>
      <c r="U780" s="18" t="str">
        <f>IF(BITWISE_AND('Raw Data'!$L781, 64),"X","")</f>
        <v/>
      </c>
      <c r="V780" s="18" t="str">
        <f>IF(BITWISE_AND('Raw Data'!$L781, 2),"X","")</f>
        <v/>
      </c>
      <c r="W780" s="18" t="str">
        <f>IF(BITWISE_AND('Raw Data'!$L781, 1),"X","")</f>
        <v/>
      </c>
      <c r="X780" s="19" t="str">
        <f>IF(BITWISE_AND('Raw Data'!M781, 1),"Bat Voltage", IF(BITWISE_AND('Raw Data'!M781, 2), "Charge Current", IF(BITWISE_AND('Raw Data'!M781, 4),"Input Ilim", IF(BITWISE_AND('Raw Data'!M781, 8), "Input UV", "none"))))</f>
        <v>none</v>
      </c>
    </row>
    <row r="781" spans="1:24" x14ac:dyDescent="0.2">
      <c r="A781" s="15">
        <f>A780+TIME(0,0,'Raw Data'!B781)</f>
        <v>0</v>
      </c>
      <c r="B781" s="4">
        <f>'Raw Data'!C782*0.025</f>
        <v>0</v>
      </c>
      <c r="C781" s="4">
        <f t="shared" si="36"/>
        <v>0</v>
      </c>
      <c r="D781" s="4">
        <f>'Raw Data'!D782*0.025</f>
        <v>0</v>
      </c>
      <c r="E781" s="4">
        <f t="shared" si="37"/>
        <v>0</v>
      </c>
      <c r="F781" s="4">
        <f>'Raw Data'!E782*0.001648</f>
        <v>0</v>
      </c>
      <c r="G781" s="4">
        <f>'Raw Data'!F782*0.001648</f>
        <v>0</v>
      </c>
      <c r="H781" s="4">
        <f>'Raw Data'!G782*6*0.000128176</f>
        <v>0</v>
      </c>
      <c r="I781" s="4">
        <f>'Raw Data'!H782*0.000732435</f>
        <v>0</v>
      </c>
      <c r="J781" s="4">
        <f t="shared" si="38"/>
        <v>0</v>
      </c>
      <c r="K781" s="36">
        <f>IF(('Raw Data'!I782-16384)/32768&lt;0,0,('Raw Data'!I782-16384)/32768)</f>
        <v>0</v>
      </c>
      <c r="L781" s="4">
        <f>IF(('Raw Data'!J782-12010)/45.6=-263.377192982456,0,('Raw Data'!J782-12010)/45.6)</f>
        <v>0</v>
      </c>
      <c r="M781" s="16">
        <f>'Raw Data'!N782*2^-8</f>
        <v>0</v>
      </c>
      <c r="N781" s="16">
        <f>'Raw Data'!O782*2^-8</f>
        <v>0</v>
      </c>
      <c r="O781" s="17" t="str">
        <f>IF(BITWISE_AND('Raw Data'!$K782, 8192),"X","")</f>
        <v/>
      </c>
      <c r="P781" s="17" t="str">
        <f>IF(BITWISE_AND('Raw Data'!$K782, 2048),"X","")</f>
        <v/>
      </c>
      <c r="Q781" s="17" t="str">
        <f>IF(BITWISE_AND('Raw Data'!$K782, 64),"X","")</f>
        <v/>
      </c>
      <c r="R781" s="18" t="str">
        <f>IF(BITWISE_AND('Raw Data'!$L782, 1024),"X","")</f>
        <v/>
      </c>
      <c r="S781" s="18" t="str">
        <f>IF(BITWISE_AND('Raw Data'!$L782, 512),"X","")</f>
        <v/>
      </c>
      <c r="T781" s="18" t="str">
        <f>IF(BITWISE_AND('Raw Data'!$L782, 256),"X","")</f>
        <v/>
      </c>
      <c r="U781" s="18" t="str">
        <f>IF(BITWISE_AND('Raw Data'!$L782, 64),"X","")</f>
        <v/>
      </c>
      <c r="V781" s="18" t="str">
        <f>IF(BITWISE_AND('Raw Data'!$L782, 2),"X","")</f>
        <v/>
      </c>
      <c r="W781" s="18" t="str">
        <f>IF(BITWISE_AND('Raw Data'!$L782, 1),"X","")</f>
        <v/>
      </c>
      <c r="X781" s="19" t="str">
        <f>IF(BITWISE_AND('Raw Data'!M782, 1),"Bat Voltage", IF(BITWISE_AND('Raw Data'!M782, 2), "Charge Current", IF(BITWISE_AND('Raw Data'!M782, 4),"Input Ilim", IF(BITWISE_AND('Raw Data'!M782, 8), "Input UV", "none"))))</f>
        <v>none</v>
      </c>
    </row>
    <row r="782" spans="1:24" x14ac:dyDescent="0.2">
      <c r="A782" s="15">
        <f>A781+TIME(0,0,'Raw Data'!B782)</f>
        <v>0</v>
      </c>
      <c r="B782" s="4">
        <f>'Raw Data'!C783*0.025</f>
        <v>0</v>
      </c>
      <c r="C782" s="4">
        <f t="shared" si="36"/>
        <v>0</v>
      </c>
      <c r="D782" s="4">
        <f>'Raw Data'!D783*0.025</f>
        <v>0</v>
      </c>
      <c r="E782" s="4">
        <f t="shared" si="37"/>
        <v>0</v>
      </c>
      <c r="F782" s="4">
        <f>'Raw Data'!E783*0.001648</f>
        <v>0</v>
      </c>
      <c r="G782" s="4">
        <f>'Raw Data'!F783*0.001648</f>
        <v>0</v>
      </c>
      <c r="H782" s="4">
        <f>'Raw Data'!G783*6*0.000128176</f>
        <v>0</v>
      </c>
      <c r="I782" s="4">
        <f>'Raw Data'!H783*0.000732435</f>
        <v>0</v>
      </c>
      <c r="J782" s="4">
        <f t="shared" si="38"/>
        <v>0</v>
      </c>
      <c r="K782" s="36">
        <f>IF(('Raw Data'!I783-16384)/32768&lt;0,0,('Raw Data'!I783-16384)/32768)</f>
        <v>0</v>
      </c>
      <c r="L782" s="4">
        <f>IF(('Raw Data'!J783-12010)/45.6=-263.377192982456,0,('Raw Data'!J783-12010)/45.6)</f>
        <v>0</v>
      </c>
      <c r="M782" s="16">
        <f>'Raw Data'!N783*2^-8</f>
        <v>0</v>
      </c>
      <c r="N782" s="16">
        <f>'Raw Data'!O783*2^-8</f>
        <v>0</v>
      </c>
      <c r="O782" s="17" t="str">
        <f>IF(BITWISE_AND('Raw Data'!$K783, 8192),"X","")</f>
        <v/>
      </c>
      <c r="P782" s="17" t="str">
        <f>IF(BITWISE_AND('Raw Data'!$K783, 2048),"X","")</f>
        <v/>
      </c>
      <c r="Q782" s="17" t="str">
        <f>IF(BITWISE_AND('Raw Data'!$K783, 64),"X","")</f>
        <v/>
      </c>
      <c r="R782" s="18" t="str">
        <f>IF(BITWISE_AND('Raw Data'!$L783, 1024),"X","")</f>
        <v/>
      </c>
      <c r="S782" s="18" t="str">
        <f>IF(BITWISE_AND('Raw Data'!$L783, 512),"X","")</f>
        <v/>
      </c>
      <c r="T782" s="18" t="str">
        <f>IF(BITWISE_AND('Raw Data'!$L783, 256),"X","")</f>
        <v/>
      </c>
      <c r="U782" s="18" t="str">
        <f>IF(BITWISE_AND('Raw Data'!$L783, 64),"X","")</f>
        <v/>
      </c>
      <c r="V782" s="18" t="str">
        <f>IF(BITWISE_AND('Raw Data'!$L783, 2),"X","")</f>
        <v/>
      </c>
      <c r="W782" s="18" t="str">
        <f>IF(BITWISE_AND('Raw Data'!$L783, 1),"X","")</f>
        <v/>
      </c>
      <c r="X782" s="19" t="str">
        <f>IF(BITWISE_AND('Raw Data'!M783, 1),"Bat Voltage", IF(BITWISE_AND('Raw Data'!M783, 2), "Charge Current", IF(BITWISE_AND('Raw Data'!M783, 4),"Input Ilim", IF(BITWISE_AND('Raw Data'!M783, 8), "Input UV", "none"))))</f>
        <v>none</v>
      </c>
    </row>
    <row r="783" spans="1:24" x14ac:dyDescent="0.2">
      <c r="A783" s="15">
        <f>A782+TIME(0,0,'Raw Data'!B783)</f>
        <v>0</v>
      </c>
      <c r="B783" s="4">
        <f>'Raw Data'!C784*0.025</f>
        <v>0</v>
      </c>
      <c r="C783" s="4">
        <f t="shared" si="36"/>
        <v>0</v>
      </c>
      <c r="D783" s="4">
        <f>'Raw Data'!D784*0.025</f>
        <v>0</v>
      </c>
      <c r="E783" s="4">
        <f t="shared" si="37"/>
        <v>0</v>
      </c>
      <c r="F783" s="4">
        <f>'Raw Data'!E784*0.001648</f>
        <v>0</v>
      </c>
      <c r="G783" s="4">
        <f>'Raw Data'!F784*0.001648</f>
        <v>0</v>
      </c>
      <c r="H783" s="4">
        <f>'Raw Data'!G784*6*0.000128176</f>
        <v>0</v>
      </c>
      <c r="I783" s="4">
        <f>'Raw Data'!H784*0.000732435</f>
        <v>0</v>
      </c>
      <c r="J783" s="4">
        <f t="shared" si="38"/>
        <v>0</v>
      </c>
      <c r="K783" s="36">
        <f>IF(('Raw Data'!I784-16384)/32768&lt;0,0,('Raw Data'!I784-16384)/32768)</f>
        <v>0</v>
      </c>
      <c r="L783" s="4">
        <f>IF(('Raw Data'!J784-12010)/45.6=-263.377192982456,0,('Raw Data'!J784-12010)/45.6)</f>
        <v>0</v>
      </c>
      <c r="M783" s="16">
        <f>'Raw Data'!N784*2^-8</f>
        <v>0</v>
      </c>
      <c r="N783" s="16">
        <f>'Raw Data'!O784*2^-8</f>
        <v>0</v>
      </c>
      <c r="O783" s="17" t="str">
        <f>IF(BITWISE_AND('Raw Data'!$K784, 8192),"X","")</f>
        <v/>
      </c>
      <c r="P783" s="17" t="str">
        <f>IF(BITWISE_AND('Raw Data'!$K784, 2048),"X","")</f>
        <v/>
      </c>
      <c r="Q783" s="17" t="str">
        <f>IF(BITWISE_AND('Raw Data'!$K784, 64),"X","")</f>
        <v/>
      </c>
      <c r="R783" s="18" t="str">
        <f>IF(BITWISE_AND('Raw Data'!$L784, 1024),"X","")</f>
        <v/>
      </c>
      <c r="S783" s="18" t="str">
        <f>IF(BITWISE_AND('Raw Data'!$L784, 512),"X","")</f>
        <v/>
      </c>
      <c r="T783" s="18" t="str">
        <f>IF(BITWISE_AND('Raw Data'!$L784, 256),"X","")</f>
        <v/>
      </c>
      <c r="U783" s="18" t="str">
        <f>IF(BITWISE_AND('Raw Data'!$L784, 64),"X","")</f>
        <v/>
      </c>
      <c r="V783" s="18" t="str">
        <f>IF(BITWISE_AND('Raw Data'!$L784, 2),"X","")</f>
        <v/>
      </c>
      <c r="W783" s="18" t="str">
        <f>IF(BITWISE_AND('Raw Data'!$L784, 1),"X","")</f>
        <v/>
      </c>
      <c r="X783" s="19" t="str">
        <f>IF(BITWISE_AND('Raw Data'!M784, 1),"Bat Voltage", IF(BITWISE_AND('Raw Data'!M784, 2), "Charge Current", IF(BITWISE_AND('Raw Data'!M784, 4),"Input Ilim", IF(BITWISE_AND('Raw Data'!M784, 8), "Input UV", "none"))))</f>
        <v>none</v>
      </c>
    </row>
    <row r="784" spans="1:24" x14ac:dyDescent="0.2">
      <c r="A784" s="15">
        <f>A783+TIME(0,0,'Raw Data'!B784)</f>
        <v>0</v>
      </c>
      <c r="B784" s="4">
        <f>'Raw Data'!C785*0.025</f>
        <v>0</v>
      </c>
      <c r="C784" s="4">
        <f t="shared" si="36"/>
        <v>0</v>
      </c>
      <c r="D784" s="4">
        <f>'Raw Data'!D785*0.025</f>
        <v>0</v>
      </c>
      <c r="E784" s="4">
        <f t="shared" si="37"/>
        <v>0</v>
      </c>
      <c r="F784" s="4">
        <f>'Raw Data'!E785*0.001648</f>
        <v>0</v>
      </c>
      <c r="G784" s="4">
        <f>'Raw Data'!F785*0.001648</f>
        <v>0</v>
      </c>
      <c r="H784" s="4">
        <f>'Raw Data'!G785*6*0.000128176</f>
        <v>0</v>
      </c>
      <c r="I784" s="4">
        <f>'Raw Data'!H785*0.000732435</f>
        <v>0</v>
      </c>
      <c r="J784" s="4">
        <f t="shared" si="38"/>
        <v>0</v>
      </c>
      <c r="K784" s="36">
        <f>IF(('Raw Data'!I785-16384)/32768&lt;0,0,('Raw Data'!I785-16384)/32768)</f>
        <v>0</v>
      </c>
      <c r="L784" s="4">
        <f>IF(('Raw Data'!J785-12010)/45.6=-263.377192982456,0,('Raw Data'!J785-12010)/45.6)</f>
        <v>0</v>
      </c>
      <c r="M784" s="16">
        <f>'Raw Data'!N785*2^-8</f>
        <v>0</v>
      </c>
      <c r="N784" s="16">
        <f>'Raw Data'!O785*2^-8</f>
        <v>0</v>
      </c>
      <c r="O784" s="17" t="str">
        <f>IF(BITWISE_AND('Raw Data'!$K785, 8192),"X","")</f>
        <v/>
      </c>
      <c r="P784" s="17" t="str">
        <f>IF(BITWISE_AND('Raw Data'!$K785, 2048),"X","")</f>
        <v/>
      </c>
      <c r="Q784" s="17" t="str">
        <f>IF(BITWISE_AND('Raw Data'!$K785, 64),"X","")</f>
        <v/>
      </c>
      <c r="R784" s="18" t="str">
        <f>IF(BITWISE_AND('Raw Data'!$L785, 1024),"X","")</f>
        <v/>
      </c>
      <c r="S784" s="18" t="str">
        <f>IF(BITWISE_AND('Raw Data'!$L785, 512),"X","")</f>
        <v/>
      </c>
      <c r="T784" s="18" t="str">
        <f>IF(BITWISE_AND('Raw Data'!$L785, 256),"X","")</f>
        <v/>
      </c>
      <c r="U784" s="18" t="str">
        <f>IF(BITWISE_AND('Raw Data'!$L785, 64),"X","")</f>
        <v/>
      </c>
      <c r="V784" s="18" t="str">
        <f>IF(BITWISE_AND('Raw Data'!$L785, 2),"X","")</f>
        <v/>
      </c>
      <c r="W784" s="18" t="str">
        <f>IF(BITWISE_AND('Raw Data'!$L785, 1),"X","")</f>
        <v/>
      </c>
      <c r="X784" s="19" t="str">
        <f>IF(BITWISE_AND('Raw Data'!M785, 1),"Bat Voltage", IF(BITWISE_AND('Raw Data'!M785, 2), "Charge Current", IF(BITWISE_AND('Raw Data'!M785, 4),"Input Ilim", IF(BITWISE_AND('Raw Data'!M785, 8), "Input UV", "none"))))</f>
        <v>none</v>
      </c>
    </row>
    <row r="785" spans="1:24" x14ac:dyDescent="0.2">
      <c r="A785" s="15">
        <f>A784+TIME(0,0,'Raw Data'!B785)</f>
        <v>0</v>
      </c>
      <c r="B785" s="4">
        <f>'Raw Data'!C786*0.025</f>
        <v>0</v>
      </c>
      <c r="C785" s="4">
        <f t="shared" si="36"/>
        <v>0</v>
      </c>
      <c r="D785" s="4">
        <f>'Raw Data'!D786*0.025</f>
        <v>0</v>
      </c>
      <c r="E785" s="4">
        <f t="shared" si="37"/>
        <v>0</v>
      </c>
      <c r="F785" s="4">
        <f>'Raw Data'!E786*0.001648</f>
        <v>0</v>
      </c>
      <c r="G785" s="4">
        <f>'Raw Data'!F786*0.001648</f>
        <v>0</v>
      </c>
      <c r="H785" s="4">
        <f>'Raw Data'!G786*6*0.000128176</f>
        <v>0</v>
      </c>
      <c r="I785" s="4">
        <f>'Raw Data'!H786*0.000732435</f>
        <v>0</v>
      </c>
      <c r="J785" s="4">
        <f t="shared" si="38"/>
        <v>0</v>
      </c>
      <c r="K785" s="36">
        <f>IF(('Raw Data'!I786-16384)/32768&lt;0,0,('Raw Data'!I786-16384)/32768)</f>
        <v>0</v>
      </c>
      <c r="L785" s="4">
        <f>IF(('Raw Data'!J786-12010)/45.6=-263.377192982456,0,('Raw Data'!J786-12010)/45.6)</f>
        <v>0</v>
      </c>
      <c r="M785" s="16">
        <f>'Raw Data'!N786*2^-8</f>
        <v>0</v>
      </c>
      <c r="N785" s="16">
        <f>'Raw Data'!O786*2^-8</f>
        <v>0</v>
      </c>
      <c r="O785" s="17" t="str">
        <f>IF(BITWISE_AND('Raw Data'!$K786, 8192),"X","")</f>
        <v/>
      </c>
      <c r="P785" s="17" t="str">
        <f>IF(BITWISE_AND('Raw Data'!$K786, 2048),"X","")</f>
        <v/>
      </c>
      <c r="Q785" s="17" t="str">
        <f>IF(BITWISE_AND('Raw Data'!$K786, 64),"X","")</f>
        <v/>
      </c>
      <c r="R785" s="18" t="str">
        <f>IF(BITWISE_AND('Raw Data'!$L786, 1024),"X","")</f>
        <v/>
      </c>
      <c r="S785" s="18" t="str">
        <f>IF(BITWISE_AND('Raw Data'!$L786, 512),"X","")</f>
        <v/>
      </c>
      <c r="T785" s="18" t="str">
        <f>IF(BITWISE_AND('Raw Data'!$L786, 256),"X","")</f>
        <v/>
      </c>
      <c r="U785" s="18" t="str">
        <f>IF(BITWISE_AND('Raw Data'!$L786, 64),"X","")</f>
        <v/>
      </c>
      <c r="V785" s="18" t="str">
        <f>IF(BITWISE_AND('Raw Data'!$L786, 2),"X","")</f>
        <v/>
      </c>
      <c r="W785" s="18" t="str">
        <f>IF(BITWISE_AND('Raw Data'!$L786, 1),"X","")</f>
        <v/>
      </c>
      <c r="X785" s="19" t="str">
        <f>IF(BITWISE_AND('Raw Data'!M786, 1),"Bat Voltage", IF(BITWISE_AND('Raw Data'!M786, 2), "Charge Current", IF(BITWISE_AND('Raw Data'!M786, 4),"Input Ilim", IF(BITWISE_AND('Raw Data'!M786, 8), "Input UV", "none"))))</f>
        <v>none</v>
      </c>
    </row>
    <row r="786" spans="1:24" x14ac:dyDescent="0.2">
      <c r="A786" s="15">
        <f>A785+TIME(0,0,'Raw Data'!B786)</f>
        <v>0</v>
      </c>
      <c r="B786" s="4">
        <f>'Raw Data'!C787*0.025</f>
        <v>0</v>
      </c>
      <c r="C786" s="4">
        <f t="shared" si="36"/>
        <v>0</v>
      </c>
      <c r="D786" s="4">
        <f>'Raw Data'!D787*0.025</f>
        <v>0</v>
      </c>
      <c r="E786" s="4">
        <f t="shared" si="37"/>
        <v>0</v>
      </c>
      <c r="F786" s="4">
        <f>'Raw Data'!E787*0.001648</f>
        <v>0</v>
      </c>
      <c r="G786" s="4">
        <f>'Raw Data'!F787*0.001648</f>
        <v>0</v>
      </c>
      <c r="H786" s="4">
        <f>'Raw Data'!G787*6*0.000128176</f>
        <v>0</v>
      </c>
      <c r="I786" s="4">
        <f>'Raw Data'!H787*0.000732435</f>
        <v>0</v>
      </c>
      <c r="J786" s="4">
        <f t="shared" si="38"/>
        <v>0</v>
      </c>
      <c r="K786" s="36">
        <f>IF(('Raw Data'!I787-16384)/32768&lt;0,0,('Raw Data'!I787-16384)/32768)</f>
        <v>0</v>
      </c>
      <c r="L786" s="4">
        <f>IF(('Raw Data'!J787-12010)/45.6=-263.377192982456,0,('Raw Data'!J787-12010)/45.6)</f>
        <v>0</v>
      </c>
      <c r="M786" s="16">
        <f>'Raw Data'!N787*2^-8</f>
        <v>0</v>
      </c>
      <c r="N786" s="16">
        <f>'Raw Data'!O787*2^-8</f>
        <v>0</v>
      </c>
      <c r="O786" s="17" t="str">
        <f>IF(BITWISE_AND('Raw Data'!$K787, 8192),"X","")</f>
        <v/>
      </c>
      <c r="P786" s="17" t="str">
        <f>IF(BITWISE_AND('Raw Data'!$K787, 2048),"X","")</f>
        <v/>
      </c>
      <c r="Q786" s="17" t="str">
        <f>IF(BITWISE_AND('Raw Data'!$K787, 64),"X","")</f>
        <v/>
      </c>
      <c r="R786" s="18" t="str">
        <f>IF(BITWISE_AND('Raw Data'!$L787, 1024),"X","")</f>
        <v/>
      </c>
      <c r="S786" s="18" t="str">
        <f>IF(BITWISE_AND('Raw Data'!$L787, 512),"X","")</f>
        <v/>
      </c>
      <c r="T786" s="18" t="str">
        <f>IF(BITWISE_AND('Raw Data'!$L787, 256),"X","")</f>
        <v/>
      </c>
      <c r="U786" s="18" t="str">
        <f>IF(BITWISE_AND('Raw Data'!$L787, 64),"X","")</f>
        <v/>
      </c>
      <c r="V786" s="18" t="str">
        <f>IF(BITWISE_AND('Raw Data'!$L787, 2),"X","")</f>
        <v/>
      </c>
      <c r="W786" s="18" t="str">
        <f>IF(BITWISE_AND('Raw Data'!$L787, 1),"X","")</f>
        <v/>
      </c>
      <c r="X786" s="19" t="str">
        <f>IF(BITWISE_AND('Raw Data'!M787, 1),"Bat Voltage", IF(BITWISE_AND('Raw Data'!M787, 2), "Charge Current", IF(BITWISE_AND('Raw Data'!M787, 4),"Input Ilim", IF(BITWISE_AND('Raw Data'!M787, 8), "Input UV", "none"))))</f>
        <v>none</v>
      </c>
    </row>
    <row r="787" spans="1:24" x14ac:dyDescent="0.2">
      <c r="A787" s="15">
        <f>A786+TIME(0,0,'Raw Data'!B787)</f>
        <v>0</v>
      </c>
      <c r="B787" s="4">
        <f>'Raw Data'!C788*0.025</f>
        <v>0</v>
      </c>
      <c r="C787" s="4">
        <f t="shared" si="36"/>
        <v>0</v>
      </c>
      <c r="D787" s="4">
        <f>'Raw Data'!D788*0.025</f>
        <v>0</v>
      </c>
      <c r="E787" s="4">
        <f t="shared" si="37"/>
        <v>0</v>
      </c>
      <c r="F787" s="4">
        <f>'Raw Data'!E788*0.001648</f>
        <v>0</v>
      </c>
      <c r="G787" s="4">
        <f>'Raw Data'!F788*0.001648</f>
        <v>0</v>
      </c>
      <c r="H787" s="4">
        <f>'Raw Data'!G788*6*0.000128176</f>
        <v>0</v>
      </c>
      <c r="I787" s="4">
        <f>'Raw Data'!H788*0.000732435</f>
        <v>0</v>
      </c>
      <c r="J787" s="4">
        <f t="shared" si="38"/>
        <v>0</v>
      </c>
      <c r="K787" s="36">
        <f>IF(('Raw Data'!I788-16384)/32768&lt;0,0,('Raw Data'!I788-16384)/32768)</f>
        <v>0</v>
      </c>
      <c r="L787" s="4">
        <f>IF(('Raw Data'!J788-12010)/45.6=-263.377192982456,0,('Raw Data'!J788-12010)/45.6)</f>
        <v>0</v>
      </c>
      <c r="M787" s="16">
        <f>'Raw Data'!N788*2^-8</f>
        <v>0</v>
      </c>
      <c r="N787" s="16">
        <f>'Raw Data'!O788*2^-8</f>
        <v>0</v>
      </c>
      <c r="O787" s="17" t="str">
        <f>IF(BITWISE_AND('Raw Data'!$K788, 8192),"X","")</f>
        <v/>
      </c>
      <c r="P787" s="17" t="str">
        <f>IF(BITWISE_AND('Raw Data'!$K788, 2048),"X","")</f>
        <v/>
      </c>
      <c r="Q787" s="17" t="str">
        <f>IF(BITWISE_AND('Raw Data'!$K788, 64),"X","")</f>
        <v/>
      </c>
      <c r="R787" s="18" t="str">
        <f>IF(BITWISE_AND('Raw Data'!$L788, 1024),"X","")</f>
        <v/>
      </c>
      <c r="S787" s="18" t="str">
        <f>IF(BITWISE_AND('Raw Data'!$L788, 512),"X","")</f>
        <v/>
      </c>
      <c r="T787" s="18" t="str">
        <f>IF(BITWISE_AND('Raw Data'!$L788, 256),"X","")</f>
        <v/>
      </c>
      <c r="U787" s="18" t="str">
        <f>IF(BITWISE_AND('Raw Data'!$L788, 64),"X","")</f>
        <v/>
      </c>
      <c r="V787" s="18" t="str">
        <f>IF(BITWISE_AND('Raw Data'!$L788, 2),"X","")</f>
        <v/>
      </c>
      <c r="W787" s="18" t="str">
        <f>IF(BITWISE_AND('Raw Data'!$L788, 1),"X","")</f>
        <v/>
      </c>
      <c r="X787" s="19" t="str">
        <f>IF(BITWISE_AND('Raw Data'!M788, 1),"Bat Voltage", IF(BITWISE_AND('Raw Data'!M788, 2), "Charge Current", IF(BITWISE_AND('Raw Data'!M788, 4),"Input Ilim", IF(BITWISE_AND('Raw Data'!M788, 8), "Input UV", "none"))))</f>
        <v>none</v>
      </c>
    </row>
    <row r="788" spans="1:24" x14ac:dyDescent="0.2">
      <c r="A788" s="15">
        <f>A787+TIME(0,0,'Raw Data'!B788)</f>
        <v>0</v>
      </c>
      <c r="B788" s="4">
        <f>'Raw Data'!C789*0.025</f>
        <v>0</v>
      </c>
      <c r="C788" s="4">
        <f t="shared" si="36"/>
        <v>0</v>
      </c>
      <c r="D788" s="4">
        <f>'Raw Data'!D789*0.025</f>
        <v>0</v>
      </c>
      <c r="E788" s="4">
        <f t="shared" si="37"/>
        <v>0</v>
      </c>
      <c r="F788" s="4">
        <f>'Raw Data'!E789*0.001648</f>
        <v>0</v>
      </c>
      <c r="G788" s="4">
        <f>'Raw Data'!F789*0.001648</f>
        <v>0</v>
      </c>
      <c r="H788" s="4">
        <f>'Raw Data'!G789*6*0.000128176</f>
        <v>0</v>
      </c>
      <c r="I788" s="4">
        <f>'Raw Data'!H789*0.000732435</f>
        <v>0</v>
      </c>
      <c r="J788" s="4">
        <f t="shared" si="38"/>
        <v>0</v>
      </c>
      <c r="K788" s="36">
        <f>IF(('Raw Data'!I789-16384)/32768&lt;0,0,('Raw Data'!I789-16384)/32768)</f>
        <v>0</v>
      </c>
      <c r="L788" s="4">
        <f>IF(('Raw Data'!J789-12010)/45.6=-263.377192982456,0,('Raw Data'!J789-12010)/45.6)</f>
        <v>0</v>
      </c>
      <c r="M788" s="16">
        <f>'Raw Data'!N789*2^-8</f>
        <v>0</v>
      </c>
      <c r="N788" s="16">
        <f>'Raw Data'!O789*2^-8</f>
        <v>0</v>
      </c>
      <c r="O788" s="17" t="str">
        <f>IF(BITWISE_AND('Raw Data'!$K789, 8192),"X","")</f>
        <v/>
      </c>
      <c r="P788" s="17" t="str">
        <f>IF(BITWISE_AND('Raw Data'!$K789, 2048),"X","")</f>
        <v/>
      </c>
      <c r="Q788" s="17" t="str">
        <f>IF(BITWISE_AND('Raw Data'!$K789, 64),"X","")</f>
        <v/>
      </c>
      <c r="R788" s="18" t="str">
        <f>IF(BITWISE_AND('Raw Data'!$L789, 1024),"X","")</f>
        <v/>
      </c>
      <c r="S788" s="18" t="str">
        <f>IF(BITWISE_AND('Raw Data'!$L789, 512),"X","")</f>
        <v/>
      </c>
      <c r="T788" s="18" t="str">
        <f>IF(BITWISE_AND('Raw Data'!$L789, 256),"X","")</f>
        <v/>
      </c>
      <c r="U788" s="18" t="str">
        <f>IF(BITWISE_AND('Raw Data'!$L789, 64),"X","")</f>
        <v/>
      </c>
      <c r="V788" s="18" t="str">
        <f>IF(BITWISE_AND('Raw Data'!$L789, 2),"X","")</f>
        <v/>
      </c>
      <c r="W788" s="18" t="str">
        <f>IF(BITWISE_AND('Raw Data'!$L789, 1),"X","")</f>
        <v/>
      </c>
      <c r="X788" s="19" t="str">
        <f>IF(BITWISE_AND('Raw Data'!M789, 1),"Bat Voltage", IF(BITWISE_AND('Raw Data'!M789, 2), "Charge Current", IF(BITWISE_AND('Raw Data'!M789, 4),"Input Ilim", IF(BITWISE_AND('Raw Data'!M789, 8), "Input UV", "none"))))</f>
        <v>none</v>
      </c>
    </row>
    <row r="789" spans="1:24" x14ac:dyDescent="0.2">
      <c r="A789" s="15">
        <f>A788+TIME(0,0,'Raw Data'!B789)</f>
        <v>0</v>
      </c>
      <c r="B789" s="4">
        <f>'Raw Data'!C790*0.025</f>
        <v>0</v>
      </c>
      <c r="C789" s="4">
        <f t="shared" ref="C789:C852" si="39">C788+B789/60</f>
        <v>0</v>
      </c>
      <c r="D789" s="4">
        <f>'Raw Data'!D790*0.025</f>
        <v>0</v>
      </c>
      <c r="E789" s="4">
        <f t="shared" ref="E789:E852" si="40">E788+D789/60</f>
        <v>0</v>
      </c>
      <c r="F789" s="4">
        <f>'Raw Data'!E790*0.001648</f>
        <v>0</v>
      </c>
      <c r="G789" s="4">
        <f>'Raw Data'!F790*0.001648</f>
        <v>0</v>
      </c>
      <c r="H789" s="4">
        <f>'Raw Data'!G790*6*0.000128176</f>
        <v>0</v>
      </c>
      <c r="I789" s="4">
        <f>'Raw Data'!H790*0.000732435</f>
        <v>0</v>
      </c>
      <c r="J789" s="4">
        <f t="shared" si="38"/>
        <v>0</v>
      </c>
      <c r="K789" s="36">
        <f>IF(('Raw Data'!I790-16384)/32768&lt;0,0,('Raw Data'!I790-16384)/32768)</f>
        <v>0</v>
      </c>
      <c r="L789" s="4">
        <f>IF(('Raw Data'!J790-12010)/45.6=-263.377192982456,0,('Raw Data'!J790-12010)/45.6)</f>
        <v>0</v>
      </c>
      <c r="M789" s="16">
        <f>'Raw Data'!N790*2^-8</f>
        <v>0</v>
      </c>
      <c r="N789" s="16">
        <f>'Raw Data'!O790*2^-8</f>
        <v>0</v>
      </c>
      <c r="O789" s="17" t="str">
        <f>IF(BITWISE_AND('Raw Data'!$K790, 8192),"X","")</f>
        <v/>
      </c>
      <c r="P789" s="17" t="str">
        <f>IF(BITWISE_AND('Raw Data'!$K790, 2048),"X","")</f>
        <v/>
      </c>
      <c r="Q789" s="17" t="str">
        <f>IF(BITWISE_AND('Raw Data'!$K790, 64),"X","")</f>
        <v/>
      </c>
      <c r="R789" s="18" t="str">
        <f>IF(BITWISE_AND('Raw Data'!$L790, 1024),"X","")</f>
        <v/>
      </c>
      <c r="S789" s="18" t="str">
        <f>IF(BITWISE_AND('Raw Data'!$L790, 512),"X","")</f>
        <v/>
      </c>
      <c r="T789" s="18" t="str">
        <f>IF(BITWISE_AND('Raw Data'!$L790, 256),"X","")</f>
        <v/>
      </c>
      <c r="U789" s="18" t="str">
        <f>IF(BITWISE_AND('Raw Data'!$L790, 64),"X","")</f>
        <v/>
      </c>
      <c r="V789" s="18" t="str">
        <f>IF(BITWISE_AND('Raw Data'!$L790, 2),"X","")</f>
        <v/>
      </c>
      <c r="W789" s="18" t="str">
        <f>IF(BITWISE_AND('Raw Data'!$L790, 1),"X","")</f>
        <v/>
      </c>
      <c r="X789" s="19" t="str">
        <f>IF(BITWISE_AND('Raw Data'!M790, 1),"Bat Voltage", IF(BITWISE_AND('Raw Data'!M790, 2), "Charge Current", IF(BITWISE_AND('Raw Data'!M790, 4),"Input Ilim", IF(BITWISE_AND('Raw Data'!M790, 8), "Input UV", "none"))))</f>
        <v>none</v>
      </c>
    </row>
    <row r="790" spans="1:24" x14ac:dyDescent="0.2">
      <c r="A790" s="15">
        <f>A789+TIME(0,0,'Raw Data'!B790)</f>
        <v>0</v>
      </c>
      <c r="B790" s="4">
        <f>'Raw Data'!C791*0.025</f>
        <v>0</v>
      </c>
      <c r="C790" s="4">
        <f t="shared" si="39"/>
        <v>0</v>
      </c>
      <c r="D790" s="4">
        <f>'Raw Data'!D791*0.025</f>
        <v>0</v>
      </c>
      <c r="E790" s="4">
        <f t="shared" si="40"/>
        <v>0</v>
      </c>
      <c r="F790" s="4">
        <f>'Raw Data'!E791*0.001648</f>
        <v>0</v>
      </c>
      <c r="G790" s="4">
        <f>'Raw Data'!F791*0.001648</f>
        <v>0</v>
      </c>
      <c r="H790" s="4">
        <f>'Raw Data'!G791*6*0.000128176</f>
        <v>0</v>
      </c>
      <c r="I790" s="4">
        <f>'Raw Data'!H791*0.000732435</f>
        <v>0</v>
      </c>
      <c r="J790" s="4">
        <f t="shared" si="38"/>
        <v>0</v>
      </c>
      <c r="K790" s="36">
        <f>IF(('Raw Data'!I791-16384)/32768&lt;0,0,('Raw Data'!I791-16384)/32768)</f>
        <v>0</v>
      </c>
      <c r="L790" s="4">
        <f>IF(('Raw Data'!J791-12010)/45.6=-263.377192982456,0,('Raw Data'!J791-12010)/45.6)</f>
        <v>0</v>
      </c>
      <c r="M790" s="16">
        <f>'Raw Data'!N791*2^-8</f>
        <v>0</v>
      </c>
      <c r="N790" s="16">
        <f>'Raw Data'!O791*2^-8</f>
        <v>0</v>
      </c>
      <c r="O790" s="17" t="str">
        <f>IF(BITWISE_AND('Raw Data'!$K791, 8192),"X","")</f>
        <v/>
      </c>
      <c r="P790" s="17" t="str">
        <f>IF(BITWISE_AND('Raw Data'!$K791, 2048),"X","")</f>
        <v/>
      </c>
      <c r="Q790" s="17" t="str">
        <f>IF(BITWISE_AND('Raw Data'!$K791, 64),"X","")</f>
        <v/>
      </c>
      <c r="R790" s="18" t="str">
        <f>IF(BITWISE_AND('Raw Data'!$L791, 1024),"X","")</f>
        <v/>
      </c>
      <c r="S790" s="18" t="str">
        <f>IF(BITWISE_AND('Raw Data'!$L791, 512),"X","")</f>
        <v/>
      </c>
      <c r="T790" s="18" t="str">
        <f>IF(BITWISE_AND('Raw Data'!$L791, 256),"X","")</f>
        <v/>
      </c>
      <c r="U790" s="18" t="str">
        <f>IF(BITWISE_AND('Raw Data'!$L791, 64),"X","")</f>
        <v/>
      </c>
      <c r="V790" s="18" t="str">
        <f>IF(BITWISE_AND('Raw Data'!$L791, 2),"X","")</f>
        <v/>
      </c>
      <c r="W790" s="18" t="str">
        <f>IF(BITWISE_AND('Raw Data'!$L791, 1),"X","")</f>
        <v/>
      </c>
      <c r="X790" s="19" t="str">
        <f>IF(BITWISE_AND('Raw Data'!M791, 1),"Bat Voltage", IF(BITWISE_AND('Raw Data'!M791, 2), "Charge Current", IF(BITWISE_AND('Raw Data'!M791, 4),"Input Ilim", IF(BITWISE_AND('Raw Data'!M791, 8), "Input UV", "none"))))</f>
        <v>none</v>
      </c>
    </row>
    <row r="791" spans="1:24" x14ac:dyDescent="0.2">
      <c r="A791" s="15">
        <f>A790+TIME(0,0,'Raw Data'!B791)</f>
        <v>0</v>
      </c>
      <c r="B791" s="4">
        <f>'Raw Data'!C792*0.025</f>
        <v>0</v>
      </c>
      <c r="C791" s="4">
        <f t="shared" si="39"/>
        <v>0</v>
      </c>
      <c r="D791" s="4">
        <f>'Raw Data'!D792*0.025</f>
        <v>0</v>
      </c>
      <c r="E791" s="4">
        <f t="shared" si="40"/>
        <v>0</v>
      </c>
      <c r="F791" s="4">
        <f>'Raw Data'!E792*0.001648</f>
        <v>0</v>
      </c>
      <c r="G791" s="4">
        <f>'Raw Data'!F792*0.001648</f>
        <v>0</v>
      </c>
      <c r="H791" s="4">
        <f>'Raw Data'!G792*6*0.000128176</f>
        <v>0</v>
      </c>
      <c r="I791" s="4">
        <f>'Raw Data'!H792*0.000732435</f>
        <v>0</v>
      </c>
      <c r="J791" s="4">
        <f t="shared" si="38"/>
        <v>0</v>
      </c>
      <c r="K791" s="36">
        <f>IF(('Raw Data'!I792-16384)/32768&lt;0,0,('Raw Data'!I792-16384)/32768)</f>
        <v>0</v>
      </c>
      <c r="L791" s="4">
        <f>IF(('Raw Data'!J792-12010)/45.6=-263.377192982456,0,('Raw Data'!J792-12010)/45.6)</f>
        <v>0</v>
      </c>
      <c r="M791" s="16">
        <f>'Raw Data'!N792*2^-8</f>
        <v>0</v>
      </c>
      <c r="N791" s="16">
        <f>'Raw Data'!O792*2^-8</f>
        <v>0</v>
      </c>
      <c r="O791" s="17" t="str">
        <f>IF(BITWISE_AND('Raw Data'!$K792, 8192),"X","")</f>
        <v/>
      </c>
      <c r="P791" s="17" t="str">
        <f>IF(BITWISE_AND('Raw Data'!$K792, 2048),"X","")</f>
        <v/>
      </c>
      <c r="Q791" s="17" t="str">
        <f>IF(BITWISE_AND('Raw Data'!$K792, 64),"X","")</f>
        <v/>
      </c>
      <c r="R791" s="18" t="str">
        <f>IF(BITWISE_AND('Raw Data'!$L792, 1024),"X","")</f>
        <v/>
      </c>
      <c r="S791" s="18" t="str">
        <f>IF(BITWISE_AND('Raw Data'!$L792, 512),"X","")</f>
        <v/>
      </c>
      <c r="T791" s="18" t="str">
        <f>IF(BITWISE_AND('Raw Data'!$L792, 256),"X","")</f>
        <v/>
      </c>
      <c r="U791" s="18" t="str">
        <f>IF(BITWISE_AND('Raw Data'!$L792, 64),"X","")</f>
        <v/>
      </c>
      <c r="V791" s="18" t="str">
        <f>IF(BITWISE_AND('Raw Data'!$L792, 2),"X","")</f>
        <v/>
      </c>
      <c r="W791" s="18" t="str">
        <f>IF(BITWISE_AND('Raw Data'!$L792, 1),"X","")</f>
        <v/>
      </c>
      <c r="X791" s="19" t="str">
        <f>IF(BITWISE_AND('Raw Data'!M792, 1),"Bat Voltage", IF(BITWISE_AND('Raw Data'!M792, 2), "Charge Current", IF(BITWISE_AND('Raw Data'!M792, 4),"Input Ilim", IF(BITWISE_AND('Raw Data'!M792, 8), "Input UV", "none"))))</f>
        <v>none</v>
      </c>
    </row>
    <row r="792" spans="1:24" x14ac:dyDescent="0.2">
      <c r="A792" s="15">
        <f>A791+TIME(0,0,'Raw Data'!B792)</f>
        <v>0</v>
      </c>
      <c r="B792" s="4">
        <f>'Raw Data'!C793*0.025</f>
        <v>0</v>
      </c>
      <c r="C792" s="4">
        <f t="shared" si="39"/>
        <v>0</v>
      </c>
      <c r="D792" s="4">
        <f>'Raw Data'!D793*0.025</f>
        <v>0</v>
      </c>
      <c r="E792" s="4">
        <f t="shared" si="40"/>
        <v>0</v>
      </c>
      <c r="F792" s="4">
        <f>'Raw Data'!E793*0.001648</f>
        <v>0</v>
      </c>
      <c r="G792" s="4">
        <f>'Raw Data'!F793*0.001648</f>
        <v>0</v>
      </c>
      <c r="H792" s="4">
        <f>'Raw Data'!G793*6*0.000128176</f>
        <v>0</v>
      </c>
      <c r="I792" s="4">
        <f>'Raw Data'!H793*0.000732435</f>
        <v>0</v>
      </c>
      <c r="J792" s="4">
        <f t="shared" si="38"/>
        <v>0</v>
      </c>
      <c r="K792" s="36">
        <f>IF(('Raw Data'!I793-16384)/32768&lt;0,0,('Raw Data'!I793-16384)/32768)</f>
        <v>0</v>
      </c>
      <c r="L792" s="4">
        <f>IF(('Raw Data'!J793-12010)/45.6=-263.377192982456,0,('Raw Data'!J793-12010)/45.6)</f>
        <v>0</v>
      </c>
      <c r="M792" s="16">
        <f>'Raw Data'!N793*2^-8</f>
        <v>0</v>
      </c>
      <c r="N792" s="16">
        <f>'Raw Data'!O793*2^-8</f>
        <v>0</v>
      </c>
      <c r="O792" s="17" t="str">
        <f>IF(BITWISE_AND('Raw Data'!$K793, 8192),"X","")</f>
        <v/>
      </c>
      <c r="P792" s="17" t="str">
        <f>IF(BITWISE_AND('Raw Data'!$K793, 2048),"X","")</f>
        <v/>
      </c>
      <c r="Q792" s="17" t="str">
        <f>IF(BITWISE_AND('Raw Data'!$K793, 64),"X","")</f>
        <v/>
      </c>
      <c r="R792" s="18" t="str">
        <f>IF(BITWISE_AND('Raw Data'!$L793, 1024),"X","")</f>
        <v/>
      </c>
      <c r="S792" s="18" t="str">
        <f>IF(BITWISE_AND('Raw Data'!$L793, 512),"X","")</f>
        <v/>
      </c>
      <c r="T792" s="18" t="str">
        <f>IF(BITWISE_AND('Raw Data'!$L793, 256),"X","")</f>
        <v/>
      </c>
      <c r="U792" s="18" t="str">
        <f>IF(BITWISE_AND('Raw Data'!$L793, 64),"X","")</f>
        <v/>
      </c>
      <c r="V792" s="18" t="str">
        <f>IF(BITWISE_AND('Raw Data'!$L793, 2),"X","")</f>
        <v/>
      </c>
      <c r="W792" s="18" t="str">
        <f>IF(BITWISE_AND('Raw Data'!$L793, 1),"X","")</f>
        <v/>
      </c>
      <c r="X792" s="19" t="str">
        <f>IF(BITWISE_AND('Raw Data'!M793, 1),"Bat Voltage", IF(BITWISE_AND('Raw Data'!M793, 2), "Charge Current", IF(BITWISE_AND('Raw Data'!M793, 4),"Input Ilim", IF(BITWISE_AND('Raw Data'!M793, 8), "Input UV", "none"))))</f>
        <v>none</v>
      </c>
    </row>
    <row r="793" spans="1:24" x14ac:dyDescent="0.2">
      <c r="A793" s="15">
        <f>A792+TIME(0,0,'Raw Data'!B793)</f>
        <v>0</v>
      </c>
      <c r="B793" s="4">
        <f>'Raw Data'!C794*0.025</f>
        <v>0</v>
      </c>
      <c r="C793" s="4">
        <f t="shared" si="39"/>
        <v>0</v>
      </c>
      <c r="D793" s="4">
        <f>'Raw Data'!D794*0.025</f>
        <v>0</v>
      </c>
      <c r="E793" s="4">
        <f t="shared" si="40"/>
        <v>0</v>
      </c>
      <c r="F793" s="4">
        <f>'Raw Data'!E794*0.001648</f>
        <v>0</v>
      </c>
      <c r="G793" s="4">
        <f>'Raw Data'!F794*0.001648</f>
        <v>0</v>
      </c>
      <c r="H793" s="4">
        <f>'Raw Data'!G794*6*0.000128176</f>
        <v>0</v>
      </c>
      <c r="I793" s="4">
        <f>'Raw Data'!H794*0.000732435</f>
        <v>0</v>
      </c>
      <c r="J793" s="4">
        <f t="shared" si="38"/>
        <v>0</v>
      </c>
      <c r="K793" s="36">
        <f>IF(('Raw Data'!I794-16384)/32768&lt;0,0,('Raw Data'!I794-16384)/32768)</f>
        <v>0</v>
      </c>
      <c r="L793" s="4">
        <f>IF(('Raw Data'!J794-12010)/45.6=-263.377192982456,0,('Raw Data'!J794-12010)/45.6)</f>
        <v>0</v>
      </c>
      <c r="M793" s="16">
        <f>'Raw Data'!N794*2^-8</f>
        <v>0</v>
      </c>
      <c r="N793" s="16">
        <f>'Raw Data'!O794*2^-8</f>
        <v>0</v>
      </c>
      <c r="O793" s="17" t="str">
        <f>IF(BITWISE_AND('Raw Data'!$K794, 8192),"X","")</f>
        <v/>
      </c>
      <c r="P793" s="17" t="str">
        <f>IF(BITWISE_AND('Raw Data'!$K794, 2048),"X","")</f>
        <v/>
      </c>
      <c r="Q793" s="17" t="str">
        <f>IF(BITWISE_AND('Raw Data'!$K794, 64),"X","")</f>
        <v/>
      </c>
      <c r="R793" s="18" t="str">
        <f>IF(BITWISE_AND('Raw Data'!$L794, 1024),"X","")</f>
        <v/>
      </c>
      <c r="S793" s="18" t="str">
        <f>IF(BITWISE_AND('Raw Data'!$L794, 512),"X","")</f>
        <v/>
      </c>
      <c r="T793" s="18" t="str">
        <f>IF(BITWISE_AND('Raw Data'!$L794, 256),"X","")</f>
        <v/>
      </c>
      <c r="U793" s="18" t="str">
        <f>IF(BITWISE_AND('Raw Data'!$L794, 64),"X","")</f>
        <v/>
      </c>
      <c r="V793" s="18" t="str">
        <f>IF(BITWISE_AND('Raw Data'!$L794, 2),"X","")</f>
        <v/>
      </c>
      <c r="W793" s="18" t="str">
        <f>IF(BITWISE_AND('Raw Data'!$L794, 1),"X","")</f>
        <v/>
      </c>
      <c r="X793" s="19" t="str">
        <f>IF(BITWISE_AND('Raw Data'!M794, 1),"Bat Voltage", IF(BITWISE_AND('Raw Data'!M794, 2), "Charge Current", IF(BITWISE_AND('Raw Data'!M794, 4),"Input Ilim", IF(BITWISE_AND('Raw Data'!M794, 8), "Input UV", "none"))))</f>
        <v>none</v>
      </c>
    </row>
    <row r="794" spans="1:24" x14ac:dyDescent="0.2">
      <c r="A794" s="15">
        <f>A793+TIME(0,0,'Raw Data'!B794)</f>
        <v>0</v>
      </c>
      <c r="B794" s="4">
        <f>'Raw Data'!C795*0.025</f>
        <v>0</v>
      </c>
      <c r="C794" s="4">
        <f t="shared" si="39"/>
        <v>0</v>
      </c>
      <c r="D794" s="4">
        <f>'Raw Data'!D795*0.025</f>
        <v>0</v>
      </c>
      <c r="E794" s="4">
        <f t="shared" si="40"/>
        <v>0</v>
      </c>
      <c r="F794" s="4">
        <f>'Raw Data'!E795*0.001648</f>
        <v>0</v>
      </c>
      <c r="G794" s="4">
        <f>'Raw Data'!F795*0.001648</f>
        <v>0</v>
      </c>
      <c r="H794" s="4">
        <f>'Raw Data'!G795*6*0.000128176</f>
        <v>0</v>
      </c>
      <c r="I794" s="4">
        <f>'Raw Data'!H795*0.000732435</f>
        <v>0</v>
      </c>
      <c r="J794" s="4">
        <f t="shared" si="38"/>
        <v>0</v>
      </c>
      <c r="K794" s="36">
        <f>IF(('Raw Data'!I795-16384)/32768&lt;0,0,('Raw Data'!I795-16384)/32768)</f>
        <v>0</v>
      </c>
      <c r="L794" s="4">
        <f>IF(('Raw Data'!J795-12010)/45.6=-263.377192982456,0,('Raw Data'!J795-12010)/45.6)</f>
        <v>0</v>
      </c>
      <c r="M794" s="16">
        <f>'Raw Data'!N795*2^-8</f>
        <v>0</v>
      </c>
      <c r="N794" s="16">
        <f>'Raw Data'!O795*2^-8</f>
        <v>0</v>
      </c>
      <c r="O794" s="17" t="str">
        <f>IF(BITWISE_AND('Raw Data'!$K795, 8192),"X","")</f>
        <v/>
      </c>
      <c r="P794" s="17" t="str">
        <f>IF(BITWISE_AND('Raw Data'!$K795, 2048),"X","")</f>
        <v/>
      </c>
      <c r="Q794" s="17" t="str">
        <f>IF(BITWISE_AND('Raw Data'!$K795, 64),"X","")</f>
        <v/>
      </c>
      <c r="R794" s="18" t="str">
        <f>IF(BITWISE_AND('Raw Data'!$L795, 1024),"X","")</f>
        <v/>
      </c>
      <c r="S794" s="18" t="str">
        <f>IF(BITWISE_AND('Raw Data'!$L795, 512),"X","")</f>
        <v/>
      </c>
      <c r="T794" s="18" t="str">
        <f>IF(BITWISE_AND('Raw Data'!$L795, 256),"X","")</f>
        <v/>
      </c>
      <c r="U794" s="18" t="str">
        <f>IF(BITWISE_AND('Raw Data'!$L795, 64),"X","")</f>
        <v/>
      </c>
      <c r="V794" s="18" t="str">
        <f>IF(BITWISE_AND('Raw Data'!$L795, 2),"X","")</f>
        <v/>
      </c>
      <c r="W794" s="18" t="str">
        <f>IF(BITWISE_AND('Raw Data'!$L795, 1),"X","")</f>
        <v/>
      </c>
      <c r="X794" s="19" t="str">
        <f>IF(BITWISE_AND('Raw Data'!M795, 1),"Bat Voltage", IF(BITWISE_AND('Raw Data'!M795, 2), "Charge Current", IF(BITWISE_AND('Raw Data'!M795, 4),"Input Ilim", IF(BITWISE_AND('Raw Data'!M795, 8), "Input UV", "none"))))</f>
        <v>none</v>
      </c>
    </row>
    <row r="795" spans="1:24" x14ac:dyDescent="0.2">
      <c r="A795" s="15">
        <f>A794+TIME(0,0,'Raw Data'!B795)</f>
        <v>0</v>
      </c>
      <c r="B795" s="4">
        <f>'Raw Data'!C796*0.025</f>
        <v>0</v>
      </c>
      <c r="C795" s="4">
        <f t="shared" si="39"/>
        <v>0</v>
      </c>
      <c r="D795" s="4">
        <f>'Raw Data'!D796*0.025</f>
        <v>0</v>
      </c>
      <c r="E795" s="4">
        <f t="shared" si="40"/>
        <v>0</v>
      </c>
      <c r="F795" s="4">
        <f>'Raw Data'!E796*0.001648</f>
        <v>0</v>
      </c>
      <c r="G795" s="4">
        <f>'Raw Data'!F796*0.001648</f>
        <v>0</v>
      </c>
      <c r="H795" s="4">
        <f>'Raw Data'!G796*6*0.000128176</f>
        <v>0</v>
      </c>
      <c r="I795" s="4">
        <f>'Raw Data'!H796*0.000732435</f>
        <v>0</v>
      </c>
      <c r="J795" s="4">
        <f t="shared" si="38"/>
        <v>0</v>
      </c>
      <c r="K795" s="36">
        <f>IF(('Raw Data'!I796-16384)/32768&lt;0,0,('Raw Data'!I796-16384)/32768)</f>
        <v>0</v>
      </c>
      <c r="L795" s="4">
        <f>IF(('Raw Data'!J796-12010)/45.6=-263.377192982456,0,('Raw Data'!J796-12010)/45.6)</f>
        <v>0</v>
      </c>
      <c r="M795" s="16">
        <f>'Raw Data'!N796*2^-8</f>
        <v>0</v>
      </c>
      <c r="N795" s="16">
        <f>'Raw Data'!O796*2^-8</f>
        <v>0</v>
      </c>
      <c r="O795" s="17" t="str">
        <f>IF(BITWISE_AND('Raw Data'!$K796, 8192),"X","")</f>
        <v/>
      </c>
      <c r="P795" s="17" t="str">
        <f>IF(BITWISE_AND('Raw Data'!$K796, 2048),"X","")</f>
        <v/>
      </c>
      <c r="Q795" s="17" t="str">
        <f>IF(BITWISE_AND('Raw Data'!$K796, 64),"X","")</f>
        <v/>
      </c>
      <c r="R795" s="18" t="str">
        <f>IF(BITWISE_AND('Raw Data'!$L796, 1024),"X","")</f>
        <v/>
      </c>
      <c r="S795" s="18" t="str">
        <f>IF(BITWISE_AND('Raw Data'!$L796, 512),"X","")</f>
        <v/>
      </c>
      <c r="T795" s="18" t="str">
        <f>IF(BITWISE_AND('Raw Data'!$L796, 256),"X","")</f>
        <v/>
      </c>
      <c r="U795" s="18" t="str">
        <f>IF(BITWISE_AND('Raw Data'!$L796, 64),"X","")</f>
        <v/>
      </c>
      <c r="V795" s="18" t="str">
        <f>IF(BITWISE_AND('Raw Data'!$L796, 2),"X","")</f>
        <v/>
      </c>
      <c r="W795" s="18" t="str">
        <f>IF(BITWISE_AND('Raw Data'!$L796, 1),"X","")</f>
        <v/>
      </c>
      <c r="X795" s="19" t="str">
        <f>IF(BITWISE_AND('Raw Data'!M796, 1),"Bat Voltage", IF(BITWISE_AND('Raw Data'!M796, 2), "Charge Current", IF(BITWISE_AND('Raw Data'!M796, 4),"Input Ilim", IF(BITWISE_AND('Raw Data'!M796, 8), "Input UV", "none"))))</f>
        <v>none</v>
      </c>
    </row>
    <row r="796" spans="1:24" x14ac:dyDescent="0.2">
      <c r="A796" s="15">
        <f>A795+TIME(0,0,'Raw Data'!B796)</f>
        <v>0</v>
      </c>
      <c r="B796" s="4">
        <f>'Raw Data'!C797*0.025</f>
        <v>0</v>
      </c>
      <c r="C796" s="4">
        <f t="shared" si="39"/>
        <v>0</v>
      </c>
      <c r="D796" s="4">
        <f>'Raw Data'!D797*0.025</f>
        <v>0</v>
      </c>
      <c r="E796" s="4">
        <f t="shared" si="40"/>
        <v>0</v>
      </c>
      <c r="F796" s="4">
        <f>'Raw Data'!E797*0.001648</f>
        <v>0</v>
      </c>
      <c r="G796" s="4">
        <f>'Raw Data'!F797*0.001648</f>
        <v>0</v>
      </c>
      <c r="H796" s="4">
        <f>'Raw Data'!G797*6*0.000128176</f>
        <v>0</v>
      </c>
      <c r="I796" s="4">
        <f>'Raw Data'!H797*0.000732435</f>
        <v>0</v>
      </c>
      <c r="J796" s="4">
        <f t="shared" si="38"/>
        <v>0</v>
      </c>
      <c r="K796" s="36">
        <f>IF(('Raw Data'!I797-16384)/32768&lt;0,0,('Raw Data'!I797-16384)/32768)</f>
        <v>0</v>
      </c>
      <c r="L796" s="4">
        <f>IF(('Raw Data'!J797-12010)/45.6=-263.377192982456,0,('Raw Data'!J797-12010)/45.6)</f>
        <v>0</v>
      </c>
      <c r="M796" s="16">
        <f>'Raw Data'!N797*2^-8</f>
        <v>0</v>
      </c>
      <c r="N796" s="16">
        <f>'Raw Data'!O797*2^-8</f>
        <v>0</v>
      </c>
      <c r="O796" s="17" t="str">
        <f>IF(BITWISE_AND('Raw Data'!$K797, 8192),"X","")</f>
        <v/>
      </c>
      <c r="P796" s="17" t="str">
        <f>IF(BITWISE_AND('Raw Data'!$K797, 2048),"X","")</f>
        <v/>
      </c>
      <c r="Q796" s="17" t="str">
        <f>IF(BITWISE_AND('Raw Data'!$K797, 64),"X","")</f>
        <v/>
      </c>
      <c r="R796" s="18" t="str">
        <f>IF(BITWISE_AND('Raw Data'!$L797, 1024),"X","")</f>
        <v/>
      </c>
      <c r="S796" s="18" t="str">
        <f>IF(BITWISE_AND('Raw Data'!$L797, 512),"X","")</f>
        <v/>
      </c>
      <c r="T796" s="18" t="str">
        <f>IF(BITWISE_AND('Raw Data'!$L797, 256),"X","")</f>
        <v/>
      </c>
      <c r="U796" s="18" t="str">
        <f>IF(BITWISE_AND('Raw Data'!$L797, 64),"X","")</f>
        <v/>
      </c>
      <c r="V796" s="18" t="str">
        <f>IF(BITWISE_AND('Raw Data'!$L797, 2),"X","")</f>
        <v/>
      </c>
      <c r="W796" s="18" t="str">
        <f>IF(BITWISE_AND('Raw Data'!$L797, 1),"X","")</f>
        <v/>
      </c>
      <c r="X796" s="19" t="str">
        <f>IF(BITWISE_AND('Raw Data'!M797, 1),"Bat Voltage", IF(BITWISE_AND('Raw Data'!M797, 2), "Charge Current", IF(BITWISE_AND('Raw Data'!M797, 4),"Input Ilim", IF(BITWISE_AND('Raw Data'!M797, 8), "Input UV", "none"))))</f>
        <v>none</v>
      </c>
    </row>
    <row r="797" spans="1:24" x14ac:dyDescent="0.2">
      <c r="A797" s="15">
        <f>A796+TIME(0,0,'Raw Data'!B797)</f>
        <v>0</v>
      </c>
      <c r="B797" s="4">
        <f>'Raw Data'!C798*0.025</f>
        <v>0</v>
      </c>
      <c r="C797" s="4">
        <f t="shared" si="39"/>
        <v>0</v>
      </c>
      <c r="D797" s="4">
        <f>'Raw Data'!D798*0.025</f>
        <v>0</v>
      </c>
      <c r="E797" s="4">
        <f t="shared" si="40"/>
        <v>0</v>
      </c>
      <c r="F797" s="4">
        <f>'Raw Data'!E798*0.001648</f>
        <v>0</v>
      </c>
      <c r="G797" s="4">
        <f>'Raw Data'!F798*0.001648</f>
        <v>0</v>
      </c>
      <c r="H797" s="4">
        <f>'Raw Data'!G798*6*0.000128176</f>
        <v>0</v>
      </c>
      <c r="I797" s="4">
        <f>'Raw Data'!H798*0.000732435</f>
        <v>0</v>
      </c>
      <c r="J797" s="4">
        <f t="shared" si="38"/>
        <v>0</v>
      </c>
      <c r="K797" s="36">
        <f>IF(('Raw Data'!I798-16384)/32768&lt;0,0,('Raw Data'!I798-16384)/32768)</f>
        <v>0</v>
      </c>
      <c r="L797" s="4">
        <f>IF(('Raw Data'!J798-12010)/45.6=-263.377192982456,0,('Raw Data'!J798-12010)/45.6)</f>
        <v>0</v>
      </c>
      <c r="M797" s="16">
        <f>'Raw Data'!N798*2^-8</f>
        <v>0</v>
      </c>
      <c r="N797" s="16">
        <f>'Raw Data'!O798*2^-8</f>
        <v>0</v>
      </c>
      <c r="O797" s="17" t="str">
        <f>IF(BITWISE_AND('Raw Data'!$K798, 8192),"X","")</f>
        <v/>
      </c>
      <c r="P797" s="17" t="str">
        <f>IF(BITWISE_AND('Raw Data'!$K798, 2048),"X","")</f>
        <v/>
      </c>
      <c r="Q797" s="17" t="str">
        <f>IF(BITWISE_AND('Raw Data'!$K798, 64),"X","")</f>
        <v/>
      </c>
      <c r="R797" s="18" t="str">
        <f>IF(BITWISE_AND('Raw Data'!$L798, 1024),"X","")</f>
        <v/>
      </c>
      <c r="S797" s="18" t="str">
        <f>IF(BITWISE_AND('Raw Data'!$L798, 512),"X","")</f>
        <v/>
      </c>
      <c r="T797" s="18" t="str">
        <f>IF(BITWISE_AND('Raw Data'!$L798, 256),"X","")</f>
        <v/>
      </c>
      <c r="U797" s="18" t="str">
        <f>IF(BITWISE_AND('Raw Data'!$L798, 64),"X","")</f>
        <v/>
      </c>
      <c r="V797" s="18" t="str">
        <f>IF(BITWISE_AND('Raw Data'!$L798, 2),"X","")</f>
        <v/>
      </c>
      <c r="W797" s="18" t="str">
        <f>IF(BITWISE_AND('Raw Data'!$L798, 1),"X","")</f>
        <v/>
      </c>
      <c r="X797" s="19" t="str">
        <f>IF(BITWISE_AND('Raw Data'!M798, 1),"Bat Voltage", IF(BITWISE_AND('Raw Data'!M798, 2), "Charge Current", IF(BITWISE_AND('Raw Data'!M798, 4),"Input Ilim", IF(BITWISE_AND('Raw Data'!M798, 8), "Input UV", "none"))))</f>
        <v>none</v>
      </c>
    </row>
    <row r="798" spans="1:24" x14ac:dyDescent="0.2">
      <c r="A798" s="15">
        <f>A797+TIME(0,0,'Raw Data'!B798)</f>
        <v>0</v>
      </c>
      <c r="B798" s="4">
        <f>'Raw Data'!C799*0.025</f>
        <v>0</v>
      </c>
      <c r="C798" s="4">
        <f t="shared" si="39"/>
        <v>0</v>
      </c>
      <c r="D798" s="4">
        <f>'Raw Data'!D799*0.025</f>
        <v>0</v>
      </c>
      <c r="E798" s="4">
        <f t="shared" si="40"/>
        <v>0</v>
      </c>
      <c r="F798" s="4">
        <f>'Raw Data'!E799*0.001648</f>
        <v>0</v>
      </c>
      <c r="G798" s="4">
        <f>'Raw Data'!F799*0.001648</f>
        <v>0</v>
      </c>
      <c r="H798" s="4">
        <f>'Raw Data'!G799*6*0.000128176</f>
        <v>0</v>
      </c>
      <c r="I798" s="4">
        <f>'Raw Data'!H799*0.000732435</f>
        <v>0</v>
      </c>
      <c r="J798" s="4">
        <f t="shared" si="38"/>
        <v>0</v>
      </c>
      <c r="K798" s="36">
        <f>IF(('Raw Data'!I799-16384)/32768&lt;0,0,('Raw Data'!I799-16384)/32768)</f>
        <v>0</v>
      </c>
      <c r="L798" s="4">
        <f>IF(('Raw Data'!J799-12010)/45.6=-263.377192982456,0,('Raw Data'!J799-12010)/45.6)</f>
        <v>0</v>
      </c>
      <c r="M798" s="16">
        <f>'Raw Data'!N799*2^-8</f>
        <v>0</v>
      </c>
      <c r="N798" s="16">
        <f>'Raw Data'!O799*2^-8</f>
        <v>0</v>
      </c>
      <c r="O798" s="17" t="str">
        <f>IF(BITWISE_AND('Raw Data'!$K799, 8192),"X","")</f>
        <v/>
      </c>
      <c r="P798" s="17" t="str">
        <f>IF(BITWISE_AND('Raw Data'!$K799, 2048),"X","")</f>
        <v/>
      </c>
      <c r="Q798" s="17" t="str">
        <f>IF(BITWISE_AND('Raw Data'!$K799, 64),"X","")</f>
        <v/>
      </c>
      <c r="R798" s="18" t="str">
        <f>IF(BITWISE_AND('Raw Data'!$L799, 1024),"X","")</f>
        <v/>
      </c>
      <c r="S798" s="18" t="str">
        <f>IF(BITWISE_AND('Raw Data'!$L799, 512),"X","")</f>
        <v/>
      </c>
      <c r="T798" s="18" t="str">
        <f>IF(BITWISE_AND('Raw Data'!$L799, 256),"X","")</f>
        <v/>
      </c>
      <c r="U798" s="18" t="str">
        <f>IF(BITWISE_AND('Raw Data'!$L799, 64),"X","")</f>
        <v/>
      </c>
      <c r="V798" s="18" t="str">
        <f>IF(BITWISE_AND('Raw Data'!$L799, 2),"X","")</f>
        <v/>
      </c>
      <c r="W798" s="18" t="str">
        <f>IF(BITWISE_AND('Raw Data'!$L799, 1),"X","")</f>
        <v/>
      </c>
      <c r="X798" s="19" t="str">
        <f>IF(BITWISE_AND('Raw Data'!M799, 1),"Bat Voltage", IF(BITWISE_AND('Raw Data'!M799, 2), "Charge Current", IF(BITWISE_AND('Raw Data'!M799, 4),"Input Ilim", IF(BITWISE_AND('Raw Data'!M799, 8), "Input UV", "none"))))</f>
        <v>none</v>
      </c>
    </row>
    <row r="799" spans="1:24" x14ac:dyDescent="0.2">
      <c r="A799" s="15">
        <f>A798+TIME(0,0,'Raw Data'!B799)</f>
        <v>0</v>
      </c>
      <c r="B799" s="4">
        <f>'Raw Data'!C800*0.025</f>
        <v>0</v>
      </c>
      <c r="C799" s="4">
        <f t="shared" si="39"/>
        <v>0</v>
      </c>
      <c r="D799" s="4">
        <f>'Raw Data'!D800*0.025</f>
        <v>0</v>
      </c>
      <c r="E799" s="4">
        <f t="shared" si="40"/>
        <v>0</v>
      </c>
      <c r="F799" s="4">
        <f>'Raw Data'!E800*0.001648</f>
        <v>0</v>
      </c>
      <c r="G799" s="4">
        <f>'Raw Data'!F800*0.001648</f>
        <v>0</v>
      </c>
      <c r="H799" s="4">
        <f>'Raw Data'!G800*6*0.000128176</f>
        <v>0</v>
      </c>
      <c r="I799" s="4">
        <f>'Raw Data'!H800*0.000732435</f>
        <v>0</v>
      </c>
      <c r="J799" s="4">
        <f t="shared" si="38"/>
        <v>0</v>
      </c>
      <c r="K799" s="36">
        <f>IF(('Raw Data'!I800-16384)/32768&lt;0,0,('Raw Data'!I800-16384)/32768)</f>
        <v>0</v>
      </c>
      <c r="L799" s="4">
        <f>IF(('Raw Data'!J800-12010)/45.6=-263.377192982456,0,('Raw Data'!J800-12010)/45.6)</f>
        <v>0</v>
      </c>
      <c r="M799" s="16">
        <f>'Raw Data'!N800*2^-8</f>
        <v>0</v>
      </c>
      <c r="N799" s="16">
        <f>'Raw Data'!O800*2^-8</f>
        <v>0</v>
      </c>
      <c r="O799" s="17" t="str">
        <f>IF(BITWISE_AND('Raw Data'!$K800, 8192),"X","")</f>
        <v/>
      </c>
      <c r="P799" s="17" t="str">
        <f>IF(BITWISE_AND('Raw Data'!$K800, 2048),"X","")</f>
        <v/>
      </c>
      <c r="Q799" s="17" t="str">
        <f>IF(BITWISE_AND('Raw Data'!$K800, 64),"X","")</f>
        <v/>
      </c>
      <c r="R799" s="18" t="str">
        <f>IF(BITWISE_AND('Raw Data'!$L800, 1024),"X","")</f>
        <v/>
      </c>
      <c r="S799" s="18" t="str">
        <f>IF(BITWISE_AND('Raw Data'!$L800, 512),"X","")</f>
        <v/>
      </c>
      <c r="T799" s="18" t="str">
        <f>IF(BITWISE_AND('Raw Data'!$L800, 256),"X","")</f>
        <v/>
      </c>
      <c r="U799" s="18" t="str">
        <f>IF(BITWISE_AND('Raw Data'!$L800, 64),"X","")</f>
        <v/>
      </c>
      <c r="V799" s="18" t="str">
        <f>IF(BITWISE_AND('Raw Data'!$L800, 2),"X","")</f>
        <v/>
      </c>
      <c r="W799" s="18" t="str">
        <f>IF(BITWISE_AND('Raw Data'!$L800, 1),"X","")</f>
        <v/>
      </c>
      <c r="X799" s="19" t="str">
        <f>IF(BITWISE_AND('Raw Data'!M800, 1),"Bat Voltage", IF(BITWISE_AND('Raw Data'!M800, 2), "Charge Current", IF(BITWISE_AND('Raw Data'!M800, 4),"Input Ilim", IF(BITWISE_AND('Raw Data'!M800, 8), "Input UV", "none"))))</f>
        <v>none</v>
      </c>
    </row>
    <row r="800" spans="1:24" x14ac:dyDescent="0.2">
      <c r="A800" s="15">
        <f>A799+TIME(0,0,'Raw Data'!B800)</f>
        <v>0</v>
      </c>
      <c r="B800" s="4">
        <f>'Raw Data'!C801*0.025</f>
        <v>0</v>
      </c>
      <c r="C800" s="4">
        <f t="shared" si="39"/>
        <v>0</v>
      </c>
      <c r="D800" s="4">
        <f>'Raw Data'!D801*0.025</f>
        <v>0</v>
      </c>
      <c r="E800" s="4">
        <f t="shared" si="40"/>
        <v>0</v>
      </c>
      <c r="F800" s="4">
        <f>'Raw Data'!E801*0.001648</f>
        <v>0</v>
      </c>
      <c r="G800" s="4">
        <f>'Raw Data'!F801*0.001648</f>
        <v>0</v>
      </c>
      <c r="H800" s="4">
        <f>'Raw Data'!G801*6*0.000128176</f>
        <v>0</v>
      </c>
      <c r="I800" s="4">
        <f>'Raw Data'!H801*0.000732435</f>
        <v>0</v>
      </c>
      <c r="J800" s="4">
        <f t="shared" si="38"/>
        <v>0</v>
      </c>
      <c r="K800" s="36">
        <f>IF(('Raw Data'!I801-16384)/32768&lt;0,0,('Raw Data'!I801-16384)/32768)</f>
        <v>0</v>
      </c>
      <c r="L800" s="4">
        <f>IF(('Raw Data'!J801-12010)/45.6=-263.377192982456,0,('Raw Data'!J801-12010)/45.6)</f>
        <v>0</v>
      </c>
      <c r="M800" s="16">
        <f>'Raw Data'!N801*2^-8</f>
        <v>0</v>
      </c>
      <c r="N800" s="16">
        <f>'Raw Data'!O801*2^-8</f>
        <v>0</v>
      </c>
      <c r="O800" s="17" t="str">
        <f>IF(BITWISE_AND('Raw Data'!$K801, 8192),"X","")</f>
        <v/>
      </c>
      <c r="P800" s="17" t="str">
        <f>IF(BITWISE_AND('Raw Data'!$K801, 2048),"X","")</f>
        <v/>
      </c>
      <c r="Q800" s="17" t="str">
        <f>IF(BITWISE_AND('Raw Data'!$K801, 64),"X","")</f>
        <v/>
      </c>
      <c r="R800" s="18" t="str">
        <f>IF(BITWISE_AND('Raw Data'!$L801, 1024),"X","")</f>
        <v/>
      </c>
      <c r="S800" s="18" t="str">
        <f>IF(BITWISE_AND('Raw Data'!$L801, 512),"X","")</f>
        <v/>
      </c>
      <c r="T800" s="18" t="str">
        <f>IF(BITWISE_AND('Raw Data'!$L801, 256),"X","")</f>
        <v/>
      </c>
      <c r="U800" s="18" t="str">
        <f>IF(BITWISE_AND('Raw Data'!$L801, 64),"X","")</f>
        <v/>
      </c>
      <c r="V800" s="18" t="str">
        <f>IF(BITWISE_AND('Raw Data'!$L801, 2),"X","")</f>
        <v/>
      </c>
      <c r="W800" s="18" t="str">
        <f>IF(BITWISE_AND('Raw Data'!$L801, 1),"X","")</f>
        <v/>
      </c>
      <c r="X800" s="19" t="str">
        <f>IF(BITWISE_AND('Raw Data'!M801, 1),"Bat Voltage", IF(BITWISE_AND('Raw Data'!M801, 2), "Charge Current", IF(BITWISE_AND('Raw Data'!M801, 4),"Input Ilim", IF(BITWISE_AND('Raw Data'!M801, 8), "Input UV", "none"))))</f>
        <v>none</v>
      </c>
    </row>
    <row r="801" spans="1:24" x14ac:dyDescent="0.2">
      <c r="A801" s="15">
        <f>A800+TIME(0,0,'Raw Data'!B801)</f>
        <v>0</v>
      </c>
      <c r="B801" s="4">
        <f>'Raw Data'!C802*0.025</f>
        <v>0</v>
      </c>
      <c r="C801" s="4">
        <f t="shared" si="39"/>
        <v>0</v>
      </c>
      <c r="D801" s="4">
        <f>'Raw Data'!D802*0.025</f>
        <v>0</v>
      </c>
      <c r="E801" s="4">
        <f t="shared" si="40"/>
        <v>0</v>
      </c>
      <c r="F801" s="4">
        <f>'Raw Data'!E802*0.001648</f>
        <v>0</v>
      </c>
      <c r="G801" s="4">
        <f>'Raw Data'!F802*0.001648</f>
        <v>0</v>
      </c>
      <c r="H801" s="4">
        <f>'Raw Data'!G802*6*0.000128176</f>
        <v>0</v>
      </c>
      <c r="I801" s="4">
        <f>'Raw Data'!H802*0.000732435</f>
        <v>0</v>
      </c>
      <c r="J801" s="4">
        <f t="shared" si="38"/>
        <v>0</v>
      </c>
      <c r="K801" s="36">
        <f>IF(('Raw Data'!I802-16384)/32768&lt;0,0,('Raw Data'!I802-16384)/32768)</f>
        <v>0</v>
      </c>
      <c r="L801" s="4">
        <f>IF(('Raw Data'!J802-12010)/45.6=-263.377192982456,0,('Raw Data'!J802-12010)/45.6)</f>
        <v>0</v>
      </c>
      <c r="M801" s="16">
        <f>'Raw Data'!N802*2^-8</f>
        <v>0</v>
      </c>
      <c r="N801" s="16">
        <f>'Raw Data'!O802*2^-8</f>
        <v>0</v>
      </c>
      <c r="O801" s="17" t="str">
        <f>IF(BITWISE_AND('Raw Data'!$K802, 8192),"X","")</f>
        <v/>
      </c>
      <c r="P801" s="17" t="str">
        <f>IF(BITWISE_AND('Raw Data'!$K802, 2048),"X","")</f>
        <v/>
      </c>
      <c r="Q801" s="17" t="str">
        <f>IF(BITWISE_AND('Raw Data'!$K802, 64),"X","")</f>
        <v/>
      </c>
      <c r="R801" s="18" t="str">
        <f>IF(BITWISE_AND('Raw Data'!$L802, 1024),"X","")</f>
        <v/>
      </c>
      <c r="S801" s="18" t="str">
        <f>IF(BITWISE_AND('Raw Data'!$L802, 512),"X","")</f>
        <v/>
      </c>
      <c r="T801" s="18" t="str">
        <f>IF(BITWISE_AND('Raw Data'!$L802, 256),"X","")</f>
        <v/>
      </c>
      <c r="U801" s="18" t="str">
        <f>IF(BITWISE_AND('Raw Data'!$L802, 64),"X","")</f>
        <v/>
      </c>
      <c r="V801" s="18" t="str">
        <f>IF(BITWISE_AND('Raw Data'!$L802, 2),"X","")</f>
        <v/>
      </c>
      <c r="W801" s="18" t="str">
        <f>IF(BITWISE_AND('Raw Data'!$L802, 1),"X","")</f>
        <v/>
      </c>
      <c r="X801" s="19" t="str">
        <f>IF(BITWISE_AND('Raw Data'!M802, 1),"Bat Voltage", IF(BITWISE_AND('Raw Data'!M802, 2), "Charge Current", IF(BITWISE_AND('Raw Data'!M802, 4),"Input Ilim", IF(BITWISE_AND('Raw Data'!M802, 8), "Input UV", "none"))))</f>
        <v>none</v>
      </c>
    </row>
    <row r="802" spans="1:24" x14ac:dyDescent="0.2">
      <c r="A802" s="15">
        <f>A801+TIME(0,0,'Raw Data'!B802)</f>
        <v>0</v>
      </c>
      <c r="B802" s="4">
        <f>'Raw Data'!C803*0.025</f>
        <v>0</v>
      </c>
      <c r="C802" s="4">
        <f t="shared" si="39"/>
        <v>0</v>
      </c>
      <c r="D802" s="4">
        <f>'Raw Data'!D803*0.025</f>
        <v>0</v>
      </c>
      <c r="E802" s="4">
        <f t="shared" si="40"/>
        <v>0</v>
      </c>
      <c r="F802" s="4">
        <f>'Raw Data'!E803*0.001648</f>
        <v>0</v>
      </c>
      <c r="G802" s="4">
        <f>'Raw Data'!F803*0.001648</f>
        <v>0</v>
      </c>
      <c r="H802" s="4">
        <f>'Raw Data'!G803*6*0.000128176</f>
        <v>0</v>
      </c>
      <c r="I802" s="4">
        <f>'Raw Data'!H803*0.000732435</f>
        <v>0</v>
      </c>
      <c r="J802" s="4">
        <f t="shared" si="38"/>
        <v>0</v>
      </c>
      <c r="K802" s="36">
        <f>IF(('Raw Data'!I803-16384)/32768&lt;0,0,('Raw Data'!I803-16384)/32768)</f>
        <v>0</v>
      </c>
      <c r="L802" s="4">
        <f>IF(('Raw Data'!J803-12010)/45.6=-263.377192982456,0,('Raw Data'!J803-12010)/45.6)</f>
        <v>0</v>
      </c>
      <c r="M802" s="16">
        <f>'Raw Data'!N803*2^-8</f>
        <v>0</v>
      </c>
      <c r="N802" s="16">
        <f>'Raw Data'!O803*2^-8</f>
        <v>0</v>
      </c>
      <c r="O802" s="17" t="str">
        <f>IF(BITWISE_AND('Raw Data'!$K803, 8192),"X","")</f>
        <v/>
      </c>
      <c r="P802" s="17" t="str">
        <f>IF(BITWISE_AND('Raw Data'!$K803, 2048),"X","")</f>
        <v/>
      </c>
      <c r="Q802" s="17" t="str">
        <f>IF(BITWISE_AND('Raw Data'!$K803, 64),"X","")</f>
        <v/>
      </c>
      <c r="R802" s="18" t="str">
        <f>IF(BITWISE_AND('Raw Data'!$L803, 1024),"X","")</f>
        <v/>
      </c>
      <c r="S802" s="18" t="str">
        <f>IF(BITWISE_AND('Raw Data'!$L803, 512),"X","")</f>
        <v/>
      </c>
      <c r="T802" s="18" t="str">
        <f>IF(BITWISE_AND('Raw Data'!$L803, 256),"X","")</f>
        <v/>
      </c>
      <c r="U802" s="18" t="str">
        <f>IF(BITWISE_AND('Raw Data'!$L803, 64),"X","")</f>
        <v/>
      </c>
      <c r="V802" s="18" t="str">
        <f>IF(BITWISE_AND('Raw Data'!$L803, 2),"X","")</f>
        <v/>
      </c>
      <c r="W802" s="18" t="str">
        <f>IF(BITWISE_AND('Raw Data'!$L803, 1),"X","")</f>
        <v/>
      </c>
      <c r="X802" s="19" t="str">
        <f>IF(BITWISE_AND('Raw Data'!M803, 1),"Bat Voltage", IF(BITWISE_AND('Raw Data'!M803, 2), "Charge Current", IF(BITWISE_AND('Raw Data'!M803, 4),"Input Ilim", IF(BITWISE_AND('Raw Data'!M803, 8), "Input UV", "none"))))</f>
        <v>none</v>
      </c>
    </row>
    <row r="803" spans="1:24" x14ac:dyDescent="0.2">
      <c r="A803" s="15">
        <f>A802+TIME(0,0,'Raw Data'!B803)</f>
        <v>0</v>
      </c>
      <c r="B803" s="4">
        <f>'Raw Data'!C804*0.025</f>
        <v>0</v>
      </c>
      <c r="C803" s="4">
        <f t="shared" si="39"/>
        <v>0</v>
      </c>
      <c r="D803" s="4">
        <f>'Raw Data'!D804*0.025</f>
        <v>0</v>
      </c>
      <c r="E803" s="4">
        <f t="shared" si="40"/>
        <v>0</v>
      </c>
      <c r="F803" s="4">
        <f>'Raw Data'!E804*0.001648</f>
        <v>0</v>
      </c>
      <c r="G803" s="4">
        <f>'Raw Data'!F804*0.001648</f>
        <v>0</v>
      </c>
      <c r="H803" s="4">
        <f>'Raw Data'!G804*6*0.000128176</f>
        <v>0</v>
      </c>
      <c r="I803" s="4">
        <f>'Raw Data'!H804*0.000732435</f>
        <v>0</v>
      </c>
      <c r="J803" s="4">
        <f t="shared" si="38"/>
        <v>0</v>
      </c>
      <c r="K803" s="36">
        <f>IF(('Raw Data'!I804-16384)/32768&lt;0,0,('Raw Data'!I804-16384)/32768)</f>
        <v>0</v>
      </c>
      <c r="L803" s="4">
        <f>IF(('Raw Data'!J804-12010)/45.6=-263.377192982456,0,('Raw Data'!J804-12010)/45.6)</f>
        <v>0</v>
      </c>
      <c r="M803" s="16">
        <f>'Raw Data'!N804*2^-8</f>
        <v>0</v>
      </c>
      <c r="N803" s="16">
        <f>'Raw Data'!O804*2^-8</f>
        <v>0</v>
      </c>
      <c r="O803" s="17" t="str">
        <f>IF(BITWISE_AND('Raw Data'!$K804, 8192),"X","")</f>
        <v/>
      </c>
      <c r="P803" s="17" t="str">
        <f>IF(BITWISE_AND('Raw Data'!$K804, 2048),"X","")</f>
        <v/>
      </c>
      <c r="Q803" s="17" t="str">
        <f>IF(BITWISE_AND('Raw Data'!$K804, 64),"X","")</f>
        <v/>
      </c>
      <c r="R803" s="18" t="str">
        <f>IF(BITWISE_AND('Raw Data'!$L804, 1024),"X","")</f>
        <v/>
      </c>
      <c r="S803" s="18" t="str">
        <f>IF(BITWISE_AND('Raw Data'!$L804, 512),"X","")</f>
        <v/>
      </c>
      <c r="T803" s="18" t="str">
        <f>IF(BITWISE_AND('Raw Data'!$L804, 256),"X","")</f>
        <v/>
      </c>
      <c r="U803" s="18" t="str">
        <f>IF(BITWISE_AND('Raw Data'!$L804, 64),"X","")</f>
        <v/>
      </c>
      <c r="V803" s="18" t="str">
        <f>IF(BITWISE_AND('Raw Data'!$L804, 2),"X","")</f>
        <v/>
      </c>
      <c r="W803" s="18" t="str">
        <f>IF(BITWISE_AND('Raw Data'!$L804, 1),"X","")</f>
        <v/>
      </c>
      <c r="X803" s="19" t="str">
        <f>IF(BITWISE_AND('Raw Data'!M804, 1),"Bat Voltage", IF(BITWISE_AND('Raw Data'!M804, 2), "Charge Current", IF(BITWISE_AND('Raw Data'!M804, 4),"Input Ilim", IF(BITWISE_AND('Raw Data'!M804, 8), "Input UV", "none"))))</f>
        <v>none</v>
      </c>
    </row>
    <row r="804" spans="1:24" x14ac:dyDescent="0.2">
      <c r="A804" s="15">
        <f>A803+TIME(0,0,'Raw Data'!B804)</f>
        <v>0</v>
      </c>
      <c r="B804" s="4">
        <f>'Raw Data'!C805*0.025</f>
        <v>0</v>
      </c>
      <c r="C804" s="4">
        <f t="shared" si="39"/>
        <v>0</v>
      </c>
      <c r="D804" s="4">
        <f>'Raw Data'!D805*0.025</f>
        <v>0</v>
      </c>
      <c r="E804" s="4">
        <f t="shared" si="40"/>
        <v>0</v>
      </c>
      <c r="F804" s="4">
        <f>'Raw Data'!E805*0.001648</f>
        <v>0</v>
      </c>
      <c r="G804" s="4">
        <f>'Raw Data'!F805*0.001648</f>
        <v>0</v>
      </c>
      <c r="H804" s="4">
        <f>'Raw Data'!G805*6*0.000128176</f>
        <v>0</v>
      </c>
      <c r="I804" s="4">
        <f>'Raw Data'!H805*0.000732435</f>
        <v>0</v>
      </c>
      <c r="J804" s="4">
        <f t="shared" si="38"/>
        <v>0</v>
      </c>
      <c r="K804" s="36">
        <f>IF(('Raw Data'!I805-16384)/32768&lt;0,0,('Raw Data'!I805-16384)/32768)</f>
        <v>0</v>
      </c>
      <c r="L804" s="4">
        <f>IF(('Raw Data'!J805-12010)/45.6=-263.377192982456,0,('Raw Data'!J805-12010)/45.6)</f>
        <v>0</v>
      </c>
      <c r="M804" s="16">
        <f>'Raw Data'!N805*2^-8</f>
        <v>0</v>
      </c>
      <c r="N804" s="16">
        <f>'Raw Data'!O805*2^-8</f>
        <v>0</v>
      </c>
      <c r="O804" s="17" t="str">
        <f>IF(BITWISE_AND('Raw Data'!$K805, 8192),"X","")</f>
        <v/>
      </c>
      <c r="P804" s="17" t="str">
        <f>IF(BITWISE_AND('Raw Data'!$K805, 2048),"X","")</f>
        <v/>
      </c>
      <c r="Q804" s="17" t="str">
        <f>IF(BITWISE_AND('Raw Data'!$K805, 64),"X","")</f>
        <v/>
      </c>
      <c r="R804" s="18" t="str">
        <f>IF(BITWISE_AND('Raw Data'!$L805, 1024),"X","")</f>
        <v/>
      </c>
      <c r="S804" s="18" t="str">
        <f>IF(BITWISE_AND('Raw Data'!$L805, 512),"X","")</f>
        <v/>
      </c>
      <c r="T804" s="18" t="str">
        <f>IF(BITWISE_AND('Raw Data'!$L805, 256),"X","")</f>
        <v/>
      </c>
      <c r="U804" s="18" t="str">
        <f>IF(BITWISE_AND('Raw Data'!$L805, 64),"X","")</f>
        <v/>
      </c>
      <c r="V804" s="18" t="str">
        <f>IF(BITWISE_AND('Raw Data'!$L805, 2),"X","")</f>
        <v/>
      </c>
      <c r="W804" s="18" t="str">
        <f>IF(BITWISE_AND('Raw Data'!$L805, 1),"X","")</f>
        <v/>
      </c>
      <c r="X804" s="19" t="str">
        <f>IF(BITWISE_AND('Raw Data'!M805, 1),"Bat Voltage", IF(BITWISE_AND('Raw Data'!M805, 2), "Charge Current", IF(BITWISE_AND('Raw Data'!M805, 4),"Input Ilim", IF(BITWISE_AND('Raw Data'!M805, 8), "Input UV", "none"))))</f>
        <v>none</v>
      </c>
    </row>
    <row r="805" spans="1:24" x14ac:dyDescent="0.2">
      <c r="A805" s="15">
        <f>A804+TIME(0,0,'Raw Data'!B805)</f>
        <v>0</v>
      </c>
      <c r="B805" s="4">
        <f>'Raw Data'!C806*0.025</f>
        <v>0</v>
      </c>
      <c r="C805" s="4">
        <f t="shared" si="39"/>
        <v>0</v>
      </c>
      <c r="D805" s="4">
        <f>'Raw Data'!D806*0.025</f>
        <v>0</v>
      </c>
      <c r="E805" s="4">
        <f t="shared" si="40"/>
        <v>0</v>
      </c>
      <c r="F805" s="4">
        <f>'Raw Data'!E806*0.001648</f>
        <v>0</v>
      </c>
      <c r="G805" s="4">
        <f>'Raw Data'!F806*0.001648</f>
        <v>0</v>
      </c>
      <c r="H805" s="4">
        <f>'Raw Data'!G806*6*0.000128176</f>
        <v>0</v>
      </c>
      <c r="I805" s="4">
        <f>'Raw Data'!H806*0.000732435</f>
        <v>0</v>
      </c>
      <c r="J805" s="4">
        <f t="shared" si="38"/>
        <v>0</v>
      </c>
      <c r="K805" s="36">
        <f>IF(('Raw Data'!I806-16384)/32768&lt;0,0,('Raw Data'!I806-16384)/32768)</f>
        <v>0</v>
      </c>
      <c r="L805" s="4">
        <f>IF(('Raw Data'!J806-12010)/45.6=-263.377192982456,0,('Raw Data'!J806-12010)/45.6)</f>
        <v>0</v>
      </c>
      <c r="M805" s="16">
        <f>'Raw Data'!N806*2^-8</f>
        <v>0</v>
      </c>
      <c r="N805" s="16">
        <f>'Raw Data'!O806*2^-8</f>
        <v>0</v>
      </c>
      <c r="O805" s="17" t="str">
        <f>IF(BITWISE_AND('Raw Data'!$K806, 8192),"X","")</f>
        <v/>
      </c>
      <c r="P805" s="17" t="str">
        <f>IF(BITWISE_AND('Raw Data'!$K806, 2048),"X","")</f>
        <v/>
      </c>
      <c r="Q805" s="17" t="str">
        <f>IF(BITWISE_AND('Raw Data'!$K806, 64),"X","")</f>
        <v/>
      </c>
      <c r="R805" s="18" t="str">
        <f>IF(BITWISE_AND('Raw Data'!$L806, 1024),"X","")</f>
        <v/>
      </c>
      <c r="S805" s="18" t="str">
        <f>IF(BITWISE_AND('Raw Data'!$L806, 512),"X","")</f>
        <v/>
      </c>
      <c r="T805" s="18" t="str">
        <f>IF(BITWISE_AND('Raw Data'!$L806, 256),"X","")</f>
        <v/>
      </c>
      <c r="U805" s="18" t="str">
        <f>IF(BITWISE_AND('Raw Data'!$L806, 64),"X","")</f>
        <v/>
      </c>
      <c r="V805" s="18" t="str">
        <f>IF(BITWISE_AND('Raw Data'!$L806, 2),"X","")</f>
        <v/>
      </c>
      <c r="W805" s="18" t="str">
        <f>IF(BITWISE_AND('Raw Data'!$L806, 1),"X","")</f>
        <v/>
      </c>
      <c r="X805" s="19" t="str">
        <f>IF(BITWISE_AND('Raw Data'!M806, 1),"Bat Voltage", IF(BITWISE_AND('Raw Data'!M806, 2), "Charge Current", IF(BITWISE_AND('Raw Data'!M806, 4),"Input Ilim", IF(BITWISE_AND('Raw Data'!M806, 8), "Input UV", "none"))))</f>
        <v>none</v>
      </c>
    </row>
    <row r="806" spans="1:24" x14ac:dyDescent="0.2">
      <c r="A806" s="15">
        <f>A805+TIME(0,0,'Raw Data'!B806)</f>
        <v>0</v>
      </c>
      <c r="B806" s="4">
        <f>'Raw Data'!C807*0.025</f>
        <v>0</v>
      </c>
      <c r="C806" s="4">
        <f t="shared" si="39"/>
        <v>0</v>
      </c>
      <c r="D806" s="4">
        <f>'Raw Data'!D807*0.025</f>
        <v>0</v>
      </c>
      <c r="E806" s="4">
        <f t="shared" si="40"/>
        <v>0</v>
      </c>
      <c r="F806" s="4">
        <f>'Raw Data'!E807*0.001648</f>
        <v>0</v>
      </c>
      <c r="G806" s="4">
        <f>'Raw Data'!F807*0.001648</f>
        <v>0</v>
      </c>
      <c r="H806" s="4">
        <f>'Raw Data'!G807*6*0.000128176</f>
        <v>0</v>
      </c>
      <c r="I806" s="4">
        <f>'Raw Data'!H807*0.000732435</f>
        <v>0</v>
      </c>
      <c r="J806" s="4">
        <f t="shared" si="38"/>
        <v>0</v>
      </c>
      <c r="K806" s="36">
        <f>IF(('Raw Data'!I807-16384)/32768&lt;0,0,('Raw Data'!I807-16384)/32768)</f>
        <v>0</v>
      </c>
      <c r="L806" s="4">
        <f>IF(('Raw Data'!J807-12010)/45.6=-263.377192982456,0,('Raw Data'!J807-12010)/45.6)</f>
        <v>0</v>
      </c>
      <c r="M806" s="16">
        <f>'Raw Data'!N807*2^-8</f>
        <v>0</v>
      </c>
      <c r="N806" s="16">
        <f>'Raw Data'!O807*2^-8</f>
        <v>0</v>
      </c>
      <c r="O806" s="17" t="str">
        <f>IF(BITWISE_AND('Raw Data'!$K807, 8192),"X","")</f>
        <v/>
      </c>
      <c r="P806" s="17" t="str">
        <f>IF(BITWISE_AND('Raw Data'!$K807, 2048),"X","")</f>
        <v/>
      </c>
      <c r="Q806" s="17" t="str">
        <f>IF(BITWISE_AND('Raw Data'!$K807, 64),"X","")</f>
        <v/>
      </c>
      <c r="R806" s="18" t="str">
        <f>IF(BITWISE_AND('Raw Data'!$L807, 1024),"X","")</f>
        <v/>
      </c>
      <c r="S806" s="18" t="str">
        <f>IF(BITWISE_AND('Raw Data'!$L807, 512),"X","")</f>
        <v/>
      </c>
      <c r="T806" s="18" t="str">
        <f>IF(BITWISE_AND('Raw Data'!$L807, 256),"X","")</f>
        <v/>
      </c>
      <c r="U806" s="18" t="str">
        <f>IF(BITWISE_AND('Raw Data'!$L807, 64),"X","")</f>
        <v/>
      </c>
      <c r="V806" s="18" t="str">
        <f>IF(BITWISE_AND('Raw Data'!$L807, 2),"X","")</f>
        <v/>
      </c>
      <c r="W806" s="18" t="str">
        <f>IF(BITWISE_AND('Raw Data'!$L807, 1),"X","")</f>
        <v/>
      </c>
      <c r="X806" s="19" t="str">
        <f>IF(BITWISE_AND('Raw Data'!M807, 1),"Bat Voltage", IF(BITWISE_AND('Raw Data'!M807, 2), "Charge Current", IF(BITWISE_AND('Raw Data'!M807, 4),"Input Ilim", IF(BITWISE_AND('Raw Data'!M807, 8), "Input UV", "none"))))</f>
        <v>none</v>
      </c>
    </row>
    <row r="807" spans="1:24" x14ac:dyDescent="0.2">
      <c r="A807" s="15">
        <f>A806+TIME(0,0,'Raw Data'!B807)</f>
        <v>0</v>
      </c>
      <c r="B807" s="4">
        <f>'Raw Data'!C808*0.025</f>
        <v>0</v>
      </c>
      <c r="C807" s="4">
        <f t="shared" si="39"/>
        <v>0</v>
      </c>
      <c r="D807" s="4">
        <f>'Raw Data'!D808*0.025</f>
        <v>0</v>
      </c>
      <c r="E807" s="4">
        <f t="shared" si="40"/>
        <v>0</v>
      </c>
      <c r="F807" s="4">
        <f>'Raw Data'!E808*0.001648</f>
        <v>0</v>
      </c>
      <c r="G807" s="4">
        <f>'Raw Data'!F808*0.001648</f>
        <v>0</v>
      </c>
      <c r="H807" s="4">
        <f>'Raw Data'!G808*6*0.000128176</f>
        <v>0</v>
      </c>
      <c r="I807" s="4">
        <f>'Raw Data'!H808*0.000732435</f>
        <v>0</v>
      </c>
      <c r="J807" s="4">
        <f t="shared" si="38"/>
        <v>0</v>
      </c>
      <c r="K807" s="36">
        <f>IF(('Raw Data'!I808-16384)/32768&lt;0,0,('Raw Data'!I808-16384)/32768)</f>
        <v>0</v>
      </c>
      <c r="L807" s="4">
        <f>IF(('Raw Data'!J808-12010)/45.6=-263.377192982456,0,('Raw Data'!J808-12010)/45.6)</f>
        <v>0</v>
      </c>
      <c r="M807" s="16">
        <f>'Raw Data'!N808*2^-8</f>
        <v>0</v>
      </c>
      <c r="N807" s="16">
        <f>'Raw Data'!O808*2^-8</f>
        <v>0</v>
      </c>
      <c r="O807" s="17" t="str">
        <f>IF(BITWISE_AND('Raw Data'!$K808, 8192),"X","")</f>
        <v/>
      </c>
      <c r="P807" s="17" t="str">
        <f>IF(BITWISE_AND('Raw Data'!$K808, 2048),"X","")</f>
        <v/>
      </c>
      <c r="Q807" s="17" t="str">
        <f>IF(BITWISE_AND('Raw Data'!$K808, 64),"X","")</f>
        <v/>
      </c>
      <c r="R807" s="18" t="str">
        <f>IF(BITWISE_AND('Raw Data'!$L808, 1024),"X","")</f>
        <v/>
      </c>
      <c r="S807" s="18" t="str">
        <f>IF(BITWISE_AND('Raw Data'!$L808, 512),"X","")</f>
        <v/>
      </c>
      <c r="T807" s="18" t="str">
        <f>IF(BITWISE_AND('Raw Data'!$L808, 256),"X","")</f>
        <v/>
      </c>
      <c r="U807" s="18" t="str">
        <f>IF(BITWISE_AND('Raw Data'!$L808, 64),"X","")</f>
        <v/>
      </c>
      <c r="V807" s="18" t="str">
        <f>IF(BITWISE_AND('Raw Data'!$L808, 2),"X","")</f>
        <v/>
      </c>
      <c r="W807" s="18" t="str">
        <f>IF(BITWISE_AND('Raw Data'!$L808, 1),"X","")</f>
        <v/>
      </c>
      <c r="X807" s="19" t="str">
        <f>IF(BITWISE_AND('Raw Data'!M808, 1),"Bat Voltage", IF(BITWISE_AND('Raw Data'!M808, 2), "Charge Current", IF(BITWISE_AND('Raw Data'!M808, 4),"Input Ilim", IF(BITWISE_AND('Raw Data'!M808, 8), "Input UV", "none"))))</f>
        <v>none</v>
      </c>
    </row>
    <row r="808" spans="1:24" x14ac:dyDescent="0.2">
      <c r="A808" s="15">
        <f>A807+TIME(0,0,'Raw Data'!B808)</f>
        <v>0</v>
      </c>
      <c r="B808" s="4">
        <f>'Raw Data'!C809*0.025</f>
        <v>0</v>
      </c>
      <c r="C808" s="4">
        <f t="shared" si="39"/>
        <v>0</v>
      </c>
      <c r="D808" s="4">
        <f>'Raw Data'!D809*0.025</f>
        <v>0</v>
      </c>
      <c r="E808" s="4">
        <f t="shared" si="40"/>
        <v>0</v>
      </c>
      <c r="F808" s="4">
        <f>'Raw Data'!E809*0.001648</f>
        <v>0</v>
      </c>
      <c r="G808" s="4">
        <f>'Raw Data'!F809*0.001648</f>
        <v>0</v>
      </c>
      <c r="H808" s="4">
        <f>'Raw Data'!G809*6*0.000128176</f>
        <v>0</v>
      </c>
      <c r="I808" s="4">
        <f>'Raw Data'!H809*0.000732435</f>
        <v>0</v>
      </c>
      <c r="J808" s="4">
        <f t="shared" si="38"/>
        <v>0</v>
      </c>
      <c r="K808" s="36">
        <f>IF(('Raw Data'!I809-16384)/32768&lt;0,0,('Raw Data'!I809-16384)/32768)</f>
        <v>0</v>
      </c>
      <c r="L808" s="4">
        <f>IF(('Raw Data'!J809-12010)/45.6=-263.377192982456,0,('Raw Data'!J809-12010)/45.6)</f>
        <v>0</v>
      </c>
      <c r="M808" s="16">
        <f>'Raw Data'!N809*2^-8</f>
        <v>0</v>
      </c>
      <c r="N808" s="16">
        <f>'Raw Data'!O809*2^-8</f>
        <v>0</v>
      </c>
      <c r="O808" s="17" t="str">
        <f>IF(BITWISE_AND('Raw Data'!$K809, 8192),"X","")</f>
        <v/>
      </c>
      <c r="P808" s="17" t="str">
        <f>IF(BITWISE_AND('Raw Data'!$K809, 2048),"X","")</f>
        <v/>
      </c>
      <c r="Q808" s="17" t="str">
        <f>IF(BITWISE_AND('Raw Data'!$K809, 64),"X","")</f>
        <v/>
      </c>
      <c r="R808" s="18" t="str">
        <f>IF(BITWISE_AND('Raw Data'!$L809, 1024),"X","")</f>
        <v/>
      </c>
      <c r="S808" s="18" t="str">
        <f>IF(BITWISE_AND('Raw Data'!$L809, 512),"X","")</f>
        <v/>
      </c>
      <c r="T808" s="18" t="str">
        <f>IF(BITWISE_AND('Raw Data'!$L809, 256),"X","")</f>
        <v/>
      </c>
      <c r="U808" s="18" t="str">
        <f>IF(BITWISE_AND('Raw Data'!$L809, 64),"X","")</f>
        <v/>
      </c>
      <c r="V808" s="18" t="str">
        <f>IF(BITWISE_AND('Raw Data'!$L809, 2),"X","")</f>
        <v/>
      </c>
      <c r="W808" s="18" t="str">
        <f>IF(BITWISE_AND('Raw Data'!$L809, 1),"X","")</f>
        <v/>
      </c>
      <c r="X808" s="19" t="str">
        <f>IF(BITWISE_AND('Raw Data'!M809, 1),"Bat Voltage", IF(BITWISE_AND('Raw Data'!M809, 2), "Charge Current", IF(BITWISE_AND('Raw Data'!M809, 4),"Input Ilim", IF(BITWISE_AND('Raw Data'!M809, 8), "Input UV", "none"))))</f>
        <v>none</v>
      </c>
    </row>
    <row r="809" spans="1:24" x14ac:dyDescent="0.2">
      <c r="A809" s="15">
        <f>A808+TIME(0,0,'Raw Data'!B809)</f>
        <v>0</v>
      </c>
      <c r="B809" s="4">
        <f>'Raw Data'!C810*0.025</f>
        <v>0</v>
      </c>
      <c r="C809" s="4">
        <f t="shared" si="39"/>
        <v>0</v>
      </c>
      <c r="D809" s="4">
        <f>'Raw Data'!D810*0.025</f>
        <v>0</v>
      </c>
      <c r="E809" s="4">
        <f t="shared" si="40"/>
        <v>0</v>
      </c>
      <c r="F809" s="4">
        <f>'Raw Data'!E810*0.001648</f>
        <v>0</v>
      </c>
      <c r="G809" s="4">
        <f>'Raw Data'!F810*0.001648</f>
        <v>0</v>
      </c>
      <c r="H809" s="4">
        <f>'Raw Data'!G810*6*0.000128176</f>
        <v>0</v>
      </c>
      <c r="I809" s="4">
        <f>'Raw Data'!H810*0.000732435</f>
        <v>0</v>
      </c>
      <c r="J809" s="4">
        <f t="shared" si="38"/>
        <v>0</v>
      </c>
      <c r="K809" s="36">
        <f>IF(('Raw Data'!I810-16384)/32768&lt;0,0,('Raw Data'!I810-16384)/32768)</f>
        <v>0</v>
      </c>
      <c r="L809" s="4">
        <f>IF(('Raw Data'!J810-12010)/45.6=-263.377192982456,0,('Raw Data'!J810-12010)/45.6)</f>
        <v>0</v>
      </c>
      <c r="M809" s="16">
        <f>'Raw Data'!N810*2^-8</f>
        <v>0</v>
      </c>
      <c r="N809" s="16">
        <f>'Raw Data'!O810*2^-8</f>
        <v>0</v>
      </c>
      <c r="O809" s="17" t="str">
        <f>IF(BITWISE_AND('Raw Data'!$K810, 8192),"X","")</f>
        <v/>
      </c>
      <c r="P809" s="17" t="str">
        <f>IF(BITWISE_AND('Raw Data'!$K810, 2048),"X","")</f>
        <v/>
      </c>
      <c r="Q809" s="17" t="str">
        <f>IF(BITWISE_AND('Raw Data'!$K810, 64),"X","")</f>
        <v/>
      </c>
      <c r="R809" s="18" t="str">
        <f>IF(BITWISE_AND('Raw Data'!$L810, 1024),"X","")</f>
        <v/>
      </c>
      <c r="S809" s="18" t="str">
        <f>IF(BITWISE_AND('Raw Data'!$L810, 512),"X","")</f>
        <v/>
      </c>
      <c r="T809" s="18" t="str">
        <f>IF(BITWISE_AND('Raw Data'!$L810, 256),"X","")</f>
        <v/>
      </c>
      <c r="U809" s="18" t="str">
        <f>IF(BITWISE_AND('Raw Data'!$L810, 64),"X","")</f>
        <v/>
      </c>
      <c r="V809" s="18" t="str">
        <f>IF(BITWISE_AND('Raw Data'!$L810, 2),"X","")</f>
        <v/>
      </c>
      <c r="W809" s="18" t="str">
        <f>IF(BITWISE_AND('Raw Data'!$L810, 1),"X","")</f>
        <v/>
      </c>
      <c r="X809" s="19" t="str">
        <f>IF(BITWISE_AND('Raw Data'!M810, 1),"Bat Voltage", IF(BITWISE_AND('Raw Data'!M810, 2), "Charge Current", IF(BITWISE_AND('Raw Data'!M810, 4),"Input Ilim", IF(BITWISE_AND('Raw Data'!M810, 8), "Input UV", "none"))))</f>
        <v>none</v>
      </c>
    </row>
    <row r="810" spans="1:24" x14ac:dyDescent="0.2">
      <c r="A810" s="15">
        <f>A809+TIME(0,0,'Raw Data'!B810)</f>
        <v>0</v>
      </c>
      <c r="B810" s="4">
        <f>'Raw Data'!C811*0.025</f>
        <v>0</v>
      </c>
      <c r="C810" s="4">
        <f t="shared" si="39"/>
        <v>0</v>
      </c>
      <c r="D810" s="4">
        <f>'Raw Data'!D811*0.025</f>
        <v>0</v>
      </c>
      <c r="E810" s="4">
        <f t="shared" si="40"/>
        <v>0</v>
      </c>
      <c r="F810" s="4">
        <f>'Raw Data'!E811*0.001648</f>
        <v>0</v>
      </c>
      <c r="G810" s="4">
        <f>'Raw Data'!F811*0.001648</f>
        <v>0</v>
      </c>
      <c r="H810" s="4">
        <f>'Raw Data'!G811*6*0.000128176</f>
        <v>0</v>
      </c>
      <c r="I810" s="4">
        <f>'Raw Data'!H811*0.000732435</f>
        <v>0</v>
      </c>
      <c r="J810" s="4">
        <f t="shared" si="38"/>
        <v>0</v>
      </c>
      <c r="K810" s="36">
        <f>IF(('Raw Data'!I811-16384)/32768&lt;0,0,('Raw Data'!I811-16384)/32768)</f>
        <v>0</v>
      </c>
      <c r="L810" s="4">
        <f>IF(('Raw Data'!J811-12010)/45.6=-263.377192982456,0,('Raw Data'!J811-12010)/45.6)</f>
        <v>0</v>
      </c>
      <c r="M810" s="16">
        <f>'Raw Data'!N811*2^-8</f>
        <v>0</v>
      </c>
      <c r="N810" s="16">
        <f>'Raw Data'!O811*2^-8</f>
        <v>0</v>
      </c>
      <c r="O810" s="17" t="str">
        <f>IF(BITWISE_AND('Raw Data'!$K811, 8192),"X","")</f>
        <v/>
      </c>
      <c r="P810" s="17" t="str">
        <f>IF(BITWISE_AND('Raw Data'!$K811, 2048),"X","")</f>
        <v/>
      </c>
      <c r="Q810" s="17" t="str">
        <f>IF(BITWISE_AND('Raw Data'!$K811, 64),"X","")</f>
        <v/>
      </c>
      <c r="R810" s="18" t="str">
        <f>IF(BITWISE_AND('Raw Data'!$L811, 1024),"X","")</f>
        <v/>
      </c>
      <c r="S810" s="18" t="str">
        <f>IF(BITWISE_AND('Raw Data'!$L811, 512),"X","")</f>
        <v/>
      </c>
      <c r="T810" s="18" t="str">
        <f>IF(BITWISE_AND('Raw Data'!$L811, 256),"X","")</f>
        <v/>
      </c>
      <c r="U810" s="18" t="str">
        <f>IF(BITWISE_AND('Raw Data'!$L811, 64),"X","")</f>
        <v/>
      </c>
      <c r="V810" s="18" t="str">
        <f>IF(BITWISE_AND('Raw Data'!$L811, 2),"X","")</f>
        <v/>
      </c>
      <c r="W810" s="18" t="str">
        <f>IF(BITWISE_AND('Raw Data'!$L811, 1),"X","")</f>
        <v/>
      </c>
      <c r="X810" s="19" t="str">
        <f>IF(BITWISE_AND('Raw Data'!M811, 1),"Bat Voltage", IF(BITWISE_AND('Raw Data'!M811, 2), "Charge Current", IF(BITWISE_AND('Raw Data'!M811, 4),"Input Ilim", IF(BITWISE_AND('Raw Data'!M811, 8), "Input UV", "none"))))</f>
        <v>none</v>
      </c>
    </row>
    <row r="811" spans="1:24" x14ac:dyDescent="0.2">
      <c r="A811" s="15">
        <f>A810+TIME(0,0,'Raw Data'!B811)</f>
        <v>0</v>
      </c>
      <c r="B811" s="4">
        <f>'Raw Data'!C812*0.025</f>
        <v>0</v>
      </c>
      <c r="C811" s="4">
        <f t="shared" si="39"/>
        <v>0</v>
      </c>
      <c r="D811" s="4">
        <f>'Raw Data'!D812*0.025</f>
        <v>0</v>
      </c>
      <c r="E811" s="4">
        <f t="shared" si="40"/>
        <v>0</v>
      </c>
      <c r="F811" s="4">
        <f>'Raw Data'!E812*0.001648</f>
        <v>0</v>
      </c>
      <c r="G811" s="4">
        <f>'Raw Data'!F812*0.001648</f>
        <v>0</v>
      </c>
      <c r="H811" s="4">
        <f>'Raw Data'!G812*6*0.000128176</f>
        <v>0</v>
      </c>
      <c r="I811" s="4">
        <f>'Raw Data'!H812*0.000732435</f>
        <v>0</v>
      </c>
      <c r="J811" s="4">
        <f t="shared" si="38"/>
        <v>0</v>
      </c>
      <c r="K811" s="36">
        <f>IF(('Raw Data'!I812-16384)/32768&lt;0,0,('Raw Data'!I812-16384)/32768)</f>
        <v>0</v>
      </c>
      <c r="L811" s="4">
        <f>IF(('Raw Data'!J812-12010)/45.6=-263.377192982456,0,('Raw Data'!J812-12010)/45.6)</f>
        <v>0</v>
      </c>
      <c r="M811" s="16">
        <f>'Raw Data'!N812*2^-8</f>
        <v>0</v>
      </c>
      <c r="N811" s="16">
        <f>'Raw Data'!O812*2^-8</f>
        <v>0</v>
      </c>
      <c r="O811" s="17" t="str">
        <f>IF(BITWISE_AND('Raw Data'!$K812, 8192),"X","")</f>
        <v/>
      </c>
      <c r="P811" s="17" t="str">
        <f>IF(BITWISE_AND('Raw Data'!$K812, 2048),"X","")</f>
        <v/>
      </c>
      <c r="Q811" s="17" t="str">
        <f>IF(BITWISE_AND('Raw Data'!$K812, 64),"X","")</f>
        <v/>
      </c>
      <c r="R811" s="18" t="str">
        <f>IF(BITWISE_AND('Raw Data'!$L812, 1024),"X","")</f>
        <v/>
      </c>
      <c r="S811" s="18" t="str">
        <f>IF(BITWISE_AND('Raw Data'!$L812, 512),"X","")</f>
        <v/>
      </c>
      <c r="T811" s="18" t="str">
        <f>IF(BITWISE_AND('Raw Data'!$L812, 256),"X","")</f>
        <v/>
      </c>
      <c r="U811" s="18" t="str">
        <f>IF(BITWISE_AND('Raw Data'!$L812, 64),"X","")</f>
        <v/>
      </c>
      <c r="V811" s="18" t="str">
        <f>IF(BITWISE_AND('Raw Data'!$L812, 2),"X","")</f>
        <v/>
      </c>
      <c r="W811" s="18" t="str">
        <f>IF(BITWISE_AND('Raw Data'!$L812, 1),"X","")</f>
        <v/>
      </c>
      <c r="X811" s="19" t="str">
        <f>IF(BITWISE_AND('Raw Data'!M812, 1),"Bat Voltage", IF(BITWISE_AND('Raw Data'!M812, 2), "Charge Current", IF(BITWISE_AND('Raw Data'!M812, 4),"Input Ilim", IF(BITWISE_AND('Raw Data'!M812, 8), "Input UV", "none"))))</f>
        <v>none</v>
      </c>
    </row>
    <row r="812" spans="1:24" x14ac:dyDescent="0.2">
      <c r="A812" s="15">
        <f>A811+TIME(0,0,'Raw Data'!B812)</f>
        <v>0</v>
      </c>
      <c r="B812" s="4">
        <f>'Raw Data'!C813*0.025</f>
        <v>0</v>
      </c>
      <c r="C812" s="4">
        <f t="shared" si="39"/>
        <v>0</v>
      </c>
      <c r="D812" s="4">
        <f>'Raw Data'!D813*0.025</f>
        <v>0</v>
      </c>
      <c r="E812" s="4">
        <f t="shared" si="40"/>
        <v>0</v>
      </c>
      <c r="F812" s="4">
        <f>'Raw Data'!E813*0.001648</f>
        <v>0</v>
      </c>
      <c r="G812" s="4">
        <f>'Raw Data'!F813*0.001648</f>
        <v>0</v>
      </c>
      <c r="H812" s="4">
        <f>'Raw Data'!G813*6*0.000128176</f>
        <v>0</v>
      </c>
      <c r="I812" s="4">
        <f>'Raw Data'!H813*0.000732435</f>
        <v>0</v>
      </c>
      <c r="J812" s="4">
        <f t="shared" si="38"/>
        <v>0</v>
      </c>
      <c r="K812" s="36">
        <f>IF(('Raw Data'!I813-16384)/32768&lt;0,0,('Raw Data'!I813-16384)/32768)</f>
        <v>0</v>
      </c>
      <c r="L812" s="4">
        <f>IF(('Raw Data'!J813-12010)/45.6=-263.377192982456,0,('Raw Data'!J813-12010)/45.6)</f>
        <v>0</v>
      </c>
      <c r="M812" s="16">
        <f>'Raw Data'!N813*2^-8</f>
        <v>0</v>
      </c>
      <c r="N812" s="16">
        <f>'Raw Data'!O813*2^-8</f>
        <v>0</v>
      </c>
      <c r="O812" s="17" t="str">
        <f>IF(BITWISE_AND('Raw Data'!$K813, 8192),"X","")</f>
        <v/>
      </c>
      <c r="P812" s="17" t="str">
        <f>IF(BITWISE_AND('Raw Data'!$K813, 2048),"X","")</f>
        <v/>
      </c>
      <c r="Q812" s="17" t="str">
        <f>IF(BITWISE_AND('Raw Data'!$K813, 64),"X","")</f>
        <v/>
      </c>
      <c r="R812" s="18" t="str">
        <f>IF(BITWISE_AND('Raw Data'!$L813, 1024),"X","")</f>
        <v/>
      </c>
      <c r="S812" s="18" t="str">
        <f>IF(BITWISE_AND('Raw Data'!$L813, 512),"X","")</f>
        <v/>
      </c>
      <c r="T812" s="18" t="str">
        <f>IF(BITWISE_AND('Raw Data'!$L813, 256),"X","")</f>
        <v/>
      </c>
      <c r="U812" s="18" t="str">
        <f>IF(BITWISE_AND('Raw Data'!$L813, 64),"X","")</f>
        <v/>
      </c>
      <c r="V812" s="18" t="str">
        <f>IF(BITWISE_AND('Raw Data'!$L813, 2),"X","")</f>
        <v/>
      </c>
      <c r="W812" s="18" t="str">
        <f>IF(BITWISE_AND('Raw Data'!$L813, 1),"X","")</f>
        <v/>
      </c>
      <c r="X812" s="19" t="str">
        <f>IF(BITWISE_AND('Raw Data'!M813, 1),"Bat Voltage", IF(BITWISE_AND('Raw Data'!M813, 2), "Charge Current", IF(BITWISE_AND('Raw Data'!M813, 4),"Input Ilim", IF(BITWISE_AND('Raw Data'!M813, 8), "Input UV", "none"))))</f>
        <v>none</v>
      </c>
    </row>
    <row r="813" spans="1:24" x14ac:dyDescent="0.2">
      <c r="A813" s="15">
        <f>A812+TIME(0,0,'Raw Data'!B813)</f>
        <v>0</v>
      </c>
      <c r="B813" s="4">
        <f>'Raw Data'!C814*0.025</f>
        <v>0</v>
      </c>
      <c r="C813" s="4">
        <f t="shared" si="39"/>
        <v>0</v>
      </c>
      <c r="D813" s="4">
        <f>'Raw Data'!D814*0.025</f>
        <v>0</v>
      </c>
      <c r="E813" s="4">
        <f t="shared" si="40"/>
        <v>0</v>
      </c>
      <c r="F813" s="4">
        <f>'Raw Data'!E814*0.001648</f>
        <v>0</v>
      </c>
      <c r="G813" s="4">
        <f>'Raw Data'!F814*0.001648</f>
        <v>0</v>
      </c>
      <c r="H813" s="4">
        <f>'Raw Data'!G814*6*0.000128176</f>
        <v>0</v>
      </c>
      <c r="I813" s="4">
        <f>'Raw Data'!H814*0.000732435</f>
        <v>0</v>
      </c>
      <c r="J813" s="4">
        <f t="shared" si="38"/>
        <v>0</v>
      </c>
      <c r="K813" s="36">
        <f>IF(('Raw Data'!I814-16384)/32768&lt;0,0,('Raw Data'!I814-16384)/32768)</f>
        <v>0</v>
      </c>
      <c r="L813" s="4">
        <f>IF(('Raw Data'!J814-12010)/45.6=-263.377192982456,0,('Raw Data'!J814-12010)/45.6)</f>
        <v>0</v>
      </c>
      <c r="M813" s="16">
        <f>'Raw Data'!N814*2^-8</f>
        <v>0</v>
      </c>
      <c r="N813" s="16">
        <f>'Raw Data'!O814*2^-8</f>
        <v>0</v>
      </c>
      <c r="O813" s="17" t="str">
        <f>IF(BITWISE_AND('Raw Data'!$K814, 8192),"X","")</f>
        <v/>
      </c>
      <c r="P813" s="17" t="str">
        <f>IF(BITWISE_AND('Raw Data'!$K814, 2048),"X","")</f>
        <v/>
      </c>
      <c r="Q813" s="17" t="str">
        <f>IF(BITWISE_AND('Raw Data'!$K814, 64),"X","")</f>
        <v/>
      </c>
      <c r="R813" s="18" t="str">
        <f>IF(BITWISE_AND('Raw Data'!$L814, 1024),"X","")</f>
        <v/>
      </c>
      <c r="S813" s="18" t="str">
        <f>IF(BITWISE_AND('Raw Data'!$L814, 512),"X","")</f>
        <v/>
      </c>
      <c r="T813" s="18" t="str">
        <f>IF(BITWISE_AND('Raw Data'!$L814, 256),"X","")</f>
        <v/>
      </c>
      <c r="U813" s="18" t="str">
        <f>IF(BITWISE_AND('Raw Data'!$L814, 64),"X","")</f>
        <v/>
      </c>
      <c r="V813" s="18" t="str">
        <f>IF(BITWISE_AND('Raw Data'!$L814, 2),"X","")</f>
        <v/>
      </c>
      <c r="W813" s="18" t="str">
        <f>IF(BITWISE_AND('Raw Data'!$L814, 1),"X","")</f>
        <v/>
      </c>
      <c r="X813" s="19" t="str">
        <f>IF(BITWISE_AND('Raw Data'!M814, 1),"Bat Voltage", IF(BITWISE_AND('Raw Data'!M814, 2), "Charge Current", IF(BITWISE_AND('Raw Data'!M814, 4),"Input Ilim", IF(BITWISE_AND('Raw Data'!M814, 8), "Input UV", "none"))))</f>
        <v>none</v>
      </c>
    </row>
    <row r="814" spans="1:24" x14ac:dyDescent="0.2">
      <c r="A814" s="15">
        <f>A813+TIME(0,0,'Raw Data'!B814)</f>
        <v>0</v>
      </c>
      <c r="B814" s="4">
        <f>'Raw Data'!C815*0.025</f>
        <v>0</v>
      </c>
      <c r="C814" s="4">
        <f t="shared" si="39"/>
        <v>0</v>
      </c>
      <c r="D814" s="4">
        <f>'Raw Data'!D815*0.025</f>
        <v>0</v>
      </c>
      <c r="E814" s="4">
        <f t="shared" si="40"/>
        <v>0</v>
      </c>
      <c r="F814" s="4">
        <f>'Raw Data'!E815*0.001648</f>
        <v>0</v>
      </c>
      <c r="G814" s="4">
        <f>'Raw Data'!F815*0.001648</f>
        <v>0</v>
      </c>
      <c r="H814" s="4">
        <f>'Raw Data'!G815*6*0.000128176</f>
        <v>0</v>
      </c>
      <c r="I814" s="4">
        <f>'Raw Data'!H815*0.000732435</f>
        <v>0</v>
      </c>
      <c r="J814" s="4">
        <f t="shared" si="38"/>
        <v>0</v>
      </c>
      <c r="K814" s="36">
        <f>IF(('Raw Data'!I815-16384)/32768&lt;0,0,('Raw Data'!I815-16384)/32768)</f>
        <v>0</v>
      </c>
      <c r="L814" s="4">
        <f>IF(('Raw Data'!J815-12010)/45.6=-263.377192982456,0,('Raw Data'!J815-12010)/45.6)</f>
        <v>0</v>
      </c>
      <c r="M814" s="16">
        <f>'Raw Data'!N815*2^-8</f>
        <v>0</v>
      </c>
      <c r="N814" s="16">
        <f>'Raw Data'!O815*2^-8</f>
        <v>0</v>
      </c>
      <c r="O814" s="17" t="str">
        <f>IF(BITWISE_AND('Raw Data'!$K815, 8192),"X","")</f>
        <v/>
      </c>
      <c r="P814" s="17" t="str">
        <f>IF(BITWISE_AND('Raw Data'!$K815, 2048),"X","")</f>
        <v/>
      </c>
      <c r="Q814" s="17" t="str">
        <f>IF(BITWISE_AND('Raw Data'!$K815, 64),"X","")</f>
        <v/>
      </c>
      <c r="R814" s="18" t="str">
        <f>IF(BITWISE_AND('Raw Data'!$L815, 1024),"X","")</f>
        <v/>
      </c>
      <c r="S814" s="18" t="str">
        <f>IF(BITWISE_AND('Raw Data'!$L815, 512),"X","")</f>
        <v/>
      </c>
      <c r="T814" s="18" t="str">
        <f>IF(BITWISE_AND('Raw Data'!$L815, 256),"X","")</f>
        <v/>
      </c>
      <c r="U814" s="18" t="str">
        <f>IF(BITWISE_AND('Raw Data'!$L815, 64),"X","")</f>
        <v/>
      </c>
      <c r="V814" s="18" t="str">
        <f>IF(BITWISE_AND('Raw Data'!$L815, 2),"X","")</f>
        <v/>
      </c>
      <c r="W814" s="18" t="str">
        <f>IF(BITWISE_AND('Raw Data'!$L815, 1),"X","")</f>
        <v/>
      </c>
      <c r="X814" s="19" t="str">
        <f>IF(BITWISE_AND('Raw Data'!M815, 1),"Bat Voltage", IF(BITWISE_AND('Raw Data'!M815, 2), "Charge Current", IF(BITWISE_AND('Raw Data'!M815, 4),"Input Ilim", IF(BITWISE_AND('Raw Data'!M815, 8), "Input UV", "none"))))</f>
        <v>none</v>
      </c>
    </row>
    <row r="815" spans="1:24" x14ac:dyDescent="0.2">
      <c r="A815" s="15">
        <f>A814+TIME(0,0,'Raw Data'!B815)</f>
        <v>0</v>
      </c>
      <c r="B815" s="4">
        <f>'Raw Data'!C816*0.025</f>
        <v>0</v>
      </c>
      <c r="C815" s="4">
        <f t="shared" si="39"/>
        <v>0</v>
      </c>
      <c r="D815" s="4">
        <f>'Raw Data'!D816*0.025</f>
        <v>0</v>
      </c>
      <c r="E815" s="4">
        <f t="shared" si="40"/>
        <v>0</v>
      </c>
      <c r="F815" s="4">
        <f>'Raw Data'!E816*0.001648</f>
        <v>0</v>
      </c>
      <c r="G815" s="4">
        <f>'Raw Data'!F816*0.001648</f>
        <v>0</v>
      </c>
      <c r="H815" s="4">
        <f>'Raw Data'!G816*6*0.000128176</f>
        <v>0</v>
      </c>
      <c r="I815" s="4">
        <f>'Raw Data'!H816*0.000732435</f>
        <v>0</v>
      </c>
      <c r="J815" s="4">
        <f t="shared" si="38"/>
        <v>0</v>
      </c>
      <c r="K815" s="36">
        <f>IF(('Raw Data'!I816-16384)/32768&lt;0,0,('Raw Data'!I816-16384)/32768)</f>
        <v>0</v>
      </c>
      <c r="L815" s="4">
        <f>IF(('Raw Data'!J816-12010)/45.6=-263.377192982456,0,('Raw Data'!J816-12010)/45.6)</f>
        <v>0</v>
      </c>
      <c r="M815" s="16">
        <f>'Raw Data'!N816*2^-8</f>
        <v>0</v>
      </c>
      <c r="N815" s="16">
        <f>'Raw Data'!O816*2^-8</f>
        <v>0</v>
      </c>
      <c r="O815" s="17" t="str">
        <f>IF(BITWISE_AND('Raw Data'!$K816, 8192),"X","")</f>
        <v/>
      </c>
      <c r="P815" s="17" t="str">
        <f>IF(BITWISE_AND('Raw Data'!$K816, 2048),"X","")</f>
        <v/>
      </c>
      <c r="Q815" s="17" t="str">
        <f>IF(BITWISE_AND('Raw Data'!$K816, 64),"X","")</f>
        <v/>
      </c>
      <c r="R815" s="18" t="str">
        <f>IF(BITWISE_AND('Raw Data'!$L816, 1024),"X","")</f>
        <v/>
      </c>
      <c r="S815" s="18" t="str">
        <f>IF(BITWISE_AND('Raw Data'!$L816, 512),"X","")</f>
        <v/>
      </c>
      <c r="T815" s="18" t="str">
        <f>IF(BITWISE_AND('Raw Data'!$L816, 256),"X","")</f>
        <v/>
      </c>
      <c r="U815" s="18" t="str">
        <f>IF(BITWISE_AND('Raw Data'!$L816, 64),"X","")</f>
        <v/>
      </c>
      <c r="V815" s="18" t="str">
        <f>IF(BITWISE_AND('Raw Data'!$L816, 2),"X","")</f>
        <v/>
      </c>
      <c r="W815" s="18" t="str">
        <f>IF(BITWISE_AND('Raw Data'!$L816, 1),"X","")</f>
        <v/>
      </c>
      <c r="X815" s="19" t="str">
        <f>IF(BITWISE_AND('Raw Data'!M816, 1),"Bat Voltage", IF(BITWISE_AND('Raw Data'!M816, 2), "Charge Current", IF(BITWISE_AND('Raw Data'!M816, 4),"Input Ilim", IF(BITWISE_AND('Raw Data'!M816, 8), "Input UV", "none"))))</f>
        <v>none</v>
      </c>
    </row>
    <row r="816" spans="1:24" x14ac:dyDescent="0.2">
      <c r="A816" s="15">
        <f>A815+TIME(0,0,'Raw Data'!B816)</f>
        <v>0</v>
      </c>
      <c r="B816" s="4">
        <f>'Raw Data'!C817*0.025</f>
        <v>0</v>
      </c>
      <c r="C816" s="4">
        <f t="shared" si="39"/>
        <v>0</v>
      </c>
      <c r="D816" s="4">
        <f>'Raw Data'!D817*0.025</f>
        <v>0</v>
      </c>
      <c r="E816" s="4">
        <f t="shared" si="40"/>
        <v>0</v>
      </c>
      <c r="F816" s="4">
        <f>'Raw Data'!E817*0.001648</f>
        <v>0</v>
      </c>
      <c r="G816" s="4">
        <f>'Raw Data'!F817*0.001648</f>
        <v>0</v>
      </c>
      <c r="H816" s="4">
        <f>'Raw Data'!G817*6*0.000128176</f>
        <v>0</v>
      </c>
      <c r="I816" s="4">
        <f>'Raw Data'!H817*0.000732435</f>
        <v>0</v>
      </c>
      <c r="J816" s="4">
        <f t="shared" si="38"/>
        <v>0</v>
      </c>
      <c r="K816" s="36">
        <f>IF(('Raw Data'!I817-16384)/32768&lt;0,0,('Raw Data'!I817-16384)/32768)</f>
        <v>0</v>
      </c>
      <c r="L816" s="4">
        <f>IF(('Raw Data'!J817-12010)/45.6=-263.377192982456,0,('Raw Data'!J817-12010)/45.6)</f>
        <v>0</v>
      </c>
      <c r="M816" s="16">
        <f>'Raw Data'!N817*2^-8</f>
        <v>0</v>
      </c>
      <c r="N816" s="16">
        <f>'Raw Data'!O817*2^-8</f>
        <v>0</v>
      </c>
      <c r="O816" s="17" t="str">
        <f>IF(BITWISE_AND('Raw Data'!$K817, 8192),"X","")</f>
        <v/>
      </c>
      <c r="P816" s="17" t="str">
        <f>IF(BITWISE_AND('Raw Data'!$K817, 2048),"X","")</f>
        <v/>
      </c>
      <c r="Q816" s="17" t="str">
        <f>IF(BITWISE_AND('Raw Data'!$K817, 64),"X","")</f>
        <v/>
      </c>
      <c r="R816" s="18" t="str">
        <f>IF(BITWISE_AND('Raw Data'!$L817, 1024),"X","")</f>
        <v/>
      </c>
      <c r="S816" s="18" t="str">
        <f>IF(BITWISE_AND('Raw Data'!$L817, 512),"X","")</f>
        <v/>
      </c>
      <c r="T816" s="18" t="str">
        <f>IF(BITWISE_AND('Raw Data'!$L817, 256),"X","")</f>
        <v/>
      </c>
      <c r="U816" s="18" t="str">
        <f>IF(BITWISE_AND('Raw Data'!$L817, 64),"X","")</f>
        <v/>
      </c>
      <c r="V816" s="18" t="str">
        <f>IF(BITWISE_AND('Raw Data'!$L817, 2),"X","")</f>
        <v/>
      </c>
      <c r="W816" s="18" t="str">
        <f>IF(BITWISE_AND('Raw Data'!$L817, 1),"X","")</f>
        <v/>
      </c>
      <c r="X816" s="19" t="str">
        <f>IF(BITWISE_AND('Raw Data'!M817, 1),"Bat Voltage", IF(BITWISE_AND('Raw Data'!M817, 2), "Charge Current", IF(BITWISE_AND('Raw Data'!M817, 4),"Input Ilim", IF(BITWISE_AND('Raw Data'!M817, 8), "Input UV", "none"))))</f>
        <v>none</v>
      </c>
    </row>
    <row r="817" spans="1:24" x14ac:dyDescent="0.2">
      <c r="A817" s="15">
        <f>A816+TIME(0,0,'Raw Data'!B817)</f>
        <v>0</v>
      </c>
      <c r="B817" s="4">
        <f>'Raw Data'!C818*0.025</f>
        <v>0</v>
      </c>
      <c r="C817" s="4">
        <f t="shared" si="39"/>
        <v>0</v>
      </c>
      <c r="D817" s="4">
        <f>'Raw Data'!D818*0.025</f>
        <v>0</v>
      </c>
      <c r="E817" s="4">
        <f t="shared" si="40"/>
        <v>0</v>
      </c>
      <c r="F817" s="4">
        <f>'Raw Data'!E818*0.001648</f>
        <v>0</v>
      </c>
      <c r="G817" s="4">
        <f>'Raw Data'!F818*0.001648</f>
        <v>0</v>
      </c>
      <c r="H817" s="4">
        <f>'Raw Data'!G818*6*0.000128176</f>
        <v>0</v>
      </c>
      <c r="I817" s="4">
        <f>'Raw Data'!H818*0.000732435</f>
        <v>0</v>
      </c>
      <c r="J817" s="4">
        <f t="shared" si="38"/>
        <v>0</v>
      </c>
      <c r="K817" s="36">
        <f>IF(('Raw Data'!I818-16384)/32768&lt;0,0,('Raw Data'!I818-16384)/32768)</f>
        <v>0</v>
      </c>
      <c r="L817" s="4">
        <f>IF(('Raw Data'!J818-12010)/45.6=-263.377192982456,0,('Raw Data'!J818-12010)/45.6)</f>
        <v>0</v>
      </c>
      <c r="M817" s="16">
        <f>'Raw Data'!N818*2^-8</f>
        <v>0</v>
      </c>
      <c r="N817" s="16">
        <f>'Raw Data'!O818*2^-8</f>
        <v>0</v>
      </c>
      <c r="O817" s="17" t="str">
        <f>IF(BITWISE_AND('Raw Data'!$K818, 8192),"X","")</f>
        <v/>
      </c>
      <c r="P817" s="17" t="str">
        <f>IF(BITWISE_AND('Raw Data'!$K818, 2048),"X","")</f>
        <v/>
      </c>
      <c r="Q817" s="17" t="str">
        <f>IF(BITWISE_AND('Raw Data'!$K818, 64),"X","")</f>
        <v/>
      </c>
      <c r="R817" s="18" t="str">
        <f>IF(BITWISE_AND('Raw Data'!$L818, 1024),"X","")</f>
        <v/>
      </c>
      <c r="S817" s="18" t="str">
        <f>IF(BITWISE_AND('Raw Data'!$L818, 512),"X","")</f>
        <v/>
      </c>
      <c r="T817" s="18" t="str">
        <f>IF(BITWISE_AND('Raw Data'!$L818, 256),"X","")</f>
        <v/>
      </c>
      <c r="U817" s="18" t="str">
        <f>IF(BITWISE_AND('Raw Data'!$L818, 64),"X","")</f>
        <v/>
      </c>
      <c r="V817" s="18" t="str">
        <f>IF(BITWISE_AND('Raw Data'!$L818, 2),"X","")</f>
        <v/>
      </c>
      <c r="W817" s="18" t="str">
        <f>IF(BITWISE_AND('Raw Data'!$L818, 1),"X","")</f>
        <v/>
      </c>
      <c r="X817" s="19" t="str">
        <f>IF(BITWISE_AND('Raw Data'!M818, 1),"Bat Voltage", IF(BITWISE_AND('Raw Data'!M818, 2), "Charge Current", IF(BITWISE_AND('Raw Data'!M818, 4),"Input Ilim", IF(BITWISE_AND('Raw Data'!M818, 8), "Input UV", "none"))))</f>
        <v>none</v>
      </c>
    </row>
    <row r="818" spans="1:24" x14ac:dyDescent="0.2">
      <c r="A818" s="15">
        <f>A817+TIME(0,0,'Raw Data'!B818)</f>
        <v>0</v>
      </c>
      <c r="B818" s="4">
        <f>'Raw Data'!C819*0.025</f>
        <v>0</v>
      </c>
      <c r="C818" s="4">
        <f t="shared" si="39"/>
        <v>0</v>
      </c>
      <c r="D818" s="4">
        <f>'Raw Data'!D819*0.025</f>
        <v>0</v>
      </c>
      <c r="E818" s="4">
        <f t="shared" si="40"/>
        <v>0</v>
      </c>
      <c r="F818" s="4">
        <f>'Raw Data'!E819*0.001648</f>
        <v>0</v>
      </c>
      <c r="G818" s="4">
        <f>'Raw Data'!F819*0.001648</f>
        <v>0</v>
      </c>
      <c r="H818" s="4">
        <f>'Raw Data'!G819*6*0.000128176</f>
        <v>0</v>
      </c>
      <c r="I818" s="4">
        <f>'Raw Data'!H819*0.000732435</f>
        <v>0</v>
      </c>
      <c r="J818" s="4">
        <f t="shared" si="38"/>
        <v>0</v>
      </c>
      <c r="K818" s="36">
        <f>IF(('Raw Data'!I819-16384)/32768&lt;0,0,('Raw Data'!I819-16384)/32768)</f>
        <v>0</v>
      </c>
      <c r="L818" s="4">
        <f>IF(('Raw Data'!J819-12010)/45.6=-263.377192982456,0,('Raw Data'!J819-12010)/45.6)</f>
        <v>0</v>
      </c>
      <c r="M818" s="16">
        <f>'Raw Data'!N819*2^-8</f>
        <v>0</v>
      </c>
      <c r="N818" s="16">
        <f>'Raw Data'!O819*2^-8</f>
        <v>0</v>
      </c>
      <c r="O818" s="17" t="str">
        <f>IF(BITWISE_AND('Raw Data'!$K819, 8192),"X","")</f>
        <v/>
      </c>
      <c r="P818" s="17" t="str">
        <f>IF(BITWISE_AND('Raw Data'!$K819, 2048),"X","")</f>
        <v/>
      </c>
      <c r="Q818" s="17" t="str">
        <f>IF(BITWISE_AND('Raw Data'!$K819, 64),"X","")</f>
        <v/>
      </c>
      <c r="R818" s="18" t="str">
        <f>IF(BITWISE_AND('Raw Data'!$L819, 1024),"X","")</f>
        <v/>
      </c>
      <c r="S818" s="18" t="str">
        <f>IF(BITWISE_AND('Raw Data'!$L819, 512),"X","")</f>
        <v/>
      </c>
      <c r="T818" s="18" t="str">
        <f>IF(BITWISE_AND('Raw Data'!$L819, 256),"X","")</f>
        <v/>
      </c>
      <c r="U818" s="18" t="str">
        <f>IF(BITWISE_AND('Raw Data'!$L819, 64),"X","")</f>
        <v/>
      </c>
      <c r="V818" s="18" t="str">
        <f>IF(BITWISE_AND('Raw Data'!$L819, 2),"X","")</f>
        <v/>
      </c>
      <c r="W818" s="18" t="str">
        <f>IF(BITWISE_AND('Raw Data'!$L819, 1),"X","")</f>
        <v/>
      </c>
      <c r="X818" s="19" t="str">
        <f>IF(BITWISE_AND('Raw Data'!M819, 1),"Bat Voltage", IF(BITWISE_AND('Raw Data'!M819, 2), "Charge Current", IF(BITWISE_AND('Raw Data'!M819, 4),"Input Ilim", IF(BITWISE_AND('Raw Data'!M819, 8), "Input UV", "none"))))</f>
        <v>none</v>
      </c>
    </row>
    <row r="819" spans="1:24" x14ac:dyDescent="0.2">
      <c r="A819" s="15">
        <f>A818+TIME(0,0,'Raw Data'!B819)</f>
        <v>0</v>
      </c>
      <c r="B819" s="4">
        <f>'Raw Data'!C820*0.025</f>
        <v>0</v>
      </c>
      <c r="C819" s="4">
        <f t="shared" si="39"/>
        <v>0</v>
      </c>
      <c r="D819" s="4">
        <f>'Raw Data'!D820*0.025</f>
        <v>0</v>
      </c>
      <c r="E819" s="4">
        <f t="shared" si="40"/>
        <v>0</v>
      </c>
      <c r="F819" s="4">
        <f>'Raw Data'!E820*0.001648</f>
        <v>0</v>
      </c>
      <c r="G819" s="4">
        <f>'Raw Data'!F820*0.001648</f>
        <v>0</v>
      </c>
      <c r="H819" s="4">
        <f>'Raw Data'!G820*6*0.000128176</f>
        <v>0</v>
      </c>
      <c r="I819" s="4">
        <f>'Raw Data'!H820*0.000732435</f>
        <v>0</v>
      </c>
      <c r="J819" s="4">
        <f t="shared" si="38"/>
        <v>0</v>
      </c>
      <c r="K819" s="36">
        <f>IF(('Raw Data'!I820-16384)/32768&lt;0,0,('Raw Data'!I820-16384)/32768)</f>
        <v>0</v>
      </c>
      <c r="L819" s="4">
        <f>IF(('Raw Data'!J820-12010)/45.6=-263.377192982456,0,('Raw Data'!J820-12010)/45.6)</f>
        <v>0</v>
      </c>
      <c r="M819" s="16">
        <f>'Raw Data'!N820*2^-8</f>
        <v>0</v>
      </c>
      <c r="N819" s="16">
        <f>'Raw Data'!O820*2^-8</f>
        <v>0</v>
      </c>
      <c r="O819" s="17" t="str">
        <f>IF(BITWISE_AND('Raw Data'!$K820, 8192),"X","")</f>
        <v/>
      </c>
      <c r="P819" s="17" t="str">
        <f>IF(BITWISE_AND('Raw Data'!$K820, 2048),"X","")</f>
        <v/>
      </c>
      <c r="Q819" s="17" t="str">
        <f>IF(BITWISE_AND('Raw Data'!$K820, 64),"X","")</f>
        <v/>
      </c>
      <c r="R819" s="18" t="str">
        <f>IF(BITWISE_AND('Raw Data'!$L820, 1024),"X","")</f>
        <v/>
      </c>
      <c r="S819" s="18" t="str">
        <f>IF(BITWISE_AND('Raw Data'!$L820, 512),"X","")</f>
        <v/>
      </c>
      <c r="T819" s="18" t="str">
        <f>IF(BITWISE_AND('Raw Data'!$L820, 256),"X","")</f>
        <v/>
      </c>
      <c r="U819" s="18" t="str">
        <f>IF(BITWISE_AND('Raw Data'!$L820, 64),"X","")</f>
        <v/>
      </c>
      <c r="V819" s="18" t="str">
        <f>IF(BITWISE_AND('Raw Data'!$L820, 2),"X","")</f>
        <v/>
      </c>
      <c r="W819" s="18" t="str">
        <f>IF(BITWISE_AND('Raw Data'!$L820, 1),"X","")</f>
        <v/>
      </c>
      <c r="X819" s="19" t="str">
        <f>IF(BITWISE_AND('Raw Data'!M820, 1),"Bat Voltage", IF(BITWISE_AND('Raw Data'!M820, 2), "Charge Current", IF(BITWISE_AND('Raw Data'!M820, 4),"Input Ilim", IF(BITWISE_AND('Raw Data'!M820, 8), "Input UV", "none"))))</f>
        <v>none</v>
      </c>
    </row>
    <row r="820" spans="1:24" x14ac:dyDescent="0.2">
      <c r="A820" s="15">
        <f>A819+TIME(0,0,'Raw Data'!B820)</f>
        <v>0</v>
      </c>
      <c r="B820" s="4">
        <f>'Raw Data'!C821*0.025</f>
        <v>0</v>
      </c>
      <c r="C820" s="4">
        <f t="shared" si="39"/>
        <v>0</v>
      </c>
      <c r="D820" s="4">
        <f>'Raw Data'!D821*0.025</f>
        <v>0</v>
      </c>
      <c r="E820" s="4">
        <f t="shared" si="40"/>
        <v>0</v>
      </c>
      <c r="F820" s="4">
        <f>'Raw Data'!E821*0.001648</f>
        <v>0</v>
      </c>
      <c r="G820" s="4">
        <f>'Raw Data'!F821*0.001648</f>
        <v>0</v>
      </c>
      <c r="H820" s="4">
        <f>'Raw Data'!G821*6*0.000128176</f>
        <v>0</v>
      </c>
      <c r="I820" s="4">
        <f>'Raw Data'!H821*0.000732435</f>
        <v>0</v>
      </c>
      <c r="J820" s="4">
        <f t="shared" si="38"/>
        <v>0</v>
      </c>
      <c r="K820" s="36">
        <f>IF(('Raw Data'!I821-16384)/32768&lt;0,0,('Raw Data'!I821-16384)/32768)</f>
        <v>0</v>
      </c>
      <c r="L820" s="4">
        <f>IF(('Raw Data'!J821-12010)/45.6=-263.377192982456,0,('Raw Data'!J821-12010)/45.6)</f>
        <v>0</v>
      </c>
      <c r="M820" s="16">
        <f>'Raw Data'!N821*2^-8</f>
        <v>0</v>
      </c>
      <c r="N820" s="16">
        <f>'Raw Data'!O821*2^-8</f>
        <v>0</v>
      </c>
      <c r="O820" s="17" t="str">
        <f>IF(BITWISE_AND('Raw Data'!$K821, 8192),"X","")</f>
        <v/>
      </c>
      <c r="P820" s="17" t="str">
        <f>IF(BITWISE_AND('Raw Data'!$K821, 2048),"X","")</f>
        <v/>
      </c>
      <c r="Q820" s="17" t="str">
        <f>IF(BITWISE_AND('Raw Data'!$K821, 64),"X","")</f>
        <v/>
      </c>
      <c r="R820" s="18" t="str">
        <f>IF(BITWISE_AND('Raw Data'!$L821, 1024),"X","")</f>
        <v/>
      </c>
      <c r="S820" s="18" t="str">
        <f>IF(BITWISE_AND('Raw Data'!$L821, 512),"X","")</f>
        <v/>
      </c>
      <c r="T820" s="18" t="str">
        <f>IF(BITWISE_AND('Raw Data'!$L821, 256),"X","")</f>
        <v/>
      </c>
      <c r="U820" s="18" t="str">
        <f>IF(BITWISE_AND('Raw Data'!$L821, 64),"X","")</f>
        <v/>
      </c>
      <c r="V820" s="18" t="str">
        <f>IF(BITWISE_AND('Raw Data'!$L821, 2),"X","")</f>
        <v/>
      </c>
      <c r="W820" s="18" t="str">
        <f>IF(BITWISE_AND('Raw Data'!$L821, 1),"X","")</f>
        <v/>
      </c>
      <c r="X820" s="19" t="str">
        <f>IF(BITWISE_AND('Raw Data'!M821, 1),"Bat Voltage", IF(BITWISE_AND('Raw Data'!M821, 2), "Charge Current", IF(BITWISE_AND('Raw Data'!M821, 4),"Input Ilim", IF(BITWISE_AND('Raw Data'!M821, 8), "Input UV", "none"))))</f>
        <v>none</v>
      </c>
    </row>
    <row r="821" spans="1:24" x14ac:dyDescent="0.2">
      <c r="A821" s="15">
        <f>A820+TIME(0,0,'Raw Data'!B821)</f>
        <v>0</v>
      </c>
      <c r="B821" s="4">
        <f>'Raw Data'!C822*0.025</f>
        <v>0</v>
      </c>
      <c r="C821" s="4">
        <f t="shared" si="39"/>
        <v>0</v>
      </c>
      <c r="D821" s="4">
        <f>'Raw Data'!D822*0.025</f>
        <v>0</v>
      </c>
      <c r="E821" s="4">
        <f t="shared" si="40"/>
        <v>0</v>
      </c>
      <c r="F821" s="4">
        <f>'Raw Data'!E822*0.001648</f>
        <v>0</v>
      </c>
      <c r="G821" s="4">
        <f>'Raw Data'!F822*0.001648</f>
        <v>0</v>
      </c>
      <c r="H821" s="4">
        <f>'Raw Data'!G822*6*0.000128176</f>
        <v>0</v>
      </c>
      <c r="I821" s="4">
        <f>'Raw Data'!H822*0.000732435</f>
        <v>0</v>
      </c>
      <c r="J821" s="4">
        <f t="shared" si="38"/>
        <v>0</v>
      </c>
      <c r="K821" s="36">
        <f>IF(('Raw Data'!I822-16384)/32768&lt;0,0,('Raw Data'!I822-16384)/32768)</f>
        <v>0</v>
      </c>
      <c r="L821" s="4">
        <f>IF(('Raw Data'!J822-12010)/45.6=-263.377192982456,0,('Raw Data'!J822-12010)/45.6)</f>
        <v>0</v>
      </c>
      <c r="M821" s="16">
        <f>'Raw Data'!N822*2^-8</f>
        <v>0</v>
      </c>
      <c r="N821" s="16">
        <f>'Raw Data'!O822*2^-8</f>
        <v>0</v>
      </c>
      <c r="O821" s="17" t="str">
        <f>IF(BITWISE_AND('Raw Data'!$K822, 8192),"X","")</f>
        <v/>
      </c>
      <c r="P821" s="17" t="str">
        <f>IF(BITWISE_AND('Raw Data'!$K822, 2048),"X","")</f>
        <v/>
      </c>
      <c r="Q821" s="17" t="str">
        <f>IF(BITWISE_AND('Raw Data'!$K822, 64),"X","")</f>
        <v/>
      </c>
      <c r="R821" s="18" t="str">
        <f>IF(BITWISE_AND('Raw Data'!$L822, 1024),"X","")</f>
        <v/>
      </c>
      <c r="S821" s="18" t="str">
        <f>IF(BITWISE_AND('Raw Data'!$L822, 512),"X","")</f>
        <v/>
      </c>
      <c r="T821" s="18" t="str">
        <f>IF(BITWISE_AND('Raw Data'!$L822, 256),"X","")</f>
        <v/>
      </c>
      <c r="U821" s="18" t="str">
        <f>IF(BITWISE_AND('Raw Data'!$L822, 64),"X","")</f>
        <v/>
      </c>
      <c r="V821" s="18" t="str">
        <f>IF(BITWISE_AND('Raw Data'!$L822, 2),"X","")</f>
        <v/>
      </c>
      <c r="W821" s="18" t="str">
        <f>IF(BITWISE_AND('Raw Data'!$L822, 1),"X","")</f>
        <v/>
      </c>
      <c r="X821" s="19" t="str">
        <f>IF(BITWISE_AND('Raw Data'!M822, 1),"Bat Voltage", IF(BITWISE_AND('Raw Data'!M822, 2), "Charge Current", IF(BITWISE_AND('Raw Data'!M822, 4),"Input Ilim", IF(BITWISE_AND('Raw Data'!M822, 8), "Input UV", "none"))))</f>
        <v>none</v>
      </c>
    </row>
    <row r="822" spans="1:24" x14ac:dyDescent="0.2">
      <c r="A822" s="15">
        <f>A821+TIME(0,0,'Raw Data'!B822)</f>
        <v>0</v>
      </c>
      <c r="B822" s="4">
        <f>'Raw Data'!C823*0.025</f>
        <v>0</v>
      </c>
      <c r="C822" s="4">
        <f t="shared" si="39"/>
        <v>0</v>
      </c>
      <c r="D822" s="4">
        <f>'Raw Data'!D823*0.025</f>
        <v>0</v>
      </c>
      <c r="E822" s="4">
        <f t="shared" si="40"/>
        <v>0</v>
      </c>
      <c r="F822" s="4">
        <f>'Raw Data'!E823*0.001648</f>
        <v>0</v>
      </c>
      <c r="G822" s="4">
        <f>'Raw Data'!F823*0.001648</f>
        <v>0</v>
      </c>
      <c r="H822" s="4">
        <f>'Raw Data'!G823*6*0.000128176</f>
        <v>0</v>
      </c>
      <c r="I822" s="4">
        <f>'Raw Data'!H823*0.000732435</f>
        <v>0</v>
      </c>
      <c r="J822" s="4">
        <f t="shared" si="38"/>
        <v>0</v>
      </c>
      <c r="K822" s="36">
        <f>IF(('Raw Data'!I823-16384)/32768&lt;0,0,('Raw Data'!I823-16384)/32768)</f>
        <v>0</v>
      </c>
      <c r="L822" s="4">
        <f>IF(('Raw Data'!J823-12010)/45.6=-263.377192982456,0,('Raw Data'!J823-12010)/45.6)</f>
        <v>0</v>
      </c>
      <c r="M822" s="16">
        <f>'Raw Data'!N823*2^-8</f>
        <v>0</v>
      </c>
      <c r="N822" s="16">
        <f>'Raw Data'!O823*2^-8</f>
        <v>0</v>
      </c>
      <c r="O822" s="17" t="str">
        <f>IF(BITWISE_AND('Raw Data'!$K823, 8192),"X","")</f>
        <v/>
      </c>
      <c r="P822" s="17" t="str">
        <f>IF(BITWISE_AND('Raw Data'!$K823, 2048),"X","")</f>
        <v/>
      </c>
      <c r="Q822" s="17" t="str">
        <f>IF(BITWISE_AND('Raw Data'!$K823, 64),"X","")</f>
        <v/>
      </c>
      <c r="R822" s="18" t="str">
        <f>IF(BITWISE_AND('Raw Data'!$L823, 1024),"X","")</f>
        <v/>
      </c>
      <c r="S822" s="18" t="str">
        <f>IF(BITWISE_AND('Raw Data'!$L823, 512),"X","")</f>
        <v/>
      </c>
      <c r="T822" s="18" t="str">
        <f>IF(BITWISE_AND('Raw Data'!$L823, 256),"X","")</f>
        <v/>
      </c>
      <c r="U822" s="18" t="str">
        <f>IF(BITWISE_AND('Raw Data'!$L823, 64),"X","")</f>
        <v/>
      </c>
      <c r="V822" s="18" t="str">
        <f>IF(BITWISE_AND('Raw Data'!$L823, 2),"X","")</f>
        <v/>
      </c>
      <c r="W822" s="18" t="str">
        <f>IF(BITWISE_AND('Raw Data'!$L823, 1),"X","")</f>
        <v/>
      </c>
      <c r="X822" s="19" t="str">
        <f>IF(BITWISE_AND('Raw Data'!M823, 1),"Bat Voltage", IF(BITWISE_AND('Raw Data'!M823, 2), "Charge Current", IF(BITWISE_AND('Raw Data'!M823, 4),"Input Ilim", IF(BITWISE_AND('Raw Data'!M823, 8), "Input UV", "none"))))</f>
        <v>none</v>
      </c>
    </row>
    <row r="823" spans="1:24" x14ac:dyDescent="0.2">
      <c r="A823" s="15">
        <f>A822+TIME(0,0,'Raw Data'!B823)</f>
        <v>0</v>
      </c>
      <c r="B823" s="4">
        <f>'Raw Data'!C824*0.025</f>
        <v>0</v>
      </c>
      <c r="C823" s="4">
        <f t="shared" si="39"/>
        <v>0</v>
      </c>
      <c r="D823" s="4">
        <f>'Raw Data'!D824*0.025</f>
        <v>0</v>
      </c>
      <c r="E823" s="4">
        <f t="shared" si="40"/>
        <v>0</v>
      </c>
      <c r="F823" s="4">
        <f>'Raw Data'!E824*0.001648</f>
        <v>0</v>
      </c>
      <c r="G823" s="4">
        <f>'Raw Data'!F824*0.001648</f>
        <v>0</v>
      </c>
      <c r="H823" s="4">
        <f>'Raw Data'!G824*6*0.000128176</f>
        <v>0</v>
      </c>
      <c r="I823" s="4">
        <f>'Raw Data'!H824*0.000732435</f>
        <v>0</v>
      </c>
      <c r="J823" s="4">
        <f t="shared" si="38"/>
        <v>0</v>
      </c>
      <c r="K823" s="36">
        <f>IF(('Raw Data'!I824-16384)/32768&lt;0,0,('Raw Data'!I824-16384)/32768)</f>
        <v>0</v>
      </c>
      <c r="L823" s="4">
        <f>IF(('Raw Data'!J824-12010)/45.6=-263.377192982456,0,('Raw Data'!J824-12010)/45.6)</f>
        <v>0</v>
      </c>
      <c r="M823" s="16">
        <f>'Raw Data'!N824*2^-8</f>
        <v>0</v>
      </c>
      <c r="N823" s="16">
        <f>'Raw Data'!O824*2^-8</f>
        <v>0</v>
      </c>
      <c r="O823" s="17" t="str">
        <f>IF(BITWISE_AND('Raw Data'!$K824, 8192),"X","")</f>
        <v/>
      </c>
      <c r="P823" s="17" t="str">
        <f>IF(BITWISE_AND('Raw Data'!$K824, 2048),"X","")</f>
        <v/>
      </c>
      <c r="Q823" s="17" t="str">
        <f>IF(BITWISE_AND('Raw Data'!$K824, 64),"X","")</f>
        <v/>
      </c>
      <c r="R823" s="18" t="str">
        <f>IF(BITWISE_AND('Raw Data'!$L824, 1024),"X","")</f>
        <v/>
      </c>
      <c r="S823" s="18" t="str">
        <f>IF(BITWISE_AND('Raw Data'!$L824, 512),"X","")</f>
        <v/>
      </c>
      <c r="T823" s="18" t="str">
        <f>IF(BITWISE_AND('Raw Data'!$L824, 256),"X","")</f>
        <v/>
      </c>
      <c r="U823" s="18" t="str">
        <f>IF(BITWISE_AND('Raw Data'!$L824, 64),"X","")</f>
        <v/>
      </c>
      <c r="V823" s="18" t="str">
        <f>IF(BITWISE_AND('Raw Data'!$L824, 2),"X","")</f>
        <v/>
      </c>
      <c r="W823" s="18" t="str">
        <f>IF(BITWISE_AND('Raw Data'!$L824, 1),"X","")</f>
        <v/>
      </c>
      <c r="X823" s="19" t="str">
        <f>IF(BITWISE_AND('Raw Data'!M824, 1),"Bat Voltage", IF(BITWISE_AND('Raw Data'!M824, 2), "Charge Current", IF(BITWISE_AND('Raw Data'!M824, 4),"Input Ilim", IF(BITWISE_AND('Raw Data'!M824, 8), "Input UV", "none"))))</f>
        <v>none</v>
      </c>
    </row>
    <row r="824" spans="1:24" x14ac:dyDescent="0.2">
      <c r="A824" s="15">
        <f>A823+TIME(0,0,'Raw Data'!B824)</f>
        <v>0</v>
      </c>
      <c r="B824" s="4">
        <f>'Raw Data'!C825*0.025</f>
        <v>0</v>
      </c>
      <c r="C824" s="4">
        <f t="shared" si="39"/>
        <v>0</v>
      </c>
      <c r="D824" s="4">
        <f>'Raw Data'!D825*0.025</f>
        <v>0</v>
      </c>
      <c r="E824" s="4">
        <f t="shared" si="40"/>
        <v>0</v>
      </c>
      <c r="F824" s="4">
        <f>'Raw Data'!E825*0.001648</f>
        <v>0</v>
      </c>
      <c r="G824" s="4">
        <f>'Raw Data'!F825*0.001648</f>
        <v>0</v>
      </c>
      <c r="H824" s="4">
        <f>'Raw Data'!G825*6*0.000128176</f>
        <v>0</v>
      </c>
      <c r="I824" s="4">
        <f>'Raw Data'!H825*0.000732435</f>
        <v>0</v>
      </c>
      <c r="J824" s="4">
        <f t="shared" si="38"/>
        <v>0</v>
      </c>
      <c r="K824" s="36">
        <f>IF(('Raw Data'!I825-16384)/32768&lt;0,0,('Raw Data'!I825-16384)/32768)</f>
        <v>0</v>
      </c>
      <c r="L824" s="4">
        <f>IF(('Raw Data'!J825-12010)/45.6=-263.377192982456,0,('Raw Data'!J825-12010)/45.6)</f>
        <v>0</v>
      </c>
      <c r="M824" s="16">
        <f>'Raw Data'!N825*2^-8</f>
        <v>0</v>
      </c>
      <c r="N824" s="16">
        <f>'Raw Data'!O825*2^-8</f>
        <v>0</v>
      </c>
      <c r="O824" s="17" t="str">
        <f>IF(BITWISE_AND('Raw Data'!$K825, 8192),"X","")</f>
        <v/>
      </c>
      <c r="P824" s="17" t="str">
        <f>IF(BITWISE_AND('Raw Data'!$K825, 2048),"X","")</f>
        <v/>
      </c>
      <c r="Q824" s="17" t="str">
        <f>IF(BITWISE_AND('Raw Data'!$K825, 64),"X","")</f>
        <v/>
      </c>
      <c r="R824" s="18" t="str">
        <f>IF(BITWISE_AND('Raw Data'!$L825, 1024),"X","")</f>
        <v/>
      </c>
      <c r="S824" s="18" t="str">
        <f>IF(BITWISE_AND('Raw Data'!$L825, 512),"X","")</f>
        <v/>
      </c>
      <c r="T824" s="18" t="str">
        <f>IF(BITWISE_AND('Raw Data'!$L825, 256),"X","")</f>
        <v/>
      </c>
      <c r="U824" s="18" t="str">
        <f>IF(BITWISE_AND('Raw Data'!$L825, 64),"X","")</f>
        <v/>
      </c>
      <c r="V824" s="18" t="str">
        <f>IF(BITWISE_AND('Raw Data'!$L825, 2),"X","")</f>
        <v/>
      </c>
      <c r="W824" s="18" t="str">
        <f>IF(BITWISE_AND('Raw Data'!$L825, 1),"X","")</f>
        <v/>
      </c>
      <c r="X824" s="19" t="str">
        <f>IF(BITWISE_AND('Raw Data'!M825, 1),"Bat Voltage", IF(BITWISE_AND('Raw Data'!M825, 2), "Charge Current", IF(BITWISE_AND('Raw Data'!M825, 4),"Input Ilim", IF(BITWISE_AND('Raw Data'!M825, 8), "Input UV", "none"))))</f>
        <v>none</v>
      </c>
    </row>
    <row r="825" spans="1:24" x14ac:dyDescent="0.2">
      <c r="A825" s="15">
        <f>A824+TIME(0,0,'Raw Data'!B825)</f>
        <v>0</v>
      </c>
      <c r="B825" s="4">
        <f>'Raw Data'!C826*0.025</f>
        <v>0</v>
      </c>
      <c r="C825" s="4">
        <f t="shared" si="39"/>
        <v>0</v>
      </c>
      <c r="D825" s="4">
        <f>'Raw Data'!D826*0.025</f>
        <v>0</v>
      </c>
      <c r="E825" s="4">
        <f t="shared" si="40"/>
        <v>0</v>
      </c>
      <c r="F825" s="4">
        <f>'Raw Data'!E826*0.001648</f>
        <v>0</v>
      </c>
      <c r="G825" s="4">
        <f>'Raw Data'!F826*0.001648</f>
        <v>0</v>
      </c>
      <c r="H825" s="4">
        <f>'Raw Data'!G826*6*0.000128176</f>
        <v>0</v>
      </c>
      <c r="I825" s="4">
        <f>'Raw Data'!H826*0.000732435</f>
        <v>0</v>
      </c>
      <c r="J825" s="4">
        <f t="shared" si="38"/>
        <v>0</v>
      </c>
      <c r="K825" s="36">
        <f>IF(('Raw Data'!I826-16384)/32768&lt;0,0,('Raw Data'!I826-16384)/32768)</f>
        <v>0</v>
      </c>
      <c r="L825" s="4">
        <f>IF(('Raw Data'!J826-12010)/45.6=-263.377192982456,0,('Raw Data'!J826-12010)/45.6)</f>
        <v>0</v>
      </c>
      <c r="M825" s="16">
        <f>'Raw Data'!N826*2^-8</f>
        <v>0</v>
      </c>
      <c r="N825" s="16">
        <f>'Raw Data'!O826*2^-8</f>
        <v>0</v>
      </c>
      <c r="O825" s="17" t="str">
        <f>IF(BITWISE_AND('Raw Data'!$K826, 8192),"X","")</f>
        <v/>
      </c>
      <c r="P825" s="17" t="str">
        <f>IF(BITWISE_AND('Raw Data'!$K826, 2048),"X","")</f>
        <v/>
      </c>
      <c r="Q825" s="17" t="str">
        <f>IF(BITWISE_AND('Raw Data'!$K826, 64),"X","")</f>
        <v/>
      </c>
      <c r="R825" s="18" t="str">
        <f>IF(BITWISE_AND('Raw Data'!$L826, 1024),"X","")</f>
        <v/>
      </c>
      <c r="S825" s="18" t="str">
        <f>IF(BITWISE_AND('Raw Data'!$L826, 512),"X","")</f>
        <v/>
      </c>
      <c r="T825" s="18" t="str">
        <f>IF(BITWISE_AND('Raw Data'!$L826, 256),"X","")</f>
        <v/>
      </c>
      <c r="U825" s="18" t="str">
        <f>IF(BITWISE_AND('Raw Data'!$L826, 64),"X","")</f>
        <v/>
      </c>
      <c r="V825" s="18" t="str">
        <f>IF(BITWISE_AND('Raw Data'!$L826, 2),"X","")</f>
        <v/>
      </c>
      <c r="W825" s="18" t="str">
        <f>IF(BITWISE_AND('Raw Data'!$L826, 1),"X","")</f>
        <v/>
      </c>
      <c r="X825" s="19" t="str">
        <f>IF(BITWISE_AND('Raw Data'!M826, 1),"Bat Voltage", IF(BITWISE_AND('Raw Data'!M826, 2), "Charge Current", IF(BITWISE_AND('Raw Data'!M826, 4),"Input Ilim", IF(BITWISE_AND('Raw Data'!M826, 8), "Input UV", "none"))))</f>
        <v>none</v>
      </c>
    </row>
    <row r="826" spans="1:24" x14ac:dyDescent="0.2">
      <c r="A826" s="15">
        <f>A825+TIME(0,0,'Raw Data'!B826)</f>
        <v>0</v>
      </c>
      <c r="B826" s="4">
        <f>'Raw Data'!C827*0.025</f>
        <v>0</v>
      </c>
      <c r="C826" s="4">
        <f t="shared" si="39"/>
        <v>0</v>
      </c>
      <c r="D826" s="4">
        <f>'Raw Data'!D827*0.025</f>
        <v>0</v>
      </c>
      <c r="E826" s="4">
        <f t="shared" si="40"/>
        <v>0</v>
      </c>
      <c r="F826" s="4">
        <f>'Raw Data'!E827*0.001648</f>
        <v>0</v>
      </c>
      <c r="G826" s="4">
        <f>'Raw Data'!F827*0.001648</f>
        <v>0</v>
      </c>
      <c r="H826" s="4">
        <f>'Raw Data'!G827*6*0.000128176</f>
        <v>0</v>
      </c>
      <c r="I826" s="4">
        <f>'Raw Data'!H827*0.000732435</f>
        <v>0</v>
      </c>
      <c r="J826" s="4">
        <f t="shared" si="38"/>
        <v>0</v>
      </c>
      <c r="K826" s="36">
        <f>IF(('Raw Data'!I827-16384)/32768&lt;0,0,('Raw Data'!I827-16384)/32768)</f>
        <v>0</v>
      </c>
      <c r="L826" s="4">
        <f>IF(('Raw Data'!J827-12010)/45.6=-263.377192982456,0,('Raw Data'!J827-12010)/45.6)</f>
        <v>0</v>
      </c>
      <c r="M826" s="16">
        <f>'Raw Data'!N827*2^-8</f>
        <v>0</v>
      </c>
      <c r="N826" s="16">
        <f>'Raw Data'!O827*2^-8</f>
        <v>0</v>
      </c>
      <c r="O826" s="17" t="str">
        <f>IF(BITWISE_AND('Raw Data'!$K827, 8192),"X","")</f>
        <v/>
      </c>
      <c r="P826" s="17" t="str">
        <f>IF(BITWISE_AND('Raw Data'!$K827, 2048),"X","")</f>
        <v/>
      </c>
      <c r="Q826" s="17" t="str">
        <f>IF(BITWISE_AND('Raw Data'!$K827, 64),"X","")</f>
        <v/>
      </c>
      <c r="R826" s="18" t="str">
        <f>IF(BITWISE_AND('Raw Data'!$L827, 1024),"X","")</f>
        <v/>
      </c>
      <c r="S826" s="18" t="str">
        <f>IF(BITWISE_AND('Raw Data'!$L827, 512),"X","")</f>
        <v/>
      </c>
      <c r="T826" s="18" t="str">
        <f>IF(BITWISE_AND('Raw Data'!$L827, 256),"X","")</f>
        <v/>
      </c>
      <c r="U826" s="18" t="str">
        <f>IF(BITWISE_AND('Raw Data'!$L827, 64),"X","")</f>
        <v/>
      </c>
      <c r="V826" s="18" t="str">
        <f>IF(BITWISE_AND('Raw Data'!$L827, 2),"X","")</f>
        <v/>
      </c>
      <c r="W826" s="18" t="str">
        <f>IF(BITWISE_AND('Raw Data'!$L827, 1),"X","")</f>
        <v/>
      </c>
      <c r="X826" s="19" t="str">
        <f>IF(BITWISE_AND('Raw Data'!M827, 1),"Bat Voltage", IF(BITWISE_AND('Raw Data'!M827, 2), "Charge Current", IF(BITWISE_AND('Raw Data'!M827, 4),"Input Ilim", IF(BITWISE_AND('Raw Data'!M827, 8), "Input UV", "none"))))</f>
        <v>none</v>
      </c>
    </row>
    <row r="827" spans="1:24" x14ac:dyDescent="0.2">
      <c r="A827" s="15">
        <f>A826+TIME(0,0,'Raw Data'!B827)</f>
        <v>0</v>
      </c>
      <c r="B827" s="4">
        <f>'Raw Data'!C828*0.025</f>
        <v>0</v>
      </c>
      <c r="C827" s="4">
        <f t="shared" si="39"/>
        <v>0</v>
      </c>
      <c r="D827" s="4">
        <f>'Raw Data'!D828*0.025</f>
        <v>0</v>
      </c>
      <c r="E827" s="4">
        <f t="shared" si="40"/>
        <v>0</v>
      </c>
      <c r="F827" s="4">
        <f>'Raw Data'!E828*0.001648</f>
        <v>0</v>
      </c>
      <c r="G827" s="4">
        <f>'Raw Data'!F828*0.001648</f>
        <v>0</v>
      </c>
      <c r="H827" s="4">
        <f>'Raw Data'!G828*6*0.000128176</f>
        <v>0</v>
      </c>
      <c r="I827" s="4">
        <f>'Raw Data'!H828*0.000732435</f>
        <v>0</v>
      </c>
      <c r="J827" s="4">
        <f t="shared" si="38"/>
        <v>0</v>
      </c>
      <c r="K827" s="36">
        <f>IF(('Raw Data'!I828-16384)/32768&lt;0,0,('Raw Data'!I828-16384)/32768)</f>
        <v>0</v>
      </c>
      <c r="L827" s="4">
        <f>IF(('Raw Data'!J828-12010)/45.6=-263.377192982456,0,('Raw Data'!J828-12010)/45.6)</f>
        <v>0</v>
      </c>
      <c r="M827" s="16">
        <f>'Raw Data'!N828*2^-8</f>
        <v>0</v>
      </c>
      <c r="N827" s="16">
        <f>'Raw Data'!O828*2^-8</f>
        <v>0</v>
      </c>
      <c r="O827" s="17" t="str">
        <f>IF(BITWISE_AND('Raw Data'!$K828, 8192),"X","")</f>
        <v/>
      </c>
      <c r="P827" s="17" t="str">
        <f>IF(BITWISE_AND('Raw Data'!$K828, 2048),"X","")</f>
        <v/>
      </c>
      <c r="Q827" s="17" t="str">
        <f>IF(BITWISE_AND('Raw Data'!$K828, 64),"X","")</f>
        <v/>
      </c>
      <c r="R827" s="18" t="str">
        <f>IF(BITWISE_AND('Raw Data'!$L828, 1024),"X","")</f>
        <v/>
      </c>
      <c r="S827" s="18" t="str">
        <f>IF(BITWISE_AND('Raw Data'!$L828, 512),"X","")</f>
        <v/>
      </c>
      <c r="T827" s="18" t="str">
        <f>IF(BITWISE_AND('Raw Data'!$L828, 256),"X","")</f>
        <v/>
      </c>
      <c r="U827" s="18" t="str">
        <f>IF(BITWISE_AND('Raw Data'!$L828, 64),"X","")</f>
        <v/>
      </c>
      <c r="V827" s="18" t="str">
        <f>IF(BITWISE_AND('Raw Data'!$L828, 2),"X","")</f>
        <v/>
      </c>
      <c r="W827" s="18" t="str">
        <f>IF(BITWISE_AND('Raw Data'!$L828, 1),"X","")</f>
        <v/>
      </c>
      <c r="X827" s="19" t="str">
        <f>IF(BITWISE_AND('Raw Data'!M828, 1),"Bat Voltage", IF(BITWISE_AND('Raw Data'!M828, 2), "Charge Current", IF(BITWISE_AND('Raw Data'!M828, 4),"Input Ilim", IF(BITWISE_AND('Raw Data'!M828, 8), "Input UV", "none"))))</f>
        <v>none</v>
      </c>
    </row>
    <row r="828" spans="1:24" x14ac:dyDescent="0.2">
      <c r="A828" s="15">
        <f>A827+TIME(0,0,'Raw Data'!B828)</f>
        <v>0</v>
      </c>
      <c r="B828" s="4">
        <f>'Raw Data'!C829*0.025</f>
        <v>0</v>
      </c>
      <c r="C828" s="4">
        <f t="shared" si="39"/>
        <v>0</v>
      </c>
      <c r="D828" s="4">
        <f>'Raw Data'!D829*0.025</f>
        <v>0</v>
      </c>
      <c r="E828" s="4">
        <f t="shared" si="40"/>
        <v>0</v>
      </c>
      <c r="F828" s="4">
        <f>'Raw Data'!E829*0.001648</f>
        <v>0</v>
      </c>
      <c r="G828" s="4">
        <f>'Raw Data'!F829*0.001648</f>
        <v>0</v>
      </c>
      <c r="H828" s="4">
        <f>'Raw Data'!G829*6*0.000128176</f>
        <v>0</v>
      </c>
      <c r="I828" s="4">
        <f>'Raw Data'!H829*0.000732435</f>
        <v>0</v>
      </c>
      <c r="J828" s="4">
        <f t="shared" si="38"/>
        <v>0</v>
      </c>
      <c r="K828" s="36">
        <f>IF(('Raw Data'!I829-16384)/32768&lt;0,0,('Raw Data'!I829-16384)/32768)</f>
        <v>0</v>
      </c>
      <c r="L828" s="4">
        <f>IF(('Raw Data'!J829-12010)/45.6=-263.377192982456,0,('Raw Data'!J829-12010)/45.6)</f>
        <v>0</v>
      </c>
      <c r="M828" s="16">
        <f>'Raw Data'!N829*2^-8</f>
        <v>0</v>
      </c>
      <c r="N828" s="16">
        <f>'Raw Data'!O829*2^-8</f>
        <v>0</v>
      </c>
      <c r="O828" s="17" t="str">
        <f>IF(BITWISE_AND('Raw Data'!$K829, 8192),"X","")</f>
        <v/>
      </c>
      <c r="P828" s="17" t="str">
        <f>IF(BITWISE_AND('Raw Data'!$K829, 2048),"X","")</f>
        <v/>
      </c>
      <c r="Q828" s="17" t="str">
        <f>IF(BITWISE_AND('Raw Data'!$K829, 64),"X","")</f>
        <v/>
      </c>
      <c r="R828" s="18" t="str">
        <f>IF(BITWISE_AND('Raw Data'!$L829, 1024),"X","")</f>
        <v/>
      </c>
      <c r="S828" s="18" t="str">
        <f>IF(BITWISE_AND('Raw Data'!$L829, 512),"X","")</f>
        <v/>
      </c>
      <c r="T828" s="18" t="str">
        <f>IF(BITWISE_AND('Raw Data'!$L829, 256),"X","")</f>
        <v/>
      </c>
      <c r="U828" s="18" t="str">
        <f>IF(BITWISE_AND('Raw Data'!$L829, 64),"X","")</f>
        <v/>
      </c>
      <c r="V828" s="18" t="str">
        <f>IF(BITWISE_AND('Raw Data'!$L829, 2),"X","")</f>
        <v/>
      </c>
      <c r="W828" s="18" t="str">
        <f>IF(BITWISE_AND('Raw Data'!$L829, 1),"X","")</f>
        <v/>
      </c>
      <c r="X828" s="19" t="str">
        <f>IF(BITWISE_AND('Raw Data'!M829, 1),"Bat Voltage", IF(BITWISE_AND('Raw Data'!M829, 2), "Charge Current", IF(BITWISE_AND('Raw Data'!M829, 4),"Input Ilim", IF(BITWISE_AND('Raw Data'!M829, 8), "Input UV", "none"))))</f>
        <v>none</v>
      </c>
    </row>
    <row r="829" spans="1:24" x14ac:dyDescent="0.2">
      <c r="A829" s="15">
        <f>A828+TIME(0,0,'Raw Data'!B829)</f>
        <v>0</v>
      </c>
      <c r="B829" s="4">
        <f>'Raw Data'!C830*0.025</f>
        <v>0</v>
      </c>
      <c r="C829" s="4">
        <f t="shared" si="39"/>
        <v>0</v>
      </c>
      <c r="D829" s="4">
        <f>'Raw Data'!D830*0.025</f>
        <v>0</v>
      </c>
      <c r="E829" s="4">
        <f t="shared" si="40"/>
        <v>0</v>
      </c>
      <c r="F829" s="4">
        <f>'Raw Data'!E830*0.001648</f>
        <v>0</v>
      </c>
      <c r="G829" s="4">
        <f>'Raw Data'!F830*0.001648</f>
        <v>0</v>
      </c>
      <c r="H829" s="4">
        <f>'Raw Data'!G830*6*0.000128176</f>
        <v>0</v>
      </c>
      <c r="I829" s="4">
        <f>'Raw Data'!H830*0.000732435</f>
        <v>0</v>
      </c>
      <c r="J829" s="4">
        <f t="shared" si="38"/>
        <v>0</v>
      </c>
      <c r="K829" s="36">
        <f>IF(('Raw Data'!I830-16384)/32768&lt;0,0,('Raw Data'!I830-16384)/32768)</f>
        <v>0</v>
      </c>
      <c r="L829" s="4">
        <f>IF(('Raw Data'!J830-12010)/45.6=-263.377192982456,0,('Raw Data'!J830-12010)/45.6)</f>
        <v>0</v>
      </c>
      <c r="M829" s="16">
        <f>'Raw Data'!N830*2^-8</f>
        <v>0</v>
      </c>
      <c r="N829" s="16">
        <f>'Raw Data'!O830*2^-8</f>
        <v>0</v>
      </c>
      <c r="O829" s="17" t="str">
        <f>IF(BITWISE_AND('Raw Data'!$K830, 8192),"X","")</f>
        <v/>
      </c>
      <c r="P829" s="17" t="str">
        <f>IF(BITWISE_AND('Raw Data'!$K830, 2048),"X","")</f>
        <v/>
      </c>
      <c r="Q829" s="17" t="str">
        <f>IF(BITWISE_AND('Raw Data'!$K830, 64),"X","")</f>
        <v/>
      </c>
      <c r="R829" s="18" t="str">
        <f>IF(BITWISE_AND('Raw Data'!$L830, 1024),"X","")</f>
        <v/>
      </c>
      <c r="S829" s="18" t="str">
        <f>IF(BITWISE_AND('Raw Data'!$L830, 512),"X","")</f>
        <v/>
      </c>
      <c r="T829" s="18" t="str">
        <f>IF(BITWISE_AND('Raw Data'!$L830, 256),"X","")</f>
        <v/>
      </c>
      <c r="U829" s="18" t="str">
        <f>IF(BITWISE_AND('Raw Data'!$L830, 64),"X","")</f>
        <v/>
      </c>
      <c r="V829" s="18" t="str">
        <f>IF(BITWISE_AND('Raw Data'!$L830, 2),"X","")</f>
        <v/>
      </c>
      <c r="W829" s="18" t="str">
        <f>IF(BITWISE_AND('Raw Data'!$L830, 1),"X","")</f>
        <v/>
      </c>
      <c r="X829" s="19" t="str">
        <f>IF(BITWISE_AND('Raw Data'!M830, 1),"Bat Voltage", IF(BITWISE_AND('Raw Data'!M830, 2), "Charge Current", IF(BITWISE_AND('Raw Data'!M830, 4),"Input Ilim", IF(BITWISE_AND('Raw Data'!M830, 8), "Input UV", "none"))))</f>
        <v>none</v>
      </c>
    </row>
    <row r="830" spans="1:24" x14ac:dyDescent="0.2">
      <c r="A830" s="15">
        <f>A829+TIME(0,0,'Raw Data'!B830)</f>
        <v>0</v>
      </c>
      <c r="B830" s="4">
        <f>'Raw Data'!C831*0.025</f>
        <v>0</v>
      </c>
      <c r="C830" s="4">
        <f t="shared" si="39"/>
        <v>0</v>
      </c>
      <c r="D830" s="4">
        <f>'Raw Data'!D831*0.025</f>
        <v>0</v>
      </c>
      <c r="E830" s="4">
        <f t="shared" si="40"/>
        <v>0</v>
      </c>
      <c r="F830" s="4">
        <f>'Raw Data'!E831*0.001648</f>
        <v>0</v>
      </c>
      <c r="G830" s="4">
        <f>'Raw Data'!F831*0.001648</f>
        <v>0</v>
      </c>
      <c r="H830" s="4">
        <f>'Raw Data'!G831*6*0.000128176</f>
        <v>0</v>
      </c>
      <c r="I830" s="4">
        <f>'Raw Data'!H831*0.000732435</f>
        <v>0</v>
      </c>
      <c r="J830" s="4">
        <f t="shared" si="38"/>
        <v>0</v>
      </c>
      <c r="K830" s="36">
        <f>IF(('Raw Data'!I831-16384)/32768&lt;0,0,('Raw Data'!I831-16384)/32768)</f>
        <v>0</v>
      </c>
      <c r="L830" s="4">
        <f>IF(('Raw Data'!J831-12010)/45.6=-263.377192982456,0,('Raw Data'!J831-12010)/45.6)</f>
        <v>0</v>
      </c>
      <c r="M830" s="16">
        <f>'Raw Data'!N831*2^-8</f>
        <v>0</v>
      </c>
      <c r="N830" s="16">
        <f>'Raw Data'!O831*2^-8</f>
        <v>0</v>
      </c>
      <c r="O830" s="17" t="str">
        <f>IF(BITWISE_AND('Raw Data'!$K831, 8192),"X","")</f>
        <v/>
      </c>
      <c r="P830" s="17" t="str">
        <f>IF(BITWISE_AND('Raw Data'!$K831, 2048),"X","")</f>
        <v/>
      </c>
      <c r="Q830" s="17" t="str">
        <f>IF(BITWISE_AND('Raw Data'!$K831, 64),"X","")</f>
        <v/>
      </c>
      <c r="R830" s="18" t="str">
        <f>IF(BITWISE_AND('Raw Data'!$L831, 1024),"X","")</f>
        <v/>
      </c>
      <c r="S830" s="18" t="str">
        <f>IF(BITWISE_AND('Raw Data'!$L831, 512),"X","")</f>
        <v/>
      </c>
      <c r="T830" s="18" t="str">
        <f>IF(BITWISE_AND('Raw Data'!$L831, 256),"X","")</f>
        <v/>
      </c>
      <c r="U830" s="18" t="str">
        <f>IF(BITWISE_AND('Raw Data'!$L831, 64),"X","")</f>
        <v/>
      </c>
      <c r="V830" s="18" t="str">
        <f>IF(BITWISE_AND('Raw Data'!$L831, 2),"X","")</f>
        <v/>
      </c>
      <c r="W830" s="18" t="str">
        <f>IF(BITWISE_AND('Raw Data'!$L831, 1),"X","")</f>
        <v/>
      </c>
      <c r="X830" s="19" t="str">
        <f>IF(BITWISE_AND('Raw Data'!M831, 1),"Bat Voltage", IF(BITWISE_AND('Raw Data'!M831, 2), "Charge Current", IF(BITWISE_AND('Raw Data'!M831, 4),"Input Ilim", IF(BITWISE_AND('Raw Data'!M831, 8), "Input UV", "none"))))</f>
        <v>none</v>
      </c>
    </row>
    <row r="831" spans="1:24" x14ac:dyDescent="0.2">
      <c r="A831" s="15">
        <f>A830+TIME(0,0,'Raw Data'!B831)</f>
        <v>0</v>
      </c>
      <c r="B831" s="4">
        <f>'Raw Data'!C832*0.025</f>
        <v>0</v>
      </c>
      <c r="C831" s="4">
        <f t="shared" si="39"/>
        <v>0</v>
      </c>
      <c r="D831" s="4">
        <f>'Raw Data'!D832*0.025</f>
        <v>0</v>
      </c>
      <c r="E831" s="4">
        <f t="shared" si="40"/>
        <v>0</v>
      </c>
      <c r="F831" s="4">
        <f>'Raw Data'!E832*0.001648</f>
        <v>0</v>
      </c>
      <c r="G831" s="4">
        <f>'Raw Data'!F832*0.001648</f>
        <v>0</v>
      </c>
      <c r="H831" s="4">
        <f>'Raw Data'!G832*6*0.000128176</f>
        <v>0</v>
      </c>
      <c r="I831" s="4">
        <f>'Raw Data'!H832*0.000732435</f>
        <v>0</v>
      </c>
      <c r="J831" s="4">
        <f t="shared" si="38"/>
        <v>0</v>
      </c>
      <c r="K831" s="36">
        <f>IF(('Raw Data'!I832-16384)/32768&lt;0,0,('Raw Data'!I832-16384)/32768)</f>
        <v>0</v>
      </c>
      <c r="L831" s="4">
        <f>IF(('Raw Data'!J832-12010)/45.6=-263.377192982456,0,('Raw Data'!J832-12010)/45.6)</f>
        <v>0</v>
      </c>
      <c r="M831" s="16">
        <f>'Raw Data'!N832*2^-8</f>
        <v>0</v>
      </c>
      <c r="N831" s="16">
        <f>'Raw Data'!O832*2^-8</f>
        <v>0</v>
      </c>
      <c r="O831" s="17" t="str">
        <f>IF(BITWISE_AND('Raw Data'!$K832, 8192),"X","")</f>
        <v/>
      </c>
      <c r="P831" s="17" t="str">
        <f>IF(BITWISE_AND('Raw Data'!$K832, 2048),"X","")</f>
        <v/>
      </c>
      <c r="Q831" s="17" t="str">
        <f>IF(BITWISE_AND('Raw Data'!$K832, 64),"X","")</f>
        <v/>
      </c>
      <c r="R831" s="18" t="str">
        <f>IF(BITWISE_AND('Raw Data'!$L832, 1024),"X","")</f>
        <v/>
      </c>
      <c r="S831" s="18" t="str">
        <f>IF(BITWISE_AND('Raw Data'!$L832, 512),"X","")</f>
        <v/>
      </c>
      <c r="T831" s="18" t="str">
        <f>IF(BITWISE_AND('Raw Data'!$L832, 256),"X","")</f>
        <v/>
      </c>
      <c r="U831" s="18" t="str">
        <f>IF(BITWISE_AND('Raw Data'!$L832, 64),"X","")</f>
        <v/>
      </c>
      <c r="V831" s="18" t="str">
        <f>IF(BITWISE_AND('Raw Data'!$L832, 2),"X","")</f>
        <v/>
      </c>
      <c r="W831" s="18" t="str">
        <f>IF(BITWISE_AND('Raw Data'!$L832, 1),"X","")</f>
        <v/>
      </c>
      <c r="X831" s="19" t="str">
        <f>IF(BITWISE_AND('Raw Data'!M832, 1),"Bat Voltage", IF(BITWISE_AND('Raw Data'!M832, 2), "Charge Current", IF(BITWISE_AND('Raw Data'!M832, 4),"Input Ilim", IF(BITWISE_AND('Raw Data'!M832, 8), "Input UV", "none"))))</f>
        <v>none</v>
      </c>
    </row>
    <row r="832" spans="1:24" x14ac:dyDescent="0.2">
      <c r="A832" s="15">
        <f>A831+TIME(0,0,'Raw Data'!B832)</f>
        <v>0</v>
      </c>
      <c r="B832" s="4">
        <f>'Raw Data'!C833*0.025</f>
        <v>0</v>
      </c>
      <c r="C832" s="4">
        <f t="shared" si="39"/>
        <v>0</v>
      </c>
      <c r="D832" s="4">
        <f>'Raw Data'!D833*0.025</f>
        <v>0</v>
      </c>
      <c r="E832" s="4">
        <f t="shared" si="40"/>
        <v>0</v>
      </c>
      <c r="F832" s="4">
        <f>'Raw Data'!E833*0.001648</f>
        <v>0</v>
      </c>
      <c r="G832" s="4">
        <f>'Raw Data'!F833*0.001648</f>
        <v>0</v>
      </c>
      <c r="H832" s="4">
        <f>'Raw Data'!G833*6*0.000128176</f>
        <v>0</v>
      </c>
      <c r="I832" s="4">
        <f>'Raw Data'!H833*0.000732435</f>
        <v>0</v>
      </c>
      <c r="J832" s="4">
        <f t="shared" si="38"/>
        <v>0</v>
      </c>
      <c r="K832" s="36">
        <f>IF(('Raw Data'!I833-16384)/32768&lt;0,0,('Raw Data'!I833-16384)/32768)</f>
        <v>0</v>
      </c>
      <c r="L832" s="4">
        <f>IF(('Raw Data'!J833-12010)/45.6=-263.377192982456,0,('Raw Data'!J833-12010)/45.6)</f>
        <v>0</v>
      </c>
      <c r="M832" s="16">
        <f>'Raw Data'!N833*2^-8</f>
        <v>0</v>
      </c>
      <c r="N832" s="16">
        <f>'Raw Data'!O833*2^-8</f>
        <v>0</v>
      </c>
      <c r="O832" s="17" t="str">
        <f>IF(BITWISE_AND('Raw Data'!$K833, 8192),"X","")</f>
        <v/>
      </c>
      <c r="P832" s="17" t="str">
        <f>IF(BITWISE_AND('Raw Data'!$K833, 2048),"X","")</f>
        <v/>
      </c>
      <c r="Q832" s="17" t="str">
        <f>IF(BITWISE_AND('Raw Data'!$K833, 64),"X","")</f>
        <v/>
      </c>
      <c r="R832" s="18" t="str">
        <f>IF(BITWISE_AND('Raw Data'!$L833, 1024),"X","")</f>
        <v/>
      </c>
      <c r="S832" s="18" t="str">
        <f>IF(BITWISE_AND('Raw Data'!$L833, 512),"X","")</f>
        <v/>
      </c>
      <c r="T832" s="18" t="str">
        <f>IF(BITWISE_AND('Raw Data'!$L833, 256),"X","")</f>
        <v/>
      </c>
      <c r="U832" s="18" t="str">
        <f>IF(BITWISE_AND('Raw Data'!$L833, 64),"X","")</f>
        <v/>
      </c>
      <c r="V832" s="18" t="str">
        <f>IF(BITWISE_AND('Raw Data'!$L833, 2),"X","")</f>
        <v/>
      </c>
      <c r="W832" s="18" t="str">
        <f>IF(BITWISE_AND('Raw Data'!$L833, 1),"X","")</f>
        <v/>
      </c>
      <c r="X832" s="19" t="str">
        <f>IF(BITWISE_AND('Raw Data'!M833, 1),"Bat Voltage", IF(BITWISE_AND('Raw Data'!M833, 2), "Charge Current", IF(BITWISE_AND('Raw Data'!M833, 4),"Input Ilim", IF(BITWISE_AND('Raw Data'!M833, 8), "Input UV", "none"))))</f>
        <v>none</v>
      </c>
    </row>
    <row r="833" spans="1:24" x14ac:dyDescent="0.2">
      <c r="A833" s="15">
        <f>A832+TIME(0,0,'Raw Data'!B833)</f>
        <v>0</v>
      </c>
      <c r="B833" s="4">
        <f>'Raw Data'!C834*0.025</f>
        <v>0</v>
      </c>
      <c r="C833" s="4">
        <f t="shared" si="39"/>
        <v>0</v>
      </c>
      <c r="D833" s="4">
        <f>'Raw Data'!D834*0.025</f>
        <v>0</v>
      </c>
      <c r="E833" s="4">
        <f t="shared" si="40"/>
        <v>0</v>
      </c>
      <c r="F833" s="4">
        <f>'Raw Data'!E834*0.001648</f>
        <v>0</v>
      </c>
      <c r="G833" s="4">
        <f>'Raw Data'!F834*0.001648</f>
        <v>0</v>
      </c>
      <c r="H833" s="4">
        <f>'Raw Data'!G834*6*0.000128176</f>
        <v>0</v>
      </c>
      <c r="I833" s="4">
        <f>'Raw Data'!H834*0.000732435</f>
        <v>0</v>
      </c>
      <c r="J833" s="4">
        <f t="shared" si="38"/>
        <v>0</v>
      </c>
      <c r="K833" s="36">
        <f>IF(('Raw Data'!I834-16384)/32768&lt;0,0,('Raw Data'!I834-16384)/32768)</f>
        <v>0</v>
      </c>
      <c r="L833" s="4">
        <f>IF(('Raw Data'!J834-12010)/45.6=-263.377192982456,0,('Raw Data'!J834-12010)/45.6)</f>
        <v>0</v>
      </c>
      <c r="M833" s="16">
        <f>'Raw Data'!N834*2^-8</f>
        <v>0</v>
      </c>
      <c r="N833" s="16">
        <f>'Raw Data'!O834*2^-8</f>
        <v>0</v>
      </c>
      <c r="O833" s="17" t="str">
        <f>IF(BITWISE_AND('Raw Data'!$K834, 8192),"X","")</f>
        <v/>
      </c>
      <c r="P833" s="17" t="str">
        <f>IF(BITWISE_AND('Raw Data'!$K834, 2048),"X","")</f>
        <v/>
      </c>
      <c r="Q833" s="17" t="str">
        <f>IF(BITWISE_AND('Raw Data'!$K834, 64),"X","")</f>
        <v/>
      </c>
      <c r="R833" s="18" t="str">
        <f>IF(BITWISE_AND('Raw Data'!$L834, 1024),"X","")</f>
        <v/>
      </c>
      <c r="S833" s="18" t="str">
        <f>IF(BITWISE_AND('Raw Data'!$L834, 512),"X","")</f>
        <v/>
      </c>
      <c r="T833" s="18" t="str">
        <f>IF(BITWISE_AND('Raw Data'!$L834, 256),"X","")</f>
        <v/>
      </c>
      <c r="U833" s="18" t="str">
        <f>IF(BITWISE_AND('Raw Data'!$L834, 64),"X","")</f>
        <v/>
      </c>
      <c r="V833" s="18" t="str">
        <f>IF(BITWISE_AND('Raw Data'!$L834, 2),"X","")</f>
        <v/>
      </c>
      <c r="W833" s="18" t="str">
        <f>IF(BITWISE_AND('Raw Data'!$L834, 1),"X","")</f>
        <v/>
      </c>
      <c r="X833" s="19" t="str">
        <f>IF(BITWISE_AND('Raw Data'!M834, 1),"Bat Voltage", IF(BITWISE_AND('Raw Data'!M834, 2), "Charge Current", IF(BITWISE_AND('Raw Data'!M834, 4),"Input Ilim", IF(BITWISE_AND('Raw Data'!M834, 8), "Input UV", "none"))))</f>
        <v>none</v>
      </c>
    </row>
    <row r="834" spans="1:24" x14ac:dyDescent="0.2">
      <c r="A834" s="15">
        <f>A833+TIME(0,0,'Raw Data'!B834)</f>
        <v>0</v>
      </c>
      <c r="B834" s="4">
        <f>'Raw Data'!C835*0.025</f>
        <v>0</v>
      </c>
      <c r="C834" s="4">
        <f t="shared" si="39"/>
        <v>0</v>
      </c>
      <c r="D834" s="4">
        <f>'Raw Data'!D835*0.025</f>
        <v>0</v>
      </c>
      <c r="E834" s="4">
        <f t="shared" si="40"/>
        <v>0</v>
      </c>
      <c r="F834" s="4">
        <f>'Raw Data'!E835*0.001648</f>
        <v>0</v>
      </c>
      <c r="G834" s="4">
        <f>'Raw Data'!F835*0.001648</f>
        <v>0</v>
      </c>
      <c r="H834" s="4">
        <f>'Raw Data'!G835*6*0.000128176</f>
        <v>0</v>
      </c>
      <c r="I834" s="4">
        <f>'Raw Data'!H835*0.000732435</f>
        <v>0</v>
      </c>
      <c r="J834" s="4">
        <f t="shared" si="38"/>
        <v>0</v>
      </c>
      <c r="K834" s="36">
        <f>IF(('Raw Data'!I835-16384)/32768&lt;0,0,('Raw Data'!I835-16384)/32768)</f>
        <v>0</v>
      </c>
      <c r="L834" s="4">
        <f>IF(('Raw Data'!J835-12010)/45.6=-263.377192982456,0,('Raw Data'!J835-12010)/45.6)</f>
        <v>0</v>
      </c>
      <c r="M834" s="16">
        <f>'Raw Data'!N835*2^-8</f>
        <v>0</v>
      </c>
      <c r="N834" s="16">
        <f>'Raw Data'!O835*2^-8</f>
        <v>0</v>
      </c>
      <c r="O834" s="17" t="str">
        <f>IF(BITWISE_AND('Raw Data'!$K835, 8192),"X","")</f>
        <v/>
      </c>
      <c r="P834" s="17" t="str">
        <f>IF(BITWISE_AND('Raw Data'!$K835, 2048),"X","")</f>
        <v/>
      </c>
      <c r="Q834" s="17" t="str">
        <f>IF(BITWISE_AND('Raw Data'!$K835, 64),"X","")</f>
        <v/>
      </c>
      <c r="R834" s="18" t="str">
        <f>IF(BITWISE_AND('Raw Data'!$L835, 1024),"X","")</f>
        <v/>
      </c>
      <c r="S834" s="18" t="str">
        <f>IF(BITWISE_AND('Raw Data'!$L835, 512),"X","")</f>
        <v/>
      </c>
      <c r="T834" s="18" t="str">
        <f>IF(BITWISE_AND('Raw Data'!$L835, 256),"X","")</f>
        <v/>
      </c>
      <c r="U834" s="18" t="str">
        <f>IF(BITWISE_AND('Raw Data'!$L835, 64),"X","")</f>
        <v/>
      </c>
      <c r="V834" s="18" t="str">
        <f>IF(BITWISE_AND('Raw Data'!$L835, 2),"X","")</f>
        <v/>
      </c>
      <c r="W834" s="18" t="str">
        <f>IF(BITWISE_AND('Raw Data'!$L835, 1),"X","")</f>
        <v/>
      </c>
      <c r="X834" s="19" t="str">
        <f>IF(BITWISE_AND('Raw Data'!M835, 1),"Bat Voltage", IF(BITWISE_AND('Raw Data'!M835, 2), "Charge Current", IF(BITWISE_AND('Raw Data'!M835, 4),"Input Ilim", IF(BITWISE_AND('Raw Data'!M835, 8), "Input UV", "none"))))</f>
        <v>none</v>
      </c>
    </row>
    <row r="835" spans="1:24" x14ac:dyDescent="0.2">
      <c r="A835" s="15">
        <f>A834+TIME(0,0,'Raw Data'!B835)</f>
        <v>0</v>
      </c>
      <c r="B835" s="4">
        <f>'Raw Data'!C836*0.025</f>
        <v>0</v>
      </c>
      <c r="C835" s="4">
        <f t="shared" si="39"/>
        <v>0</v>
      </c>
      <c r="D835" s="4">
        <f>'Raw Data'!D836*0.025</f>
        <v>0</v>
      </c>
      <c r="E835" s="4">
        <f t="shared" si="40"/>
        <v>0</v>
      </c>
      <c r="F835" s="4">
        <f>'Raw Data'!E836*0.001648</f>
        <v>0</v>
      </c>
      <c r="G835" s="4">
        <f>'Raw Data'!F836*0.001648</f>
        <v>0</v>
      </c>
      <c r="H835" s="4">
        <f>'Raw Data'!G836*6*0.000128176</f>
        <v>0</v>
      </c>
      <c r="I835" s="4">
        <f>'Raw Data'!H836*0.000732435</f>
        <v>0</v>
      </c>
      <c r="J835" s="4">
        <f t="shared" ref="J835:J880" si="41">H835*I835</f>
        <v>0</v>
      </c>
      <c r="K835" s="36">
        <f>IF(('Raw Data'!I836-16384)/32768&lt;0,0,('Raw Data'!I836-16384)/32768)</f>
        <v>0</v>
      </c>
      <c r="L835" s="4">
        <f>IF(('Raw Data'!J836-12010)/45.6=-263.377192982456,0,('Raw Data'!J836-12010)/45.6)</f>
        <v>0</v>
      </c>
      <c r="M835" s="16">
        <f>'Raw Data'!N836*2^-8</f>
        <v>0</v>
      </c>
      <c r="N835" s="16">
        <f>'Raw Data'!O836*2^-8</f>
        <v>0</v>
      </c>
      <c r="O835" s="17" t="str">
        <f>IF(BITWISE_AND('Raw Data'!$K836, 8192),"X","")</f>
        <v/>
      </c>
      <c r="P835" s="17" t="str">
        <f>IF(BITWISE_AND('Raw Data'!$K836, 2048),"X","")</f>
        <v/>
      </c>
      <c r="Q835" s="17" t="str">
        <f>IF(BITWISE_AND('Raw Data'!$K836, 64),"X","")</f>
        <v/>
      </c>
      <c r="R835" s="18" t="str">
        <f>IF(BITWISE_AND('Raw Data'!$L836, 1024),"X","")</f>
        <v/>
      </c>
      <c r="S835" s="18" t="str">
        <f>IF(BITWISE_AND('Raw Data'!$L836, 512),"X","")</f>
        <v/>
      </c>
      <c r="T835" s="18" t="str">
        <f>IF(BITWISE_AND('Raw Data'!$L836, 256),"X","")</f>
        <v/>
      </c>
      <c r="U835" s="18" t="str">
        <f>IF(BITWISE_AND('Raw Data'!$L836, 64),"X","")</f>
        <v/>
      </c>
      <c r="V835" s="18" t="str">
        <f>IF(BITWISE_AND('Raw Data'!$L836, 2),"X","")</f>
        <v/>
      </c>
      <c r="W835" s="18" t="str">
        <f>IF(BITWISE_AND('Raw Data'!$L836, 1),"X","")</f>
        <v/>
      </c>
      <c r="X835" s="19" t="str">
        <f>IF(BITWISE_AND('Raw Data'!M836, 1),"Bat Voltage", IF(BITWISE_AND('Raw Data'!M836, 2), "Charge Current", IF(BITWISE_AND('Raw Data'!M836, 4),"Input Ilim", IF(BITWISE_AND('Raw Data'!M836, 8), "Input UV", "none"))))</f>
        <v>none</v>
      </c>
    </row>
    <row r="836" spans="1:24" x14ac:dyDescent="0.2">
      <c r="A836" s="15">
        <f>A835+TIME(0,0,'Raw Data'!B836)</f>
        <v>0</v>
      </c>
      <c r="B836" s="4">
        <f>'Raw Data'!C837*0.025</f>
        <v>0</v>
      </c>
      <c r="C836" s="4">
        <f t="shared" si="39"/>
        <v>0</v>
      </c>
      <c r="D836" s="4">
        <f>'Raw Data'!D837*0.025</f>
        <v>0</v>
      </c>
      <c r="E836" s="4">
        <f t="shared" si="40"/>
        <v>0</v>
      </c>
      <c r="F836" s="4">
        <f>'Raw Data'!E837*0.001648</f>
        <v>0</v>
      </c>
      <c r="G836" s="4">
        <f>'Raw Data'!F837*0.001648</f>
        <v>0</v>
      </c>
      <c r="H836" s="4">
        <f>'Raw Data'!G837*6*0.000128176</f>
        <v>0</v>
      </c>
      <c r="I836" s="4">
        <f>'Raw Data'!H837*0.000732435</f>
        <v>0</v>
      </c>
      <c r="J836" s="4">
        <f t="shared" si="41"/>
        <v>0</v>
      </c>
      <c r="K836" s="36">
        <f>IF(('Raw Data'!I837-16384)/32768&lt;0,0,('Raw Data'!I837-16384)/32768)</f>
        <v>0</v>
      </c>
      <c r="L836" s="4">
        <f>IF(('Raw Data'!J837-12010)/45.6=-263.377192982456,0,('Raw Data'!J837-12010)/45.6)</f>
        <v>0</v>
      </c>
      <c r="M836" s="16">
        <f>'Raw Data'!N837*2^-8</f>
        <v>0</v>
      </c>
      <c r="N836" s="16">
        <f>'Raw Data'!O837*2^-8</f>
        <v>0</v>
      </c>
      <c r="O836" s="17" t="str">
        <f>IF(BITWISE_AND('Raw Data'!$K837, 8192),"X","")</f>
        <v/>
      </c>
      <c r="P836" s="17" t="str">
        <f>IF(BITWISE_AND('Raw Data'!$K837, 2048),"X","")</f>
        <v/>
      </c>
      <c r="Q836" s="17" t="str">
        <f>IF(BITWISE_AND('Raw Data'!$K837, 64),"X","")</f>
        <v/>
      </c>
      <c r="R836" s="18" t="str">
        <f>IF(BITWISE_AND('Raw Data'!$L837, 1024),"X","")</f>
        <v/>
      </c>
      <c r="S836" s="18" t="str">
        <f>IF(BITWISE_AND('Raw Data'!$L837, 512),"X","")</f>
        <v/>
      </c>
      <c r="T836" s="18" t="str">
        <f>IF(BITWISE_AND('Raw Data'!$L837, 256),"X","")</f>
        <v/>
      </c>
      <c r="U836" s="18" t="str">
        <f>IF(BITWISE_AND('Raw Data'!$L837, 64),"X","")</f>
        <v/>
      </c>
      <c r="V836" s="18" t="str">
        <f>IF(BITWISE_AND('Raw Data'!$L837, 2),"X","")</f>
        <v/>
      </c>
      <c r="W836" s="18" t="str">
        <f>IF(BITWISE_AND('Raw Data'!$L837, 1),"X","")</f>
        <v/>
      </c>
      <c r="X836" s="19" t="str">
        <f>IF(BITWISE_AND('Raw Data'!M837, 1),"Bat Voltage", IF(BITWISE_AND('Raw Data'!M837, 2), "Charge Current", IF(BITWISE_AND('Raw Data'!M837, 4),"Input Ilim", IF(BITWISE_AND('Raw Data'!M837, 8), "Input UV", "none"))))</f>
        <v>none</v>
      </c>
    </row>
    <row r="837" spans="1:24" x14ac:dyDescent="0.2">
      <c r="A837" s="15">
        <f>A836+TIME(0,0,'Raw Data'!B837)</f>
        <v>0</v>
      </c>
      <c r="B837" s="4">
        <f>'Raw Data'!C838*0.025</f>
        <v>0</v>
      </c>
      <c r="C837" s="4">
        <f t="shared" si="39"/>
        <v>0</v>
      </c>
      <c r="D837" s="4">
        <f>'Raw Data'!D838*0.025</f>
        <v>0</v>
      </c>
      <c r="E837" s="4">
        <f t="shared" si="40"/>
        <v>0</v>
      </c>
      <c r="F837" s="4">
        <f>'Raw Data'!E838*0.001648</f>
        <v>0</v>
      </c>
      <c r="G837" s="4">
        <f>'Raw Data'!F838*0.001648</f>
        <v>0</v>
      </c>
      <c r="H837" s="4">
        <f>'Raw Data'!G838*6*0.000128176</f>
        <v>0</v>
      </c>
      <c r="I837" s="4">
        <f>'Raw Data'!H838*0.000732435</f>
        <v>0</v>
      </c>
      <c r="J837" s="4">
        <f t="shared" si="41"/>
        <v>0</v>
      </c>
      <c r="K837" s="36">
        <f>IF(('Raw Data'!I838-16384)/32768&lt;0,0,('Raw Data'!I838-16384)/32768)</f>
        <v>0</v>
      </c>
      <c r="L837" s="4">
        <f>IF(('Raw Data'!J838-12010)/45.6=-263.377192982456,0,('Raw Data'!J838-12010)/45.6)</f>
        <v>0</v>
      </c>
      <c r="M837" s="16">
        <f>'Raw Data'!N838*2^-8</f>
        <v>0</v>
      </c>
      <c r="N837" s="16">
        <f>'Raw Data'!O838*2^-8</f>
        <v>0</v>
      </c>
      <c r="O837" s="17" t="str">
        <f>IF(BITWISE_AND('Raw Data'!$K838, 8192),"X","")</f>
        <v/>
      </c>
      <c r="P837" s="17" t="str">
        <f>IF(BITWISE_AND('Raw Data'!$K838, 2048),"X","")</f>
        <v/>
      </c>
      <c r="Q837" s="17" t="str">
        <f>IF(BITWISE_AND('Raw Data'!$K838, 64),"X","")</f>
        <v/>
      </c>
      <c r="R837" s="18" t="str">
        <f>IF(BITWISE_AND('Raw Data'!$L838, 1024),"X","")</f>
        <v/>
      </c>
      <c r="S837" s="18" t="str">
        <f>IF(BITWISE_AND('Raw Data'!$L838, 512),"X","")</f>
        <v/>
      </c>
      <c r="T837" s="18" t="str">
        <f>IF(BITWISE_AND('Raw Data'!$L838, 256),"X","")</f>
        <v/>
      </c>
      <c r="U837" s="18" t="str">
        <f>IF(BITWISE_AND('Raw Data'!$L838, 64),"X","")</f>
        <v/>
      </c>
      <c r="V837" s="18" t="str">
        <f>IF(BITWISE_AND('Raw Data'!$L838, 2),"X","")</f>
        <v/>
      </c>
      <c r="W837" s="18" t="str">
        <f>IF(BITWISE_AND('Raw Data'!$L838, 1),"X","")</f>
        <v/>
      </c>
      <c r="X837" s="19" t="str">
        <f>IF(BITWISE_AND('Raw Data'!M838, 1),"Bat Voltage", IF(BITWISE_AND('Raw Data'!M838, 2), "Charge Current", IF(BITWISE_AND('Raw Data'!M838, 4),"Input Ilim", IF(BITWISE_AND('Raw Data'!M838, 8), "Input UV", "none"))))</f>
        <v>none</v>
      </c>
    </row>
    <row r="838" spans="1:24" x14ac:dyDescent="0.2">
      <c r="A838" s="15">
        <f>A837+TIME(0,0,'Raw Data'!B838)</f>
        <v>0</v>
      </c>
      <c r="B838" s="4">
        <f>'Raw Data'!C839*0.025</f>
        <v>0</v>
      </c>
      <c r="C838" s="4">
        <f t="shared" si="39"/>
        <v>0</v>
      </c>
      <c r="D838" s="4">
        <f>'Raw Data'!D839*0.025</f>
        <v>0</v>
      </c>
      <c r="E838" s="4">
        <f t="shared" si="40"/>
        <v>0</v>
      </c>
      <c r="F838" s="4">
        <f>'Raw Data'!E839*0.001648</f>
        <v>0</v>
      </c>
      <c r="G838" s="4">
        <f>'Raw Data'!F839*0.001648</f>
        <v>0</v>
      </c>
      <c r="H838" s="4">
        <f>'Raw Data'!G839*6*0.000128176</f>
        <v>0</v>
      </c>
      <c r="I838" s="4">
        <f>'Raw Data'!H839*0.000732435</f>
        <v>0</v>
      </c>
      <c r="J838" s="4">
        <f t="shared" si="41"/>
        <v>0</v>
      </c>
      <c r="K838" s="36">
        <f>IF(('Raw Data'!I839-16384)/32768&lt;0,0,('Raw Data'!I839-16384)/32768)</f>
        <v>0</v>
      </c>
      <c r="L838" s="4">
        <f>IF(('Raw Data'!J839-12010)/45.6=-263.377192982456,0,('Raw Data'!J839-12010)/45.6)</f>
        <v>0</v>
      </c>
      <c r="M838" s="16">
        <f>'Raw Data'!N839*2^-8</f>
        <v>0</v>
      </c>
      <c r="N838" s="16">
        <f>'Raw Data'!O839*2^-8</f>
        <v>0</v>
      </c>
      <c r="O838" s="17" t="str">
        <f>IF(BITWISE_AND('Raw Data'!$K839, 8192),"X","")</f>
        <v/>
      </c>
      <c r="P838" s="17" t="str">
        <f>IF(BITWISE_AND('Raw Data'!$K839, 2048),"X","")</f>
        <v/>
      </c>
      <c r="Q838" s="17" t="str">
        <f>IF(BITWISE_AND('Raw Data'!$K839, 64),"X","")</f>
        <v/>
      </c>
      <c r="R838" s="18" t="str">
        <f>IF(BITWISE_AND('Raw Data'!$L839, 1024),"X","")</f>
        <v/>
      </c>
      <c r="S838" s="18" t="str">
        <f>IF(BITWISE_AND('Raw Data'!$L839, 512),"X","")</f>
        <v/>
      </c>
      <c r="T838" s="18" t="str">
        <f>IF(BITWISE_AND('Raw Data'!$L839, 256),"X","")</f>
        <v/>
      </c>
      <c r="U838" s="18" t="str">
        <f>IF(BITWISE_AND('Raw Data'!$L839, 64),"X","")</f>
        <v/>
      </c>
      <c r="V838" s="18" t="str">
        <f>IF(BITWISE_AND('Raw Data'!$L839, 2),"X","")</f>
        <v/>
      </c>
      <c r="W838" s="18" t="str">
        <f>IF(BITWISE_AND('Raw Data'!$L839, 1),"X","")</f>
        <v/>
      </c>
      <c r="X838" s="19" t="str">
        <f>IF(BITWISE_AND('Raw Data'!M839, 1),"Bat Voltage", IF(BITWISE_AND('Raw Data'!M839, 2), "Charge Current", IF(BITWISE_AND('Raw Data'!M839, 4),"Input Ilim", IF(BITWISE_AND('Raw Data'!M839, 8), "Input UV", "none"))))</f>
        <v>none</v>
      </c>
    </row>
    <row r="839" spans="1:24" x14ac:dyDescent="0.2">
      <c r="A839" s="15">
        <f>A838+TIME(0,0,'Raw Data'!B839)</f>
        <v>0</v>
      </c>
      <c r="B839" s="4">
        <f>'Raw Data'!C840*0.025</f>
        <v>0</v>
      </c>
      <c r="C839" s="4">
        <f t="shared" si="39"/>
        <v>0</v>
      </c>
      <c r="D839" s="4">
        <f>'Raw Data'!D840*0.025</f>
        <v>0</v>
      </c>
      <c r="E839" s="4">
        <f t="shared" si="40"/>
        <v>0</v>
      </c>
      <c r="F839" s="4">
        <f>'Raw Data'!E840*0.001648</f>
        <v>0</v>
      </c>
      <c r="G839" s="4">
        <f>'Raw Data'!F840*0.001648</f>
        <v>0</v>
      </c>
      <c r="H839" s="4">
        <f>'Raw Data'!G840*6*0.000128176</f>
        <v>0</v>
      </c>
      <c r="I839" s="4">
        <f>'Raw Data'!H840*0.000732435</f>
        <v>0</v>
      </c>
      <c r="J839" s="4">
        <f t="shared" si="41"/>
        <v>0</v>
      </c>
      <c r="K839" s="36">
        <f>IF(('Raw Data'!I840-16384)/32768&lt;0,0,('Raw Data'!I840-16384)/32768)</f>
        <v>0</v>
      </c>
      <c r="L839" s="4">
        <f>IF(('Raw Data'!J840-12010)/45.6=-263.377192982456,0,('Raw Data'!J840-12010)/45.6)</f>
        <v>0</v>
      </c>
      <c r="M839" s="16">
        <f>'Raw Data'!N840*2^-8</f>
        <v>0</v>
      </c>
      <c r="N839" s="16">
        <f>'Raw Data'!O840*2^-8</f>
        <v>0</v>
      </c>
      <c r="O839" s="17" t="str">
        <f>IF(BITWISE_AND('Raw Data'!$K840, 8192),"X","")</f>
        <v/>
      </c>
      <c r="P839" s="17" t="str">
        <f>IF(BITWISE_AND('Raw Data'!$K840, 2048),"X","")</f>
        <v/>
      </c>
      <c r="Q839" s="17" t="str">
        <f>IF(BITWISE_AND('Raw Data'!$K840, 64),"X","")</f>
        <v/>
      </c>
      <c r="R839" s="18" t="str">
        <f>IF(BITWISE_AND('Raw Data'!$L840, 1024),"X","")</f>
        <v/>
      </c>
      <c r="S839" s="18" t="str">
        <f>IF(BITWISE_AND('Raw Data'!$L840, 512),"X","")</f>
        <v/>
      </c>
      <c r="T839" s="18" t="str">
        <f>IF(BITWISE_AND('Raw Data'!$L840, 256),"X","")</f>
        <v/>
      </c>
      <c r="U839" s="18" t="str">
        <f>IF(BITWISE_AND('Raw Data'!$L840, 64),"X","")</f>
        <v/>
      </c>
      <c r="V839" s="18" t="str">
        <f>IF(BITWISE_AND('Raw Data'!$L840, 2),"X","")</f>
        <v/>
      </c>
      <c r="W839" s="18" t="str">
        <f>IF(BITWISE_AND('Raw Data'!$L840, 1),"X","")</f>
        <v/>
      </c>
      <c r="X839" s="19" t="str">
        <f>IF(BITWISE_AND('Raw Data'!M840, 1),"Bat Voltage", IF(BITWISE_AND('Raw Data'!M840, 2), "Charge Current", IF(BITWISE_AND('Raw Data'!M840, 4),"Input Ilim", IF(BITWISE_AND('Raw Data'!M840, 8), "Input UV", "none"))))</f>
        <v>none</v>
      </c>
    </row>
    <row r="840" spans="1:24" x14ac:dyDescent="0.2">
      <c r="A840" s="15">
        <f>A839+TIME(0,0,'Raw Data'!B840)</f>
        <v>0</v>
      </c>
      <c r="B840" s="4">
        <f>'Raw Data'!C841*0.025</f>
        <v>0</v>
      </c>
      <c r="C840" s="4">
        <f t="shared" si="39"/>
        <v>0</v>
      </c>
      <c r="D840" s="4">
        <f>'Raw Data'!D841*0.025</f>
        <v>0</v>
      </c>
      <c r="E840" s="4">
        <f t="shared" si="40"/>
        <v>0</v>
      </c>
      <c r="F840" s="4">
        <f>'Raw Data'!E841*0.001648</f>
        <v>0</v>
      </c>
      <c r="G840" s="4">
        <f>'Raw Data'!F841*0.001648</f>
        <v>0</v>
      </c>
      <c r="H840" s="4">
        <f>'Raw Data'!G841*6*0.000128176</f>
        <v>0</v>
      </c>
      <c r="I840" s="4">
        <f>'Raw Data'!H841*0.000732435</f>
        <v>0</v>
      </c>
      <c r="J840" s="4">
        <f t="shared" si="41"/>
        <v>0</v>
      </c>
      <c r="K840" s="36">
        <f>IF(('Raw Data'!I841-16384)/32768&lt;0,0,('Raw Data'!I841-16384)/32768)</f>
        <v>0</v>
      </c>
      <c r="L840" s="4">
        <f>IF(('Raw Data'!J841-12010)/45.6=-263.377192982456,0,('Raw Data'!J841-12010)/45.6)</f>
        <v>0</v>
      </c>
      <c r="M840" s="16">
        <f>'Raw Data'!N841*2^-8</f>
        <v>0</v>
      </c>
      <c r="N840" s="16">
        <f>'Raw Data'!O841*2^-8</f>
        <v>0</v>
      </c>
      <c r="O840" s="17" t="str">
        <f>IF(BITWISE_AND('Raw Data'!$K841, 8192),"X","")</f>
        <v/>
      </c>
      <c r="P840" s="17" t="str">
        <f>IF(BITWISE_AND('Raw Data'!$K841, 2048),"X","")</f>
        <v/>
      </c>
      <c r="Q840" s="17" t="str">
        <f>IF(BITWISE_AND('Raw Data'!$K841, 64),"X","")</f>
        <v/>
      </c>
      <c r="R840" s="18" t="str">
        <f>IF(BITWISE_AND('Raw Data'!$L841, 1024),"X","")</f>
        <v/>
      </c>
      <c r="S840" s="18" t="str">
        <f>IF(BITWISE_AND('Raw Data'!$L841, 512),"X","")</f>
        <v/>
      </c>
      <c r="T840" s="18" t="str">
        <f>IF(BITWISE_AND('Raw Data'!$L841, 256),"X","")</f>
        <v/>
      </c>
      <c r="U840" s="18" t="str">
        <f>IF(BITWISE_AND('Raw Data'!$L841, 64),"X","")</f>
        <v/>
      </c>
      <c r="V840" s="18" t="str">
        <f>IF(BITWISE_AND('Raw Data'!$L841, 2),"X","")</f>
        <v/>
      </c>
      <c r="W840" s="18" t="str">
        <f>IF(BITWISE_AND('Raw Data'!$L841, 1),"X","")</f>
        <v/>
      </c>
      <c r="X840" s="19" t="str">
        <f>IF(BITWISE_AND('Raw Data'!M841, 1),"Bat Voltage", IF(BITWISE_AND('Raw Data'!M841, 2), "Charge Current", IF(BITWISE_AND('Raw Data'!M841, 4),"Input Ilim", IF(BITWISE_AND('Raw Data'!M841, 8), "Input UV", "none"))))</f>
        <v>none</v>
      </c>
    </row>
    <row r="841" spans="1:24" x14ac:dyDescent="0.2">
      <c r="A841" s="15">
        <f>A840+TIME(0,0,'Raw Data'!B841)</f>
        <v>0</v>
      </c>
      <c r="B841" s="4">
        <f>'Raw Data'!C842*0.025</f>
        <v>0</v>
      </c>
      <c r="C841" s="4">
        <f t="shared" si="39"/>
        <v>0</v>
      </c>
      <c r="D841" s="4">
        <f>'Raw Data'!D842*0.025</f>
        <v>0</v>
      </c>
      <c r="E841" s="4">
        <f t="shared" si="40"/>
        <v>0</v>
      </c>
      <c r="F841" s="4">
        <f>'Raw Data'!E842*0.001648</f>
        <v>0</v>
      </c>
      <c r="G841" s="4">
        <f>'Raw Data'!F842*0.001648</f>
        <v>0</v>
      </c>
      <c r="H841" s="4">
        <f>'Raw Data'!G842*6*0.000128176</f>
        <v>0</v>
      </c>
      <c r="I841" s="4">
        <f>'Raw Data'!H842*0.000732435</f>
        <v>0</v>
      </c>
      <c r="J841" s="4">
        <f t="shared" si="41"/>
        <v>0</v>
      </c>
      <c r="K841" s="36">
        <f>IF(('Raw Data'!I842-16384)/32768&lt;0,0,('Raw Data'!I842-16384)/32768)</f>
        <v>0</v>
      </c>
      <c r="L841" s="4">
        <f>IF(('Raw Data'!J842-12010)/45.6=-263.377192982456,0,('Raw Data'!J842-12010)/45.6)</f>
        <v>0</v>
      </c>
      <c r="M841" s="16">
        <f>'Raw Data'!N842*2^-8</f>
        <v>0</v>
      </c>
      <c r="N841" s="16">
        <f>'Raw Data'!O842*2^-8</f>
        <v>0</v>
      </c>
      <c r="O841" s="17" t="str">
        <f>IF(BITWISE_AND('Raw Data'!$K842, 8192),"X","")</f>
        <v/>
      </c>
      <c r="P841" s="17" t="str">
        <f>IF(BITWISE_AND('Raw Data'!$K842, 2048),"X","")</f>
        <v/>
      </c>
      <c r="Q841" s="17" t="str">
        <f>IF(BITWISE_AND('Raw Data'!$K842, 64),"X","")</f>
        <v/>
      </c>
      <c r="R841" s="18" t="str">
        <f>IF(BITWISE_AND('Raw Data'!$L842, 1024),"X","")</f>
        <v/>
      </c>
      <c r="S841" s="18" t="str">
        <f>IF(BITWISE_AND('Raw Data'!$L842, 512),"X","")</f>
        <v/>
      </c>
      <c r="T841" s="18" t="str">
        <f>IF(BITWISE_AND('Raw Data'!$L842, 256),"X","")</f>
        <v/>
      </c>
      <c r="U841" s="18" t="str">
        <f>IF(BITWISE_AND('Raw Data'!$L842, 64),"X","")</f>
        <v/>
      </c>
      <c r="V841" s="18" t="str">
        <f>IF(BITWISE_AND('Raw Data'!$L842, 2),"X","")</f>
        <v/>
      </c>
      <c r="W841" s="18" t="str">
        <f>IF(BITWISE_AND('Raw Data'!$L842, 1),"X","")</f>
        <v/>
      </c>
      <c r="X841" s="19" t="str">
        <f>IF(BITWISE_AND('Raw Data'!M842, 1),"Bat Voltage", IF(BITWISE_AND('Raw Data'!M842, 2), "Charge Current", IF(BITWISE_AND('Raw Data'!M842, 4),"Input Ilim", IF(BITWISE_AND('Raw Data'!M842, 8), "Input UV", "none"))))</f>
        <v>none</v>
      </c>
    </row>
    <row r="842" spans="1:24" x14ac:dyDescent="0.2">
      <c r="A842" s="15">
        <f>A841+TIME(0,0,'Raw Data'!B842)</f>
        <v>0</v>
      </c>
      <c r="B842" s="4">
        <f>'Raw Data'!C843*0.025</f>
        <v>0</v>
      </c>
      <c r="C842" s="4">
        <f t="shared" si="39"/>
        <v>0</v>
      </c>
      <c r="D842" s="4">
        <f>'Raw Data'!D843*0.025</f>
        <v>0</v>
      </c>
      <c r="E842" s="4">
        <f t="shared" si="40"/>
        <v>0</v>
      </c>
      <c r="F842" s="4">
        <f>'Raw Data'!E843*0.001648</f>
        <v>0</v>
      </c>
      <c r="G842" s="4">
        <f>'Raw Data'!F843*0.001648</f>
        <v>0</v>
      </c>
      <c r="H842" s="4">
        <f>'Raw Data'!G843*6*0.000128176</f>
        <v>0</v>
      </c>
      <c r="I842" s="4">
        <f>'Raw Data'!H843*0.000732435</f>
        <v>0</v>
      </c>
      <c r="J842" s="4">
        <f t="shared" si="41"/>
        <v>0</v>
      </c>
      <c r="K842" s="36">
        <f>IF(('Raw Data'!I843-16384)/32768&lt;0,0,('Raw Data'!I843-16384)/32768)</f>
        <v>0</v>
      </c>
      <c r="L842" s="4">
        <f>IF(('Raw Data'!J843-12010)/45.6=-263.377192982456,0,('Raw Data'!J843-12010)/45.6)</f>
        <v>0</v>
      </c>
      <c r="M842" s="16">
        <f>'Raw Data'!N843*2^-8</f>
        <v>0</v>
      </c>
      <c r="N842" s="16">
        <f>'Raw Data'!O843*2^-8</f>
        <v>0</v>
      </c>
      <c r="O842" s="17" t="str">
        <f>IF(BITWISE_AND('Raw Data'!$K843, 8192),"X","")</f>
        <v/>
      </c>
      <c r="P842" s="17" t="str">
        <f>IF(BITWISE_AND('Raw Data'!$K843, 2048),"X","")</f>
        <v/>
      </c>
      <c r="Q842" s="17" t="str">
        <f>IF(BITWISE_AND('Raw Data'!$K843, 64),"X","")</f>
        <v/>
      </c>
      <c r="R842" s="18" t="str">
        <f>IF(BITWISE_AND('Raw Data'!$L843, 1024),"X","")</f>
        <v/>
      </c>
      <c r="S842" s="18" t="str">
        <f>IF(BITWISE_AND('Raw Data'!$L843, 512),"X","")</f>
        <v/>
      </c>
      <c r="T842" s="18" t="str">
        <f>IF(BITWISE_AND('Raw Data'!$L843, 256),"X","")</f>
        <v/>
      </c>
      <c r="U842" s="18" t="str">
        <f>IF(BITWISE_AND('Raw Data'!$L843, 64),"X","")</f>
        <v/>
      </c>
      <c r="V842" s="18" t="str">
        <f>IF(BITWISE_AND('Raw Data'!$L843, 2),"X","")</f>
        <v/>
      </c>
      <c r="W842" s="18" t="str">
        <f>IF(BITWISE_AND('Raw Data'!$L843, 1),"X","")</f>
        <v/>
      </c>
      <c r="X842" s="19" t="str">
        <f>IF(BITWISE_AND('Raw Data'!M843, 1),"Bat Voltage", IF(BITWISE_AND('Raw Data'!M843, 2), "Charge Current", IF(BITWISE_AND('Raw Data'!M843, 4),"Input Ilim", IF(BITWISE_AND('Raw Data'!M843, 8), "Input UV", "none"))))</f>
        <v>none</v>
      </c>
    </row>
    <row r="843" spans="1:24" x14ac:dyDescent="0.2">
      <c r="A843" s="15">
        <f>A842+TIME(0,0,'Raw Data'!B843)</f>
        <v>0</v>
      </c>
      <c r="B843" s="4">
        <f>'Raw Data'!C844*0.025</f>
        <v>0</v>
      </c>
      <c r="C843" s="4">
        <f t="shared" si="39"/>
        <v>0</v>
      </c>
      <c r="D843" s="4">
        <f>'Raw Data'!D844*0.025</f>
        <v>0</v>
      </c>
      <c r="E843" s="4">
        <f t="shared" si="40"/>
        <v>0</v>
      </c>
      <c r="F843" s="4">
        <f>'Raw Data'!E844*0.001648</f>
        <v>0</v>
      </c>
      <c r="G843" s="4">
        <f>'Raw Data'!F844*0.001648</f>
        <v>0</v>
      </c>
      <c r="H843" s="4">
        <f>'Raw Data'!G844*6*0.000128176</f>
        <v>0</v>
      </c>
      <c r="I843" s="4">
        <f>'Raw Data'!H844*0.000732435</f>
        <v>0</v>
      </c>
      <c r="J843" s="4">
        <f t="shared" si="41"/>
        <v>0</v>
      </c>
      <c r="K843" s="36">
        <f>IF(('Raw Data'!I844-16384)/32768&lt;0,0,('Raw Data'!I844-16384)/32768)</f>
        <v>0</v>
      </c>
      <c r="L843" s="4">
        <f>IF(('Raw Data'!J844-12010)/45.6=-263.377192982456,0,('Raw Data'!J844-12010)/45.6)</f>
        <v>0</v>
      </c>
      <c r="M843" s="16">
        <f>'Raw Data'!N844*2^-8</f>
        <v>0</v>
      </c>
      <c r="N843" s="16">
        <f>'Raw Data'!O844*2^-8</f>
        <v>0</v>
      </c>
      <c r="O843" s="17" t="str">
        <f>IF(BITWISE_AND('Raw Data'!$K844, 8192),"X","")</f>
        <v/>
      </c>
      <c r="P843" s="17" t="str">
        <f>IF(BITWISE_AND('Raw Data'!$K844, 2048),"X","")</f>
        <v/>
      </c>
      <c r="Q843" s="17" t="str">
        <f>IF(BITWISE_AND('Raw Data'!$K844, 64),"X","")</f>
        <v/>
      </c>
      <c r="R843" s="18" t="str">
        <f>IF(BITWISE_AND('Raw Data'!$L844, 1024),"X","")</f>
        <v/>
      </c>
      <c r="S843" s="18" t="str">
        <f>IF(BITWISE_AND('Raw Data'!$L844, 512),"X","")</f>
        <v/>
      </c>
      <c r="T843" s="18" t="str">
        <f>IF(BITWISE_AND('Raw Data'!$L844, 256),"X","")</f>
        <v/>
      </c>
      <c r="U843" s="18" t="str">
        <f>IF(BITWISE_AND('Raw Data'!$L844, 64),"X","")</f>
        <v/>
      </c>
      <c r="V843" s="18" t="str">
        <f>IF(BITWISE_AND('Raw Data'!$L844, 2),"X","")</f>
        <v/>
      </c>
      <c r="W843" s="18" t="str">
        <f>IF(BITWISE_AND('Raw Data'!$L844, 1),"X","")</f>
        <v/>
      </c>
      <c r="X843" s="19" t="str">
        <f>IF(BITWISE_AND('Raw Data'!M844, 1),"Bat Voltage", IF(BITWISE_AND('Raw Data'!M844, 2), "Charge Current", IF(BITWISE_AND('Raw Data'!M844, 4),"Input Ilim", IF(BITWISE_AND('Raw Data'!M844, 8), "Input UV", "none"))))</f>
        <v>none</v>
      </c>
    </row>
    <row r="844" spans="1:24" x14ac:dyDescent="0.2">
      <c r="A844" s="15">
        <f>A843+TIME(0,0,'Raw Data'!B844)</f>
        <v>0</v>
      </c>
      <c r="B844" s="4">
        <f>'Raw Data'!C845*0.025</f>
        <v>0</v>
      </c>
      <c r="C844" s="4">
        <f t="shared" si="39"/>
        <v>0</v>
      </c>
      <c r="D844" s="4">
        <f>'Raw Data'!D845*0.025</f>
        <v>0</v>
      </c>
      <c r="E844" s="4">
        <f t="shared" si="40"/>
        <v>0</v>
      </c>
      <c r="F844" s="4">
        <f>'Raw Data'!E845*0.001648</f>
        <v>0</v>
      </c>
      <c r="G844" s="4">
        <f>'Raw Data'!F845*0.001648</f>
        <v>0</v>
      </c>
      <c r="H844" s="4">
        <f>'Raw Data'!G845*6*0.000128176</f>
        <v>0</v>
      </c>
      <c r="I844" s="4">
        <f>'Raw Data'!H845*0.000732435</f>
        <v>0</v>
      </c>
      <c r="J844" s="4">
        <f t="shared" si="41"/>
        <v>0</v>
      </c>
      <c r="K844" s="36">
        <f>IF(('Raw Data'!I845-16384)/32768&lt;0,0,('Raw Data'!I845-16384)/32768)</f>
        <v>0</v>
      </c>
      <c r="L844" s="4">
        <f>IF(('Raw Data'!J845-12010)/45.6=-263.377192982456,0,('Raw Data'!J845-12010)/45.6)</f>
        <v>0</v>
      </c>
      <c r="M844" s="16">
        <f>'Raw Data'!N845*2^-8</f>
        <v>0</v>
      </c>
      <c r="N844" s="16">
        <f>'Raw Data'!O845*2^-8</f>
        <v>0</v>
      </c>
      <c r="O844" s="17" t="str">
        <f>IF(BITWISE_AND('Raw Data'!$K845, 8192),"X","")</f>
        <v/>
      </c>
      <c r="P844" s="17" t="str">
        <f>IF(BITWISE_AND('Raw Data'!$K845, 2048),"X","")</f>
        <v/>
      </c>
      <c r="Q844" s="17" t="str">
        <f>IF(BITWISE_AND('Raw Data'!$K845, 64),"X","")</f>
        <v/>
      </c>
      <c r="R844" s="18" t="str">
        <f>IF(BITWISE_AND('Raw Data'!$L845, 1024),"X","")</f>
        <v/>
      </c>
      <c r="S844" s="18" t="str">
        <f>IF(BITWISE_AND('Raw Data'!$L845, 512),"X","")</f>
        <v/>
      </c>
      <c r="T844" s="18" t="str">
        <f>IF(BITWISE_AND('Raw Data'!$L845, 256),"X","")</f>
        <v/>
      </c>
      <c r="U844" s="18" t="str">
        <f>IF(BITWISE_AND('Raw Data'!$L845, 64),"X","")</f>
        <v/>
      </c>
      <c r="V844" s="18" t="str">
        <f>IF(BITWISE_AND('Raw Data'!$L845, 2),"X","")</f>
        <v/>
      </c>
      <c r="W844" s="18" t="str">
        <f>IF(BITWISE_AND('Raw Data'!$L845, 1),"X","")</f>
        <v/>
      </c>
      <c r="X844" s="19" t="str">
        <f>IF(BITWISE_AND('Raw Data'!M845, 1),"Bat Voltage", IF(BITWISE_AND('Raw Data'!M845, 2), "Charge Current", IF(BITWISE_AND('Raw Data'!M845, 4),"Input Ilim", IF(BITWISE_AND('Raw Data'!M845, 8), "Input UV", "none"))))</f>
        <v>none</v>
      </c>
    </row>
    <row r="845" spans="1:24" x14ac:dyDescent="0.2">
      <c r="A845" s="15">
        <f>A844+TIME(0,0,'Raw Data'!B845)</f>
        <v>0</v>
      </c>
      <c r="B845" s="4">
        <f>'Raw Data'!C846*0.025</f>
        <v>0</v>
      </c>
      <c r="C845" s="4">
        <f t="shared" si="39"/>
        <v>0</v>
      </c>
      <c r="D845" s="4">
        <f>'Raw Data'!D846*0.025</f>
        <v>0</v>
      </c>
      <c r="E845" s="4">
        <f t="shared" si="40"/>
        <v>0</v>
      </c>
      <c r="F845" s="4">
        <f>'Raw Data'!E846*0.001648</f>
        <v>0</v>
      </c>
      <c r="G845" s="4">
        <f>'Raw Data'!F846*0.001648</f>
        <v>0</v>
      </c>
      <c r="H845" s="4">
        <f>'Raw Data'!G846*6*0.000128176</f>
        <v>0</v>
      </c>
      <c r="I845" s="4">
        <f>'Raw Data'!H846*0.000732435</f>
        <v>0</v>
      </c>
      <c r="J845" s="4">
        <f t="shared" si="41"/>
        <v>0</v>
      </c>
      <c r="K845" s="36">
        <f>IF(('Raw Data'!I846-16384)/32768&lt;0,0,('Raw Data'!I846-16384)/32768)</f>
        <v>0</v>
      </c>
      <c r="L845" s="4">
        <f>IF(('Raw Data'!J846-12010)/45.6=-263.377192982456,0,('Raw Data'!J846-12010)/45.6)</f>
        <v>0</v>
      </c>
      <c r="M845" s="16">
        <f>'Raw Data'!N846*2^-8</f>
        <v>0</v>
      </c>
      <c r="N845" s="16">
        <f>'Raw Data'!O846*2^-8</f>
        <v>0</v>
      </c>
      <c r="O845" s="17" t="str">
        <f>IF(BITWISE_AND('Raw Data'!$K846, 8192),"X","")</f>
        <v/>
      </c>
      <c r="P845" s="17" t="str">
        <f>IF(BITWISE_AND('Raw Data'!$K846, 2048),"X","")</f>
        <v/>
      </c>
      <c r="Q845" s="17" t="str">
        <f>IF(BITWISE_AND('Raw Data'!$K846, 64),"X","")</f>
        <v/>
      </c>
      <c r="R845" s="18" t="str">
        <f>IF(BITWISE_AND('Raw Data'!$L846, 1024),"X","")</f>
        <v/>
      </c>
      <c r="S845" s="18" t="str">
        <f>IF(BITWISE_AND('Raw Data'!$L846, 512),"X","")</f>
        <v/>
      </c>
      <c r="T845" s="18" t="str">
        <f>IF(BITWISE_AND('Raw Data'!$L846, 256),"X","")</f>
        <v/>
      </c>
      <c r="U845" s="18" t="str">
        <f>IF(BITWISE_AND('Raw Data'!$L846, 64),"X","")</f>
        <v/>
      </c>
      <c r="V845" s="18" t="str">
        <f>IF(BITWISE_AND('Raw Data'!$L846, 2),"X","")</f>
        <v/>
      </c>
      <c r="W845" s="18" t="str">
        <f>IF(BITWISE_AND('Raw Data'!$L846, 1),"X","")</f>
        <v/>
      </c>
      <c r="X845" s="19" t="str">
        <f>IF(BITWISE_AND('Raw Data'!M846, 1),"Bat Voltage", IF(BITWISE_AND('Raw Data'!M846, 2), "Charge Current", IF(BITWISE_AND('Raw Data'!M846, 4),"Input Ilim", IF(BITWISE_AND('Raw Data'!M846, 8), "Input UV", "none"))))</f>
        <v>none</v>
      </c>
    </row>
    <row r="846" spans="1:24" x14ac:dyDescent="0.2">
      <c r="A846" s="15">
        <f>A845+TIME(0,0,'Raw Data'!B846)</f>
        <v>0</v>
      </c>
      <c r="B846" s="4">
        <f>'Raw Data'!C847*0.025</f>
        <v>0</v>
      </c>
      <c r="C846" s="4">
        <f t="shared" si="39"/>
        <v>0</v>
      </c>
      <c r="D846" s="4">
        <f>'Raw Data'!D847*0.025</f>
        <v>0</v>
      </c>
      <c r="E846" s="4">
        <f t="shared" si="40"/>
        <v>0</v>
      </c>
      <c r="F846" s="4">
        <f>'Raw Data'!E847*0.001648</f>
        <v>0</v>
      </c>
      <c r="G846" s="4">
        <f>'Raw Data'!F847*0.001648</f>
        <v>0</v>
      </c>
      <c r="H846" s="4">
        <f>'Raw Data'!G847*6*0.000128176</f>
        <v>0</v>
      </c>
      <c r="I846" s="4">
        <f>'Raw Data'!H847*0.000732435</f>
        <v>0</v>
      </c>
      <c r="J846" s="4">
        <f t="shared" si="41"/>
        <v>0</v>
      </c>
      <c r="K846" s="36">
        <f>IF(('Raw Data'!I847-16384)/32768&lt;0,0,('Raw Data'!I847-16384)/32768)</f>
        <v>0</v>
      </c>
      <c r="L846" s="4">
        <f>IF(('Raw Data'!J847-12010)/45.6=-263.377192982456,0,('Raw Data'!J847-12010)/45.6)</f>
        <v>0</v>
      </c>
      <c r="M846" s="16">
        <f>'Raw Data'!N847*2^-8</f>
        <v>0</v>
      </c>
      <c r="N846" s="16">
        <f>'Raw Data'!O847*2^-8</f>
        <v>0</v>
      </c>
      <c r="O846" s="17" t="str">
        <f>IF(BITWISE_AND('Raw Data'!$K847, 8192),"X","")</f>
        <v/>
      </c>
      <c r="P846" s="17" t="str">
        <f>IF(BITWISE_AND('Raw Data'!$K847, 2048),"X","")</f>
        <v/>
      </c>
      <c r="Q846" s="17" t="str">
        <f>IF(BITWISE_AND('Raw Data'!$K847, 64),"X","")</f>
        <v/>
      </c>
      <c r="R846" s="18" t="str">
        <f>IF(BITWISE_AND('Raw Data'!$L847, 1024),"X","")</f>
        <v/>
      </c>
      <c r="S846" s="18" t="str">
        <f>IF(BITWISE_AND('Raw Data'!$L847, 512),"X","")</f>
        <v/>
      </c>
      <c r="T846" s="18" t="str">
        <f>IF(BITWISE_AND('Raw Data'!$L847, 256),"X","")</f>
        <v/>
      </c>
      <c r="U846" s="18" t="str">
        <f>IF(BITWISE_AND('Raw Data'!$L847, 64),"X","")</f>
        <v/>
      </c>
      <c r="V846" s="18" t="str">
        <f>IF(BITWISE_AND('Raw Data'!$L847, 2),"X","")</f>
        <v/>
      </c>
      <c r="W846" s="18" t="str">
        <f>IF(BITWISE_AND('Raw Data'!$L847, 1),"X","")</f>
        <v/>
      </c>
      <c r="X846" s="19" t="str">
        <f>IF(BITWISE_AND('Raw Data'!M847, 1),"Bat Voltage", IF(BITWISE_AND('Raw Data'!M847, 2), "Charge Current", IF(BITWISE_AND('Raw Data'!M847, 4),"Input Ilim", IF(BITWISE_AND('Raw Data'!M847, 8), "Input UV", "none"))))</f>
        <v>none</v>
      </c>
    </row>
    <row r="847" spans="1:24" x14ac:dyDescent="0.2">
      <c r="A847" s="15">
        <f>A846+TIME(0,0,'Raw Data'!B847)</f>
        <v>0</v>
      </c>
      <c r="B847" s="4">
        <f>'Raw Data'!C848*0.025</f>
        <v>0</v>
      </c>
      <c r="C847" s="4">
        <f t="shared" si="39"/>
        <v>0</v>
      </c>
      <c r="D847" s="4">
        <f>'Raw Data'!D848*0.025</f>
        <v>0</v>
      </c>
      <c r="E847" s="4">
        <f t="shared" si="40"/>
        <v>0</v>
      </c>
      <c r="F847" s="4">
        <f>'Raw Data'!E848*0.001648</f>
        <v>0</v>
      </c>
      <c r="G847" s="4">
        <f>'Raw Data'!F848*0.001648</f>
        <v>0</v>
      </c>
      <c r="H847" s="4">
        <f>'Raw Data'!G848*6*0.000128176</f>
        <v>0</v>
      </c>
      <c r="I847" s="4">
        <f>'Raw Data'!H848*0.000732435</f>
        <v>0</v>
      </c>
      <c r="J847" s="4">
        <f t="shared" si="41"/>
        <v>0</v>
      </c>
      <c r="K847" s="36">
        <f>IF(('Raw Data'!I848-16384)/32768&lt;0,0,('Raw Data'!I848-16384)/32768)</f>
        <v>0</v>
      </c>
      <c r="L847" s="4">
        <f>IF(('Raw Data'!J848-12010)/45.6=-263.377192982456,0,('Raw Data'!J848-12010)/45.6)</f>
        <v>0</v>
      </c>
      <c r="M847" s="16">
        <f>'Raw Data'!N848*2^-8</f>
        <v>0</v>
      </c>
      <c r="N847" s="16">
        <f>'Raw Data'!O848*2^-8</f>
        <v>0</v>
      </c>
      <c r="O847" s="17" t="str">
        <f>IF(BITWISE_AND('Raw Data'!$K848, 8192),"X","")</f>
        <v/>
      </c>
      <c r="P847" s="17" t="str">
        <f>IF(BITWISE_AND('Raw Data'!$K848, 2048),"X","")</f>
        <v/>
      </c>
      <c r="Q847" s="17" t="str">
        <f>IF(BITWISE_AND('Raw Data'!$K848, 64),"X","")</f>
        <v/>
      </c>
      <c r="R847" s="18" t="str">
        <f>IF(BITWISE_AND('Raw Data'!$L848, 1024),"X","")</f>
        <v/>
      </c>
      <c r="S847" s="18" t="str">
        <f>IF(BITWISE_AND('Raw Data'!$L848, 512),"X","")</f>
        <v/>
      </c>
      <c r="T847" s="18" t="str">
        <f>IF(BITWISE_AND('Raw Data'!$L848, 256),"X","")</f>
        <v/>
      </c>
      <c r="U847" s="18" t="str">
        <f>IF(BITWISE_AND('Raw Data'!$L848, 64),"X","")</f>
        <v/>
      </c>
      <c r="V847" s="18" t="str">
        <f>IF(BITWISE_AND('Raw Data'!$L848, 2),"X","")</f>
        <v/>
      </c>
      <c r="W847" s="18" t="str">
        <f>IF(BITWISE_AND('Raw Data'!$L848, 1),"X","")</f>
        <v/>
      </c>
      <c r="X847" s="19" t="str">
        <f>IF(BITWISE_AND('Raw Data'!M848, 1),"Bat Voltage", IF(BITWISE_AND('Raw Data'!M848, 2), "Charge Current", IF(BITWISE_AND('Raw Data'!M848, 4),"Input Ilim", IF(BITWISE_AND('Raw Data'!M848, 8), "Input UV", "none"))))</f>
        <v>none</v>
      </c>
    </row>
    <row r="848" spans="1:24" x14ac:dyDescent="0.2">
      <c r="A848" s="15">
        <f>A847+TIME(0,0,'Raw Data'!B848)</f>
        <v>0</v>
      </c>
      <c r="B848" s="4">
        <f>'Raw Data'!C849*0.025</f>
        <v>0</v>
      </c>
      <c r="C848" s="4">
        <f t="shared" si="39"/>
        <v>0</v>
      </c>
      <c r="D848" s="4">
        <f>'Raw Data'!D849*0.025</f>
        <v>0</v>
      </c>
      <c r="E848" s="4">
        <f t="shared" si="40"/>
        <v>0</v>
      </c>
      <c r="F848" s="4">
        <f>'Raw Data'!E849*0.001648</f>
        <v>0</v>
      </c>
      <c r="G848" s="4">
        <f>'Raw Data'!F849*0.001648</f>
        <v>0</v>
      </c>
      <c r="H848" s="4">
        <f>'Raw Data'!G849*6*0.000128176</f>
        <v>0</v>
      </c>
      <c r="I848" s="4">
        <f>'Raw Data'!H849*0.000732435</f>
        <v>0</v>
      </c>
      <c r="J848" s="4">
        <f t="shared" si="41"/>
        <v>0</v>
      </c>
      <c r="K848" s="36">
        <f>IF(('Raw Data'!I849-16384)/32768&lt;0,0,('Raw Data'!I849-16384)/32768)</f>
        <v>0</v>
      </c>
      <c r="L848" s="4">
        <f>IF(('Raw Data'!J849-12010)/45.6=-263.377192982456,0,('Raw Data'!J849-12010)/45.6)</f>
        <v>0</v>
      </c>
      <c r="M848" s="16">
        <f>'Raw Data'!N849*2^-8</f>
        <v>0</v>
      </c>
      <c r="N848" s="16">
        <f>'Raw Data'!O849*2^-8</f>
        <v>0</v>
      </c>
      <c r="O848" s="17" t="str">
        <f>IF(BITWISE_AND('Raw Data'!$K849, 8192),"X","")</f>
        <v/>
      </c>
      <c r="P848" s="17" t="str">
        <f>IF(BITWISE_AND('Raw Data'!$K849, 2048),"X","")</f>
        <v/>
      </c>
      <c r="Q848" s="17" t="str">
        <f>IF(BITWISE_AND('Raw Data'!$K849, 64),"X","")</f>
        <v/>
      </c>
      <c r="R848" s="18" t="str">
        <f>IF(BITWISE_AND('Raw Data'!$L849, 1024),"X","")</f>
        <v/>
      </c>
      <c r="S848" s="18" t="str">
        <f>IF(BITWISE_AND('Raw Data'!$L849, 512),"X","")</f>
        <v/>
      </c>
      <c r="T848" s="18" t="str">
        <f>IF(BITWISE_AND('Raw Data'!$L849, 256),"X","")</f>
        <v/>
      </c>
      <c r="U848" s="18" t="str">
        <f>IF(BITWISE_AND('Raw Data'!$L849, 64),"X","")</f>
        <v/>
      </c>
      <c r="V848" s="18" t="str">
        <f>IF(BITWISE_AND('Raw Data'!$L849, 2),"X","")</f>
        <v/>
      </c>
      <c r="W848" s="18" t="str">
        <f>IF(BITWISE_AND('Raw Data'!$L849, 1),"X","")</f>
        <v/>
      </c>
      <c r="X848" s="19" t="str">
        <f>IF(BITWISE_AND('Raw Data'!M849, 1),"Bat Voltage", IF(BITWISE_AND('Raw Data'!M849, 2), "Charge Current", IF(BITWISE_AND('Raw Data'!M849, 4),"Input Ilim", IF(BITWISE_AND('Raw Data'!M849, 8), "Input UV", "none"))))</f>
        <v>none</v>
      </c>
    </row>
    <row r="849" spans="1:24" x14ac:dyDescent="0.2">
      <c r="A849" s="15">
        <f>A848+TIME(0,0,'Raw Data'!B849)</f>
        <v>0</v>
      </c>
      <c r="B849" s="4">
        <f>'Raw Data'!C850*0.025</f>
        <v>0</v>
      </c>
      <c r="C849" s="4">
        <f t="shared" si="39"/>
        <v>0</v>
      </c>
      <c r="D849" s="4">
        <f>'Raw Data'!D850*0.025</f>
        <v>0</v>
      </c>
      <c r="E849" s="4">
        <f t="shared" si="40"/>
        <v>0</v>
      </c>
      <c r="F849" s="4">
        <f>'Raw Data'!E850*0.001648</f>
        <v>0</v>
      </c>
      <c r="G849" s="4">
        <f>'Raw Data'!F850*0.001648</f>
        <v>0</v>
      </c>
      <c r="H849" s="4">
        <f>'Raw Data'!G850*6*0.000128176</f>
        <v>0</v>
      </c>
      <c r="I849" s="4">
        <f>'Raw Data'!H850*0.000732435</f>
        <v>0</v>
      </c>
      <c r="J849" s="4">
        <f t="shared" si="41"/>
        <v>0</v>
      </c>
      <c r="K849" s="36">
        <f>IF(('Raw Data'!I850-16384)/32768&lt;0,0,('Raw Data'!I850-16384)/32768)</f>
        <v>0</v>
      </c>
      <c r="L849" s="4">
        <f>IF(('Raw Data'!J850-12010)/45.6=-263.377192982456,0,('Raw Data'!J850-12010)/45.6)</f>
        <v>0</v>
      </c>
      <c r="M849" s="16">
        <f>'Raw Data'!N850*2^-8</f>
        <v>0</v>
      </c>
      <c r="N849" s="16">
        <f>'Raw Data'!O850*2^-8</f>
        <v>0</v>
      </c>
      <c r="O849" s="17" t="str">
        <f>IF(BITWISE_AND('Raw Data'!$K850, 8192),"X","")</f>
        <v/>
      </c>
      <c r="P849" s="17" t="str">
        <f>IF(BITWISE_AND('Raw Data'!$K850, 2048),"X","")</f>
        <v/>
      </c>
      <c r="Q849" s="17" t="str">
        <f>IF(BITWISE_AND('Raw Data'!$K850, 64),"X","")</f>
        <v/>
      </c>
      <c r="R849" s="18" t="str">
        <f>IF(BITWISE_AND('Raw Data'!$L850, 1024),"X","")</f>
        <v/>
      </c>
      <c r="S849" s="18" t="str">
        <f>IF(BITWISE_AND('Raw Data'!$L850, 512),"X","")</f>
        <v/>
      </c>
      <c r="T849" s="18" t="str">
        <f>IF(BITWISE_AND('Raw Data'!$L850, 256),"X","")</f>
        <v/>
      </c>
      <c r="U849" s="18" t="str">
        <f>IF(BITWISE_AND('Raw Data'!$L850, 64),"X","")</f>
        <v/>
      </c>
      <c r="V849" s="18" t="str">
        <f>IF(BITWISE_AND('Raw Data'!$L850, 2),"X","")</f>
        <v/>
      </c>
      <c r="W849" s="18" t="str">
        <f>IF(BITWISE_AND('Raw Data'!$L850, 1),"X","")</f>
        <v/>
      </c>
      <c r="X849" s="19" t="str">
        <f>IF(BITWISE_AND('Raw Data'!M850, 1),"Bat Voltage", IF(BITWISE_AND('Raw Data'!M850, 2), "Charge Current", IF(BITWISE_AND('Raw Data'!M850, 4),"Input Ilim", IF(BITWISE_AND('Raw Data'!M850, 8), "Input UV", "none"))))</f>
        <v>none</v>
      </c>
    </row>
    <row r="850" spans="1:24" x14ac:dyDescent="0.2">
      <c r="A850" s="15">
        <f>A849+TIME(0,0,'Raw Data'!B850)</f>
        <v>0</v>
      </c>
      <c r="B850" s="4">
        <f>'Raw Data'!C851*0.025</f>
        <v>0</v>
      </c>
      <c r="C850" s="4">
        <f t="shared" si="39"/>
        <v>0</v>
      </c>
      <c r="D850" s="4">
        <f>'Raw Data'!D851*0.025</f>
        <v>0</v>
      </c>
      <c r="E850" s="4">
        <f t="shared" si="40"/>
        <v>0</v>
      </c>
      <c r="F850" s="4">
        <f>'Raw Data'!E851*0.001648</f>
        <v>0</v>
      </c>
      <c r="G850" s="4">
        <f>'Raw Data'!F851*0.001648</f>
        <v>0</v>
      </c>
      <c r="H850" s="4">
        <f>'Raw Data'!G851*6*0.000128176</f>
        <v>0</v>
      </c>
      <c r="I850" s="4">
        <f>'Raw Data'!H851*0.000732435</f>
        <v>0</v>
      </c>
      <c r="J850" s="4">
        <f t="shared" si="41"/>
        <v>0</v>
      </c>
      <c r="K850" s="36">
        <f>IF(('Raw Data'!I851-16384)/32768&lt;0,0,('Raw Data'!I851-16384)/32768)</f>
        <v>0</v>
      </c>
      <c r="L850" s="4">
        <f>IF(('Raw Data'!J851-12010)/45.6=-263.377192982456,0,('Raw Data'!J851-12010)/45.6)</f>
        <v>0</v>
      </c>
      <c r="M850" s="16">
        <f>'Raw Data'!N851*2^-8</f>
        <v>0</v>
      </c>
      <c r="N850" s="16">
        <f>'Raw Data'!O851*2^-8</f>
        <v>0</v>
      </c>
      <c r="O850" s="17" t="str">
        <f>IF(BITWISE_AND('Raw Data'!$K851, 8192),"X","")</f>
        <v/>
      </c>
      <c r="P850" s="17" t="str">
        <f>IF(BITWISE_AND('Raw Data'!$K851, 2048),"X","")</f>
        <v/>
      </c>
      <c r="Q850" s="17" t="str">
        <f>IF(BITWISE_AND('Raw Data'!$K851, 64),"X","")</f>
        <v/>
      </c>
      <c r="R850" s="18" t="str">
        <f>IF(BITWISE_AND('Raw Data'!$L851, 1024),"X","")</f>
        <v/>
      </c>
      <c r="S850" s="18" t="str">
        <f>IF(BITWISE_AND('Raw Data'!$L851, 512),"X","")</f>
        <v/>
      </c>
      <c r="T850" s="18" t="str">
        <f>IF(BITWISE_AND('Raw Data'!$L851, 256),"X","")</f>
        <v/>
      </c>
      <c r="U850" s="18" t="str">
        <f>IF(BITWISE_AND('Raw Data'!$L851, 64),"X","")</f>
        <v/>
      </c>
      <c r="V850" s="18" t="str">
        <f>IF(BITWISE_AND('Raw Data'!$L851, 2),"X","")</f>
        <v/>
      </c>
      <c r="W850" s="18" t="str">
        <f>IF(BITWISE_AND('Raw Data'!$L851, 1),"X","")</f>
        <v/>
      </c>
      <c r="X850" s="19" t="str">
        <f>IF(BITWISE_AND('Raw Data'!M851, 1),"Bat Voltage", IF(BITWISE_AND('Raw Data'!M851, 2), "Charge Current", IF(BITWISE_AND('Raw Data'!M851, 4),"Input Ilim", IF(BITWISE_AND('Raw Data'!M851, 8), "Input UV", "none"))))</f>
        <v>none</v>
      </c>
    </row>
    <row r="851" spans="1:24" x14ac:dyDescent="0.2">
      <c r="A851" s="15">
        <f>A850+TIME(0,0,'Raw Data'!B851)</f>
        <v>0</v>
      </c>
      <c r="B851" s="4">
        <f>'Raw Data'!C852*0.025</f>
        <v>0</v>
      </c>
      <c r="C851" s="4">
        <f t="shared" si="39"/>
        <v>0</v>
      </c>
      <c r="D851" s="4">
        <f>'Raw Data'!D852*0.025</f>
        <v>0</v>
      </c>
      <c r="E851" s="4">
        <f t="shared" si="40"/>
        <v>0</v>
      </c>
      <c r="F851" s="4">
        <f>'Raw Data'!E852*0.001648</f>
        <v>0</v>
      </c>
      <c r="G851" s="4">
        <f>'Raw Data'!F852*0.001648</f>
        <v>0</v>
      </c>
      <c r="H851" s="4">
        <f>'Raw Data'!G852*6*0.000128176</f>
        <v>0</v>
      </c>
      <c r="I851" s="4">
        <f>'Raw Data'!H852*0.000732435</f>
        <v>0</v>
      </c>
      <c r="J851" s="4">
        <f t="shared" si="41"/>
        <v>0</v>
      </c>
      <c r="K851" s="36">
        <f>IF(('Raw Data'!I852-16384)/32768&lt;0,0,('Raw Data'!I852-16384)/32768)</f>
        <v>0</v>
      </c>
      <c r="L851" s="4">
        <f>IF(('Raw Data'!J852-12010)/45.6=-263.377192982456,0,('Raw Data'!J852-12010)/45.6)</f>
        <v>0</v>
      </c>
      <c r="M851" s="16">
        <f>'Raw Data'!N852*2^-8</f>
        <v>0</v>
      </c>
      <c r="N851" s="16">
        <f>'Raw Data'!O852*2^-8</f>
        <v>0</v>
      </c>
      <c r="O851" s="17" t="str">
        <f>IF(BITWISE_AND('Raw Data'!$K852, 8192),"X","")</f>
        <v/>
      </c>
      <c r="P851" s="17" t="str">
        <f>IF(BITWISE_AND('Raw Data'!$K852, 2048),"X","")</f>
        <v/>
      </c>
      <c r="Q851" s="17" t="str">
        <f>IF(BITWISE_AND('Raw Data'!$K852, 64),"X","")</f>
        <v/>
      </c>
      <c r="R851" s="18" t="str">
        <f>IF(BITWISE_AND('Raw Data'!$L852, 1024),"X","")</f>
        <v/>
      </c>
      <c r="S851" s="18" t="str">
        <f>IF(BITWISE_AND('Raw Data'!$L852, 512),"X","")</f>
        <v/>
      </c>
      <c r="T851" s="18" t="str">
        <f>IF(BITWISE_AND('Raw Data'!$L852, 256),"X","")</f>
        <v/>
      </c>
      <c r="U851" s="18" t="str">
        <f>IF(BITWISE_AND('Raw Data'!$L852, 64),"X","")</f>
        <v/>
      </c>
      <c r="V851" s="18" t="str">
        <f>IF(BITWISE_AND('Raw Data'!$L852, 2),"X","")</f>
        <v/>
      </c>
      <c r="W851" s="18" t="str">
        <f>IF(BITWISE_AND('Raw Data'!$L852, 1),"X","")</f>
        <v/>
      </c>
      <c r="X851" s="19" t="str">
        <f>IF(BITWISE_AND('Raw Data'!M852, 1),"Bat Voltage", IF(BITWISE_AND('Raw Data'!M852, 2), "Charge Current", IF(BITWISE_AND('Raw Data'!M852, 4),"Input Ilim", IF(BITWISE_AND('Raw Data'!M852, 8), "Input UV", "none"))))</f>
        <v>none</v>
      </c>
    </row>
    <row r="852" spans="1:24" x14ac:dyDescent="0.2">
      <c r="A852" s="15">
        <f>A851+TIME(0,0,'Raw Data'!B852)</f>
        <v>0</v>
      </c>
      <c r="B852" s="4">
        <f>'Raw Data'!C853*0.025</f>
        <v>0</v>
      </c>
      <c r="C852" s="4">
        <f t="shared" si="39"/>
        <v>0</v>
      </c>
      <c r="D852" s="4">
        <f>'Raw Data'!D853*0.025</f>
        <v>0</v>
      </c>
      <c r="E852" s="4">
        <f t="shared" si="40"/>
        <v>0</v>
      </c>
      <c r="F852" s="4">
        <f>'Raw Data'!E853*0.001648</f>
        <v>0</v>
      </c>
      <c r="G852" s="4">
        <f>'Raw Data'!F853*0.001648</f>
        <v>0</v>
      </c>
      <c r="H852" s="4">
        <f>'Raw Data'!G853*6*0.000128176</f>
        <v>0</v>
      </c>
      <c r="I852" s="4">
        <f>'Raw Data'!H853*0.000732435</f>
        <v>0</v>
      </c>
      <c r="J852" s="4">
        <f t="shared" si="41"/>
        <v>0</v>
      </c>
      <c r="K852" s="36">
        <f>IF(('Raw Data'!I853-16384)/32768&lt;0,0,('Raw Data'!I853-16384)/32768)</f>
        <v>0</v>
      </c>
      <c r="L852" s="4">
        <f>IF(('Raw Data'!J853-12010)/45.6=-263.377192982456,0,('Raw Data'!J853-12010)/45.6)</f>
        <v>0</v>
      </c>
      <c r="M852" s="16">
        <f>'Raw Data'!N853*2^-8</f>
        <v>0</v>
      </c>
      <c r="N852" s="16">
        <f>'Raw Data'!O853*2^-8</f>
        <v>0</v>
      </c>
      <c r="O852" s="17" t="str">
        <f>IF(BITWISE_AND('Raw Data'!$K853, 8192),"X","")</f>
        <v/>
      </c>
      <c r="P852" s="17" t="str">
        <f>IF(BITWISE_AND('Raw Data'!$K853, 2048),"X","")</f>
        <v/>
      </c>
      <c r="Q852" s="17" t="str">
        <f>IF(BITWISE_AND('Raw Data'!$K853, 64),"X","")</f>
        <v/>
      </c>
      <c r="R852" s="18" t="str">
        <f>IF(BITWISE_AND('Raw Data'!$L853, 1024),"X","")</f>
        <v/>
      </c>
      <c r="S852" s="18" t="str">
        <f>IF(BITWISE_AND('Raw Data'!$L853, 512),"X","")</f>
        <v/>
      </c>
      <c r="T852" s="18" t="str">
        <f>IF(BITWISE_AND('Raw Data'!$L853, 256),"X","")</f>
        <v/>
      </c>
      <c r="U852" s="18" t="str">
        <f>IF(BITWISE_AND('Raw Data'!$L853, 64),"X","")</f>
        <v/>
      </c>
      <c r="V852" s="18" t="str">
        <f>IF(BITWISE_AND('Raw Data'!$L853, 2),"X","")</f>
        <v/>
      </c>
      <c r="W852" s="18" t="str">
        <f>IF(BITWISE_AND('Raw Data'!$L853, 1),"X","")</f>
        <v/>
      </c>
      <c r="X852" s="19" t="str">
        <f>IF(BITWISE_AND('Raw Data'!M853, 1),"Bat Voltage", IF(BITWISE_AND('Raw Data'!M853, 2), "Charge Current", IF(BITWISE_AND('Raw Data'!M853, 4),"Input Ilim", IF(BITWISE_AND('Raw Data'!M853, 8), "Input UV", "none"))))</f>
        <v>none</v>
      </c>
    </row>
    <row r="853" spans="1:24" x14ac:dyDescent="0.2">
      <c r="A853" s="15">
        <f>A852+TIME(0,0,'Raw Data'!B853)</f>
        <v>0</v>
      </c>
      <c r="B853" s="4">
        <f>'Raw Data'!C854*0.025</f>
        <v>0</v>
      </c>
      <c r="C853" s="4">
        <f t="shared" ref="C853:C880" si="42">C852+B853/60</f>
        <v>0</v>
      </c>
      <c r="D853" s="4">
        <f>'Raw Data'!D854*0.025</f>
        <v>0</v>
      </c>
      <c r="E853" s="4">
        <f t="shared" ref="E853:E880" si="43">E852+D853/60</f>
        <v>0</v>
      </c>
      <c r="F853" s="4">
        <f>'Raw Data'!E854*0.001648</f>
        <v>0</v>
      </c>
      <c r="G853" s="4">
        <f>'Raw Data'!F854*0.001648</f>
        <v>0</v>
      </c>
      <c r="H853" s="4">
        <f>'Raw Data'!G854*6*0.000128176</f>
        <v>0</v>
      </c>
      <c r="I853" s="4">
        <f>'Raw Data'!H854*0.000732435</f>
        <v>0</v>
      </c>
      <c r="J853" s="4">
        <f t="shared" si="41"/>
        <v>0</v>
      </c>
      <c r="K853" s="36">
        <f>IF(('Raw Data'!I854-16384)/32768&lt;0,0,('Raw Data'!I854-16384)/32768)</f>
        <v>0</v>
      </c>
      <c r="L853" s="4">
        <f>IF(('Raw Data'!J854-12010)/45.6=-263.377192982456,0,('Raw Data'!J854-12010)/45.6)</f>
        <v>0</v>
      </c>
      <c r="M853" s="16">
        <f>'Raw Data'!N854*2^-8</f>
        <v>0</v>
      </c>
      <c r="N853" s="16">
        <f>'Raw Data'!O854*2^-8</f>
        <v>0</v>
      </c>
      <c r="O853" s="17" t="str">
        <f>IF(BITWISE_AND('Raw Data'!$K854, 8192),"X","")</f>
        <v/>
      </c>
      <c r="P853" s="17" t="str">
        <f>IF(BITWISE_AND('Raw Data'!$K854, 2048),"X","")</f>
        <v/>
      </c>
      <c r="Q853" s="17" t="str">
        <f>IF(BITWISE_AND('Raw Data'!$K854, 64),"X","")</f>
        <v/>
      </c>
      <c r="R853" s="18" t="str">
        <f>IF(BITWISE_AND('Raw Data'!$L854, 1024),"X","")</f>
        <v/>
      </c>
      <c r="S853" s="18" t="str">
        <f>IF(BITWISE_AND('Raw Data'!$L854, 512),"X","")</f>
        <v/>
      </c>
      <c r="T853" s="18" t="str">
        <f>IF(BITWISE_AND('Raw Data'!$L854, 256),"X","")</f>
        <v/>
      </c>
      <c r="U853" s="18" t="str">
        <f>IF(BITWISE_AND('Raw Data'!$L854, 64),"X","")</f>
        <v/>
      </c>
      <c r="V853" s="18" t="str">
        <f>IF(BITWISE_AND('Raw Data'!$L854, 2),"X","")</f>
        <v/>
      </c>
      <c r="W853" s="18" t="str">
        <f>IF(BITWISE_AND('Raw Data'!$L854, 1),"X","")</f>
        <v/>
      </c>
      <c r="X853" s="19" t="str">
        <f>IF(BITWISE_AND('Raw Data'!M854, 1),"Bat Voltage", IF(BITWISE_AND('Raw Data'!M854, 2), "Charge Current", IF(BITWISE_AND('Raw Data'!M854, 4),"Input Ilim", IF(BITWISE_AND('Raw Data'!M854, 8), "Input UV", "none"))))</f>
        <v>none</v>
      </c>
    </row>
    <row r="854" spans="1:24" x14ac:dyDescent="0.2">
      <c r="A854" s="15">
        <f>A853+TIME(0,0,'Raw Data'!B854)</f>
        <v>0</v>
      </c>
      <c r="B854" s="4">
        <f>'Raw Data'!C855*0.025</f>
        <v>0</v>
      </c>
      <c r="C854" s="4">
        <f t="shared" si="42"/>
        <v>0</v>
      </c>
      <c r="D854" s="4">
        <f>'Raw Data'!D855*0.025</f>
        <v>0</v>
      </c>
      <c r="E854" s="4">
        <f t="shared" si="43"/>
        <v>0</v>
      </c>
      <c r="F854" s="4">
        <f>'Raw Data'!E855*0.001648</f>
        <v>0</v>
      </c>
      <c r="G854" s="4">
        <f>'Raw Data'!F855*0.001648</f>
        <v>0</v>
      </c>
      <c r="H854" s="4">
        <f>'Raw Data'!G855*6*0.000128176</f>
        <v>0</v>
      </c>
      <c r="I854" s="4">
        <f>'Raw Data'!H855*0.000732435</f>
        <v>0</v>
      </c>
      <c r="J854" s="4">
        <f t="shared" si="41"/>
        <v>0</v>
      </c>
      <c r="K854" s="36">
        <f>IF(('Raw Data'!I855-16384)/32768&lt;0,0,('Raw Data'!I855-16384)/32768)</f>
        <v>0</v>
      </c>
      <c r="L854" s="4">
        <f>IF(('Raw Data'!J855-12010)/45.6=-263.377192982456,0,('Raw Data'!J855-12010)/45.6)</f>
        <v>0</v>
      </c>
      <c r="M854" s="16">
        <f>'Raw Data'!N855*2^-8</f>
        <v>0</v>
      </c>
      <c r="N854" s="16">
        <f>'Raw Data'!O855*2^-8</f>
        <v>0</v>
      </c>
      <c r="O854" s="17" t="str">
        <f>IF(BITWISE_AND('Raw Data'!$K855, 8192),"X","")</f>
        <v/>
      </c>
      <c r="P854" s="17" t="str">
        <f>IF(BITWISE_AND('Raw Data'!$K855, 2048),"X","")</f>
        <v/>
      </c>
      <c r="Q854" s="17" t="str">
        <f>IF(BITWISE_AND('Raw Data'!$K855, 64),"X","")</f>
        <v/>
      </c>
      <c r="R854" s="18" t="str">
        <f>IF(BITWISE_AND('Raw Data'!$L855, 1024),"X","")</f>
        <v/>
      </c>
      <c r="S854" s="18" t="str">
        <f>IF(BITWISE_AND('Raw Data'!$L855, 512),"X","")</f>
        <v/>
      </c>
      <c r="T854" s="18" t="str">
        <f>IF(BITWISE_AND('Raw Data'!$L855, 256),"X","")</f>
        <v/>
      </c>
      <c r="U854" s="18" t="str">
        <f>IF(BITWISE_AND('Raw Data'!$L855, 64),"X","")</f>
        <v/>
      </c>
      <c r="V854" s="18" t="str">
        <f>IF(BITWISE_AND('Raw Data'!$L855, 2),"X","")</f>
        <v/>
      </c>
      <c r="W854" s="18" t="str">
        <f>IF(BITWISE_AND('Raw Data'!$L855, 1),"X","")</f>
        <v/>
      </c>
      <c r="X854" s="19" t="str">
        <f>IF(BITWISE_AND('Raw Data'!M855, 1),"Bat Voltage", IF(BITWISE_AND('Raw Data'!M855, 2), "Charge Current", IF(BITWISE_AND('Raw Data'!M855, 4),"Input Ilim", IF(BITWISE_AND('Raw Data'!M855, 8), "Input UV", "none"))))</f>
        <v>none</v>
      </c>
    </row>
    <row r="855" spans="1:24" x14ac:dyDescent="0.2">
      <c r="A855" s="15">
        <f>A854+TIME(0,0,'Raw Data'!B855)</f>
        <v>0</v>
      </c>
      <c r="B855" s="4">
        <f>'Raw Data'!C856*0.025</f>
        <v>0</v>
      </c>
      <c r="C855" s="4">
        <f t="shared" si="42"/>
        <v>0</v>
      </c>
      <c r="D855" s="4">
        <f>'Raw Data'!D856*0.025</f>
        <v>0</v>
      </c>
      <c r="E855" s="4">
        <f t="shared" si="43"/>
        <v>0</v>
      </c>
      <c r="F855" s="4">
        <f>'Raw Data'!E856*0.001648</f>
        <v>0</v>
      </c>
      <c r="G855" s="4">
        <f>'Raw Data'!F856*0.001648</f>
        <v>0</v>
      </c>
      <c r="H855" s="4">
        <f>'Raw Data'!G856*6*0.000128176</f>
        <v>0</v>
      </c>
      <c r="I855" s="4">
        <f>'Raw Data'!H856*0.000732435</f>
        <v>0</v>
      </c>
      <c r="J855" s="4">
        <f t="shared" si="41"/>
        <v>0</v>
      </c>
      <c r="K855" s="36">
        <f>IF(('Raw Data'!I856-16384)/32768&lt;0,0,('Raw Data'!I856-16384)/32768)</f>
        <v>0</v>
      </c>
      <c r="L855" s="4">
        <f>IF(('Raw Data'!J856-12010)/45.6=-263.377192982456,0,('Raw Data'!J856-12010)/45.6)</f>
        <v>0</v>
      </c>
      <c r="M855" s="16">
        <f>'Raw Data'!N856*2^-8</f>
        <v>0</v>
      </c>
      <c r="N855" s="16">
        <f>'Raw Data'!O856*2^-8</f>
        <v>0</v>
      </c>
      <c r="O855" s="17" t="str">
        <f>IF(BITWISE_AND('Raw Data'!$K856, 8192),"X","")</f>
        <v/>
      </c>
      <c r="P855" s="17" t="str">
        <f>IF(BITWISE_AND('Raw Data'!$K856, 2048),"X","")</f>
        <v/>
      </c>
      <c r="Q855" s="17" t="str">
        <f>IF(BITWISE_AND('Raw Data'!$K856, 64),"X","")</f>
        <v/>
      </c>
      <c r="R855" s="18" t="str">
        <f>IF(BITWISE_AND('Raw Data'!$L856, 1024),"X","")</f>
        <v/>
      </c>
      <c r="S855" s="18" t="str">
        <f>IF(BITWISE_AND('Raw Data'!$L856, 512),"X","")</f>
        <v/>
      </c>
      <c r="T855" s="18" t="str">
        <f>IF(BITWISE_AND('Raw Data'!$L856, 256),"X","")</f>
        <v/>
      </c>
      <c r="U855" s="18" t="str">
        <f>IF(BITWISE_AND('Raw Data'!$L856, 64),"X","")</f>
        <v/>
      </c>
      <c r="V855" s="18" t="str">
        <f>IF(BITWISE_AND('Raw Data'!$L856, 2),"X","")</f>
        <v/>
      </c>
      <c r="W855" s="18" t="str">
        <f>IF(BITWISE_AND('Raw Data'!$L856, 1),"X","")</f>
        <v/>
      </c>
      <c r="X855" s="19" t="str">
        <f>IF(BITWISE_AND('Raw Data'!M856, 1),"Bat Voltage", IF(BITWISE_AND('Raw Data'!M856, 2), "Charge Current", IF(BITWISE_AND('Raw Data'!M856, 4),"Input Ilim", IF(BITWISE_AND('Raw Data'!M856, 8), "Input UV", "none"))))</f>
        <v>none</v>
      </c>
    </row>
    <row r="856" spans="1:24" x14ac:dyDescent="0.2">
      <c r="A856" s="15">
        <f>A855+TIME(0,0,'Raw Data'!B856)</f>
        <v>0</v>
      </c>
      <c r="B856" s="4">
        <f>'Raw Data'!C857*0.025</f>
        <v>0</v>
      </c>
      <c r="C856" s="4">
        <f t="shared" si="42"/>
        <v>0</v>
      </c>
      <c r="D856" s="4">
        <f>'Raw Data'!D857*0.025</f>
        <v>0</v>
      </c>
      <c r="E856" s="4">
        <f t="shared" si="43"/>
        <v>0</v>
      </c>
      <c r="F856" s="4">
        <f>'Raw Data'!E857*0.001648</f>
        <v>0</v>
      </c>
      <c r="G856" s="4">
        <f>'Raw Data'!F857*0.001648</f>
        <v>0</v>
      </c>
      <c r="H856" s="4">
        <f>'Raw Data'!G857*6*0.000128176</f>
        <v>0</v>
      </c>
      <c r="I856" s="4">
        <f>'Raw Data'!H857*0.000732435</f>
        <v>0</v>
      </c>
      <c r="J856" s="4">
        <f t="shared" si="41"/>
        <v>0</v>
      </c>
      <c r="K856" s="36">
        <f>IF(('Raw Data'!I857-16384)/32768&lt;0,0,('Raw Data'!I857-16384)/32768)</f>
        <v>0</v>
      </c>
      <c r="L856" s="4">
        <f>IF(('Raw Data'!J857-12010)/45.6=-263.377192982456,0,('Raw Data'!J857-12010)/45.6)</f>
        <v>0</v>
      </c>
      <c r="M856" s="16">
        <f>'Raw Data'!N857*2^-8</f>
        <v>0</v>
      </c>
      <c r="N856" s="16">
        <f>'Raw Data'!O857*2^-8</f>
        <v>0</v>
      </c>
      <c r="O856" s="17" t="str">
        <f>IF(BITWISE_AND('Raw Data'!$K857, 8192),"X","")</f>
        <v/>
      </c>
      <c r="P856" s="17" t="str">
        <f>IF(BITWISE_AND('Raw Data'!$K857, 2048),"X","")</f>
        <v/>
      </c>
      <c r="Q856" s="17" t="str">
        <f>IF(BITWISE_AND('Raw Data'!$K857, 64),"X","")</f>
        <v/>
      </c>
      <c r="R856" s="18" t="str">
        <f>IF(BITWISE_AND('Raw Data'!$L857, 1024),"X","")</f>
        <v/>
      </c>
      <c r="S856" s="18" t="str">
        <f>IF(BITWISE_AND('Raw Data'!$L857, 512),"X","")</f>
        <v/>
      </c>
      <c r="T856" s="18" t="str">
        <f>IF(BITWISE_AND('Raw Data'!$L857, 256),"X","")</f>
        <v/>
      </c>
      <c r="U856" s="18" t="str">
        <f>IF(BITWISE_AND('Raw Data'!$L857, 64),"X","")</f>
        <v/>
      </c>
      <c r="V856" s="18" t="str">
        <f>IF(BITWISE_AND('Raw Data'!$L857, 2),"X","")</f>
        <v/>
      </c>
      <c r="W856" s="18" t="str">
        <f>IF(BITWISE_AND('Raw Data'!$L857, 1),"X","")</f>
        <v/>
      </c>
      <c r="X856" s="19" t="str">
        <f>IF(BITWISE_AND('Raw Data'!M857, 1),"Bat Voltage", IF(BITWISE_AND('Raw Data'!M857, 2), "Charge Current", IF(BITWISE_AND('Raw Data'!M857, 4),"Input Ilim", IF(BITWISE_AND('Raw Data'!M857, 8), "Input UV", "none"))))</f>
        <v>none</v>
      </c>
    </row>
    <row r="857" spans="1:24" x14ac:dyDescent="0.2">
      <c r="A857" s="15">
        <f>A856+TIME(0,0,'Raw Data'!B857)</f>
        <v>0</v>
      </c>
      <c r="B857" s="4">
        <f>'Raw Data'!C858*0.025</f>
        <v>0</v>
      </c>
      <c r="C857" s="4">
        <f t="shared" si="42"/>
        <v>0</v>
      </c>
      <c r="D857" s="4">
        <f>'Raw Data'!D858*0.025</f>
        <v>0</v>
      </c>
      <c r="E857" s="4">
        <f t="shared" si="43"/>
        <v>0</v>
      </c>
      <c r="F857" s="4">
        <f>'Raw Data'!E858*0.001648</f>
        <v>0</v>
      </c>
      <c r="G857" s="4">
        <f>'Raw Data'!F858*0.001648</f>
        <v>0</v>
      </c>
      <c r="H857" s="4">
        <f>'Raw Data'!G858*6*0.000128176</f>
        <v>0</v>
      </c>
      <c r="I857" s="4">
        <f>'Raw Data'!H858*0.000732435</f>
        <v>0</v>
      </c>
      <c r="J857" s="4">
        <f t="shared" si="41"/>
        <v>0</v>
      </c>
      <c r="K857" s="36">
        <f>IF(('Raw Data'!I858-16384)/32768&lt;0,0,('Raw Data'!I858-16384)/32768)</f>
        <v>0</v>
      </c>
      <c r="L857" s="4">
        <f>IF(('Raw Data'!J858-12010)/45.6=-263.377192982456,0,('Raw Data'!J858-12010)/45.6)</f>
        <v>0</v>
      </c>
      <c r="M857" s="16">
        <f>'Raw Data'!N858*2^-8</f>
        <v>0</v>
      </c>
      <c r="N857" s="16">
        <f>'Raw Data'!O858*2^-8</f>
        <v>0</v>
      </c>
      <c r="O857" s="17" t="str">
        <f>IF(BITWISE_AND('Raw Data'!$K858, 8192),"X","")</f>
        <v/>
      </c>
      <c r="P857" s="17" t="str">
        <f>IF(BITWISE_AND('Raw Data'!$K858, 2048),"X","")</f>
        <v/>
      </c>
      <c r="Q857" s="17" t="str">
        <f>IF(BITWISE_AND('Raw Data'!$K858, 64),"X","")</f>
        <v/>
      </c>
      <c r="R857" s="18" t="str">
        <f>IF(BITWISE_AND('Raw Data'!$L858, 1024),"X","")</f>
        <v/>
      </c>
      <c r="S857" s="18" t="str">
        <f>IF(BITWISE_AND('Raw Data'!$L858, 512),"X","")</f>
        <v/>
      </c>
      <c r="T857" s="18" t="str">
        <f>IF(BITWISE_AND('Raw Data'!$L858, 256),"X","")</f>
        <v/>
      </c>
      <c r="U857" s="18" t="str">
        <f>IF(BITWISE_AND('Raw Data'!$L858, 64),"X","")</f>
        <v/>
      </c>
      <c r="V857" s="18" t="str">
        <f>IF(BITWISE_AND('Raw Data'!$L858, 2),"X","")</f>
        <v/>
      </c>
      <c r="W857" s="18" t="str">
        <f>IF(BITWISE_AND('Raw Data'!$L858, 1),"X","")</f>
        <v/>
      </c>
      <c r="X857" s="19" t="str">
        <f>IF(BITWISE_AND('Raw Data'!M858, 1),"Bat Voltage", IF(BITWISE_AND('Raw Data'!M858, 2), "Charge Current", IF(BITWISE_AND('Raw Data'!M858, 4),"Input Ilim", IF(BITWISE_AND('Raw Data'!M858, 8), "Input UV", "none"))))</f>
        <v>none</v>
      </c>
    </row>
    <row r="858" spans="1:24" x14ac:dyDescent="0.2">
      <c r="A858" s="15">
        <f>A857+TIME(0,0,'Raw Data'!B858)</f>
        <v>0</v>
      </c>
      <c r="B858" s="4">
        <f>'Raw Data'!C859*0.025</f>
        <v>0</v>
      </c>
      <c r="C858" s="4">
        <f t="shared" si="42"/>
        <v>0</v>
      </c>
      <c r="D858" s="4">
        <f>'Raw Data'!D859*0.025</f>
        <v>0</v>
      </c>
      <c r="E858" s="4">
        <f t="shared" si="43"/>
        <v>0</v>
      </c>
      <c r="F858" s="4">
        <f>'Raw Data'!E859*0.001648</f>
        <v>0</v>
      </c>
      <c r="G858" s="4">
        <f>'Raw Data'!F859*0.001648</f>
        <v>0</v>
      </c>
      <c r="H858" s="4">
        <f>'Raw Data'!G859*6*0.000128176</f>
        <v>0</v>
      </c>
      <c r="I858" s="4">
        <f>'Raw Data'!H859*0.000732435</f>
        <v>0</v>
      </c>
      <c r="J858" s="4">
        <f t="shared" si="41"/>
        <v>0</v>
      </c>
      <c r="K858" s="36">
        <f>IF(('Raw Data'!I859-16384)/32768&lt;0,0,('Raw Data'!I859-16384)/32768)</f>
        <v>0</v>
      </c>
      <c r="L858" s="4">
        <f>IF(('Raw Data'!J859-12010)/45.6=-263.377192982456,0,('Raw Data'!J859-12010)/45.6)</f>
        <v>0</v>
      </c>
      <c r="M858" s="16">
        <f>'Raw Data'!N859*2^-8</f>
        <v>0</v>
      </c>
      <c r="N858" s="16">
        <f>'Raw Data'!O859*2^-8</f>
        <v>0</v>
      </c>
      <c r="O858" s="17" t="str">
        <f>IF(BITWISE_AND('Raw Data'!$K859, 8192),"X","")</f>
        <v/>
      </c>
      <c r="P858" s="17" t="str">
        <f>IF(BITWISE_AND('Raw Data'!$K859, 2048),"X","")</f>
        <v/>
      </c>
      <c r="Q858" s="17" t="str">
        <f>IF(BITWISE_AND('Raw Data'!$K859, 64),"X","")</f>
        <v/>
      </c>
      <c r="R858" s="18" t="str">
        <f>IF(BITWISE_AND('Raw Data'!$L859, 1024),"X","")</f>
        <v/>
      </c>
      <c r="S858" s="18" t="str">
        <f>IF(BITWISE_AND('Raw Data'!$L859, 512),"X","")</f>
        <v/>
      </c>
      <c r="T858" s="18" t="str">
        <f>IF(BITWISE_AND('Raw Data'!$L859, 256),"X","")</f>
        <v/>
      </c>
      <c r="U858" s="18" t="str">
        <f>IF(BITWISE_AND('Raw Data'!$L859, 64),"X","")</f>
        <v/>
      </c>
      <c r="V858" s="18" t="str">
        <f>IF(BITWISE_AND('Raw Data'!$L859, 2),"X","")</f>
        <v/>
      </c>
      <c r="W858" s="18" t="str">
        <f>IF(BITWISE_AND('Raw Data'!$L859, 1),"X","")</f>
        <v/>
      </c>
      <c r="X858" s="19" t="str">
        <f>IF(BITWISE_AND('Raw Data'!M859, 1),"Bat Voltage", IF(BITWISE_AND('Raw Data'!M859, 2), "Charge Current", IF(BITWISE_AND('Raw Data'!M859, 4),"Input Ilim", IF(BITWISE_AND('Raw Data'!M859, 8), "Input UV", "none"))))</f>
        <v>none</v>
      </c>
    </row>
    <row r="859" spans="1:24" x14ac:dyDescent="0.2">
      <c r="A859" s="15">
        <f>A858+TIME(0,0,'Raw Data'!B859)</f>
        <v>0</v>
      </c>
      <c r="B859" s="4">
        <f>'Raw Data'!C860*0.025</f>
        <v>0</v>
      </c>
      <c r="C859" s="4">
        <f t="shared" si="42"/>
        <v>0</v>
      </c>
      <c r="D859" s="4">
        <f>'Raw Data'!D860*0.025</f>
        <v>0</v>
      </c>
      <c r="E859" s="4">
        <f t="shared" si="43"/>
        <v>0</v>
      </c>
      <c r="F859" s="4">
        <f>'Raw Data'!E860*0.001648</f>
        <v>0</v>
      </c>
      <c r="G859" s="4">
        <f>'Raw Data'!F860*0.001648</f>
        <v>0</v>
      </c>
      <c r="H859" s="4">
        <f>'Raw Data'!G860*6*0.000128176</f>
        <v>0</v>
      </c>
      <c r="I859" s="4">
        <f>'Raw Data'!H860*0.000732435</f>
        <v>0</v>
      </c>
      <c r="J859" s="4">
        <f t="shared" si="41"/>
        <v>0</v>
      </c>
      <c r="K859" s="36">
        <f>IF(('Raw Data'!I860-16384)/32768&lt;0,0,('Raw Data'!I860-16384)/32768)</f>
        <v>0</v>
      </c>
      <c r="L859" s="4">
        <f>IF(('Raw Data'!J860-12010)/45.6=-263.377192982456,0,('Raw Data'!J860-12010)/45.6)</f>
        <v>0</v>
      </c>
      <c r="M859" s="16">
        <f>'Raw Data'!N860*2^-8</f>
        <v>0</v>
      </c>
      <c r="N859" s="16">
        <f>'Raw Data'!O860*2^-8</f>
        <v>0</v>
      </c>
      <c r="O859" s="17" t="str">
        <f>IF(BITWISE_AND('Raw Data'!$K860, 8192),"X","")</f>
        <v/>
      </c>
      <c r="P859" s="17" t="str">
        <f>IF(BITWISE_AND('Raw Data'!$K860, 2048),"X","")</f>
        <v/>
      </c>
      <c r="Q859" s="17" t="str">
        <f>IF(BITWISE_AND('Raw Data'!$K860, 64),"X","")</f>
        <v/>
      </c>
      <c r="R859" s="18" t="str">
        <f>IF(BITWISE_AND('Raw Data'!$L860, 1024),"X","")</f>
        <v/>
      </c>
      <c r="S859" s="18" t="str">
        <f>IF(BITWISE_AND('Raw Data'!$L860, 512),"X","")</f>
        <v/>
      </c>
      <c r="T859" s="18" t="str">
        <f>IF(BITWISE_AND('Raw Data'!$L860, 256),"X","")</f>
        <v/>
      </c>
      <c r="U859" s="18" t="str">
        <f>IF(BITWISE_AND('Raw Data'!$L860, 64),"X","")</f>
        <v/>
      </c>
      <c r="V859" s="18" t="str">
        <f>IF(BITWISE_AND('Raw Data'!$L860, 2),"X","")</f>
        <v/>
      </c>
      <c r="W859" s="18" t="str">
        <f>IF(BITWISE_AND('Raw Data'!$L860, 1),"X","")</f>
        <v/>
      </c>
      <c r="X859" s="19" t="str">
        <f>IF(BITWISE_AND('Raw Data'!M860, 1),"Bat Voltage", IF(BITWISE_AND('Raw Data'!M860, 2), "Charge Current", IF(BITWISE_AND('Raw Data'!M860, 4),"Input Ilim", IF(BITWISE_AND('Raw Data'!M860, 8), "Input UV", "none"))))</f>
        <v>none</v>
      </c>
    </row>
    <row r="860" spans="1:24" x14ac:dyDescent="0.2">
      <c r="A860" s="15">
        <f>A859+TIME(0,0,'Raw Data'!B860)</f>
        <v>0</v>
      </c>
      <c r="B860" s="4">
        <f>'Raw Data'!C861*0.025</f>
        <v>0</v>
      </c>
      <c r="C860" s="4">
        <f t="shared" si="42"/>
        <v>0</v>
      </c>
      <c r="D860" s="4">
        <f>'Raw Data'!D861*0.025</f>
        <v>0</v>
      </c>
      <c r="E860" s="4">
        <f t="shared" si="43"/>
        <v>0</v>
      </c>
      <c r="F860" s="4">
        <f>'Raw Data'!E861*0.001648</f>
        <v>0</v>
      </c>
      <c r="G860" s="4">
        <f>'Raw Data'!F861*0.001648</f>
        <v>0</v>
      </c>
      <c r="H860" s="4">
        <f>'Raw Data'!G861*6*0.000128176</f>
        <v>0</v>
      </c>
      <c r="I860" s="4">
        <f>'Raw Data'!H861*0.000732435</f>
        <v>0</v>
      </c>
      <c r="J860" s="4">
        <f t="shared" si="41"/>
        <v>0</v>
      </c>
      <c r="K860" s="36">
        <f>IF(('Raw Data'!I861-16384)/32768&lt;0,0,('Raw Data'!I861-16384)/32768)</f>
        <v>0</v>
      </c>
      <c r="L860" s="4">
        <f>IF(('Raw Data'!J861-12010)/45.6=-263.377192982456,0,('Raw Data'!J861-12010)/45.6)</f>
        <v>0</v>
      </c>
      <c r="M860" s="16">
        <f>'Raw Data'!N861*2^-8</f>
        <v>0</v>
      </c>
      <c r="N860" s="16">
        <f>'Raw Data'!O861*2^-8</f>
        <v>0</v>
      </c>
      <c r="O860" s="17" t="str">
        <f>IF(BITWISE_AND('Raw Data'!$K861, 8192),"X","")</f>
        <v/>
      </c>
      <c r="P860" s="17" t="str">
        <f>IF(BITWISE_AND('Raw Data'!$K861, 2048),"X","")</f>
        <v/>
      </c>
      <c r="Q860" s="17" t="str">
        <f>IF(BITWISE_AND('Raw Data'!$K861, 64),"X","")</f>
        <v/>
      </c>
      <c r="R860" s="18" t="str">
        <f>IF(BITWISE_AND('Raw Data'!$L861, 1024),"X","")</f>
        <v/>
      </c>
      <c r="S860" s="18" t="str">
        <f>IF(BITWISE_AND('Raw Data'!$L861, 512),"X","")</f>
        <v/>
      </c>
      <c r="T860" s="18" t="str">
        <f>IF(BITWISE_AND('Raw Data'!$L861, 256),"X","")</f>
        <v/>
      </c>
      <c r="U860" s="18" t="str">
        <f>IF(BITWISE_AND('Raw Data'!$L861, 64),"X","")</f>
        <v/>
      </c>
      <c r="V860" s="18" t="str">
        <f>IF(BITWISE_AND('Raw Data'!$L861, 2),"X","")</f>
        <v/>
      </c>
      <c r="W860" s="18" t="str">
        <f>IF(BITWISE_AND('Raw Data'!$L861, 1),"X","")</f>
        <v/>
      </c>
      <c r="X860" s="19" t="str">
        <f>IF(BITWISE_AND('Raw Data'!M861, 1),"Bat Voltage", IF(BITWISE_AND('Raw Data'!M861, 2), "Charge Current", IF(BITWISE_AND('Raw Data'!M861, 4),"Input Ilim", IF(BITWISE_AND('Raw Data'!M861, 8), "Input UV", "none"))))</f>
        <v>none</v>
      </c>
    </row>
    <row r="861" spans="1:24" x14ac:dyDescent="0.2">
      <c r="A861" s="15">
        <f>A860+TIME(0,0,'Raw Data'!B861)</f>
        <v>0</v>
      </c>
      <c r="B861" s="4">
        <f>'Raw Data'!C862*0.025</f>
        <v>0</v>
      </c>
      <c r="C861" s="4">
        <f t="shared" si="42"/>
        <v>0</v>
      </c>
      <c r="D861" s="4">
        <f>'Raw Data'!D862*0.025</f>
        <v>0</v>
      </c>
      <c r="E861" s="4">
        <f t="shared" si="43"/>
        <v>0</v>
      </c>
      <c r="F861" s="4">
        <f>'Raw Data'!E862*0.001648</f>
        <v>0</v>
      </c>
      <c r="G861" s="4">
        <f>'Raw Data'!F862*0.001648</f>
        <v>0</v>
      </c>
      <c r="H861" s="4">
        <f>'Raw Data'!G862*6*0.000128176</f>
        <v>0</v>
      </c>
      <c r="I861" s="4">
        <f>'Raw Data'!H862*0.000732435</f>
        <v>0</v>
      </c>
      <c r="J861" s="4">
        <f t="shared" si="41"/>
        <v>0</v>
      </c>
      <c r="K861" s="36">
        <f>IF(('Raw Data'!I862-16384)/32768&lt;0,0,('Raw Data'!I862-16384)/32768)</f>
        <v>0</v>
      </c>
      <c r="L861" s="4">
        <f>IF(('Raw Data'!J862-12010)/45.6=-263.377192982456,0,('Raw Data'!J862-12010)/45.6)</f>
        <v>0</v>
      </c>
      <c r="M861" s="16">
        <f>'Raw Data'!N862*2^-8</f>
        <v>0</v>
      </c>
      <c r="N861" s="16">
        <f>'Raw Data'!O862*2^-8</f>
        <v>0</v>
      </c>
      <c r="O861" s="17" t="str">
        <f>IF(BITWISE_AND('Raw Data'!$K862, 8192),"X","")</f>
        <v/>
      </c>
      <c r="P861" s="17" t="str">
        <f>IF(BITWISE_AND('Raw Data'!$K862, 2048),"X","")</f>
        <v/>
      </c>
      <c r="Q861" s="17" t="str">
        <f>IF(BITWISE_AND('Raw Data'!$K862, 64),"X","")</f>
        <v/>
      </c>
      <c r="R861" s="18" t="str">
        <f>IF(BITWISE_AND('Raw Data'!$L862, 1024),"X","")</f>
        <v/>
      </c>
      <c r="S861" s="18" t="str">
        <f>IF(BITWISE_AND('Raw Data'!$L862, 512),"X","")</f>
        <v/>
      </c>
      <c r="T861" s="18" t="str">
        <f>IF(BITWISE_AND('Raw Data'!$L862, 256),"X","")</f>
        <v/>
      </c>
      <c r="U861" s="18" t="str">
        <f>IF(BITWISE_AND('Raw Data'!$L862, 64),"X","")</f>
        <v/>
      </c>
      <c r="V861" s="18" t="str">
        <f>IF(BITWISE_AND('Raw Data'!$L862, 2),"X","")</f>
        <v/>
      </c>
      <c r="W861" s="18" t="str">
        <f>IF(BITWISE_AND('Raw Data'!$L862, 1),"X","")</f>
        <v/>
      </c>
      <c r="X861" s="19" t="str">
        <f>IF(BITWISE_AND('Raw Data'!M862, 1),"Bat Voltage", IF(BITWISE_AND('Raw Data'!M862, 2), "Charge Current", IF(BITWISE_AND('Raw Data'!M862, 4),"Input Ilim", IF(BITWISE_AND('Raw Data'!M862, 8), "Input UV", "none"))))</f>
        <v>none</v>
      </c>
    </row>
    <row r="862" spans="1:24" x14ac:dyDescent="0.2">
      <c r="A862" s="15">
        <f>A861+TIME(0,0,'Raw Data'!B862)</f>
        <v>0</v>
      </c>
      <c r="B862" s="4">
        <f>'Raw Data'!C863*0.025</f>
        <v>0</v>
      </c>
      <c r="C862" s="4">
        <f t="shared" si="42"/>
        <v>0</v>
      </c>
      <c r="D862" s="4">
        <f>'Raw Data'!D863*0.025</f>
        <v>0</v>
      </c>
      <c r="E862" s="4">
        <f t="shared" si="43"/>
        <v>0</v>
      </c>
      <c r="F862" s="4">
        <f>'Raw Data'!E863*0.001648</f>
        <v>0</v>
      </c>
      <c r="G862" s="4">
        <f>'Raw Data'!F863*0.001648</f>
        <v>0</v>
      </c>
      <c r="H862" s="4">
        <f>'Raw Data'!G863*6*0.000128176</f>
        <v>0</v>
      </c>
      <c r="I862" s="4">
        <f>'Raw Data'!H863*0.000732435</f>
        <v>0</v>
      </c>
      <c r="J862" s="4">
        <f t="shared" si="41"/>
        <v>0</v>
      </c>
      <c r="K862" s="36">
        <f>IF(('Raw Data'!I863-16384)/32768&lt;0,0,('Raw Data'!I863-16384)/32768)</f>
        <v>0</v>
      </c>
      <c r="L862" s="4">
        <f>IF(('Raw Data'!J863-12010)/45.6=-263.377192982456,0,('Raw Data'!J863-12010)/45.6)</f>
        <v>0</v>
      </c>
      <c r="M862" s="16">
        <f>'Raw Data'!N863*2^-8</f>
        <v>0</v>
      </c>
      <c r="N862" s="16">
        <f>'Raw Data'!O863*2^-8</f>
        <v>0</v>
      </c>
      <c r="O862" s="17" t="str">
        <f>IF(BITWISE_AND('Raw Data'!$K863, 8192),"X","")</f>
        <v/>
      </c>
      <c r="P862" s="17" t="str">
        <f>IF(BITWISE_AND('Raw Data'!$K863, 2048),"X","")</f>
        <v/>
      </c>
      <c r="Q862" s="17" t="str">
        <f>IF(BITWISE_AND('Raw Data'!$K863, 64),"X","")</f>
        <v/>
      </c>
      <c r="R862" s="18" t="str">
        <f>IF(BITWISE_AND('Raw Data'!$L863, 1024),"X","")</f>
        <v/>
      </c>
      <c r="S862" s="18" t="str">
        <f>IF(BITWISE_AND('Raw Data'!$L863, 512),"X","")</f>
        <v/>
      </c>
      <c r="T862" s="18" t="str">
        <f>IF(BITWISE_AND('Raw Data'!$L863, 256),"X","")</f>
        <v/>
      </c>
      <c r="U862" s="18" t="str">
        <f>IF(BITWISE_AND('Raw Data'!$L863, 64),"X","")</f>
        <v/>
      </c>
      <c r="V862" s="18" t="str">
        <f>IF(BITWISE_AND('Raw Data'!$L863, 2),"X","")</f>
        <v/>
      </c>
      <c r="W862" s="18" t="str">
        <f>IF(BITWISE_AND('Raw Data'!$L863, 1),"X","")</f>
        <v/>
      </c>
      <c r="X862" s="19" t="str">
        <f>IF(BITWISE_AND('Raw Data'!M863, 1),"Bat Voltage", IF(BITWISE_AND('Raw Data'!M863, 2), "Charge Current", IF(BITWISE_AND('Raw Data'!M863, 4),"Input Ilim", IF(BITWISE_AND('Raw Data'!M863, 8), "Input UV", "none"))))</f>
        <v>none</v>
      </c>
    </row>
    <row r="863" spans="1:24" x14ac:dyDescent="0.2">
      <c r="A863" s="15">
        <f>A862+TIME(0,0,'Raw Data'!B863)</f>
        <v>0</v>
      </c>
      <c r="B863" s="4">
        <f>'Raw Data'!C864*0.025</f>
        <v>0</v>
      </c>
      <c r="C863" s="4">
        <f t="shared" si="42"/>
        <v>0</v>
      </c>
      <c r="D863" s="4">
        <f>'Raw Data'!D864*0.025</f>
        <v>0</v>
      </c>
      <c r="E863" s="4">
        <f t="shared" si="43"/>
        <v>0</v>
      </c>
      <c r="F863" s="4">
        <f>'Raw Data'!E864*0.001648</f>
        <v>0</v>
      </c>
      <c r="G863" s="4">
        <f>'Raw Data'!F864*0.001648</f>
        <v>0</v>
      </c>
      <c r="H863" s="4">
        <f>'Raw Data'!G864*6*0.000128176</f>
        <v>0</v>
      </c>
      <c r="I863" s="4">
        <f>'Raw Data'!H864*0.000732435</f>
        <v>0</v>
      </c>
      <c r="J863" s="4">
        <f t="shared" si="41"/>
        <v>0</v>
      </c>
      <c r="K863" s="36">
        <f>IF(('Raw Data'!I864-16384)/32768&lt;0,0,('Raw Data'!I864-16384)/32768)</f>
        <v>0</v>
      </c>
      <c r="L863" s="4">
        <f>IF(('Raw Data'!J864-12010)/45.6=-263.377192982456,0,('Raw Data'!J864-12010)/45.6)</f>
        <v>0</v>
      </c>
      <c r="M863" s="16">
        <f>'Raw Data'!N864*2^-8</f>
        <v>0</v>
      </c>
      <c r="N863" s="16">
        <f>'Raw Data'!O864*2^-8</f>
        <v>0</v>
      </c>
      <c r="O863" s="17" t="str">
        <f>IF(BITWISE_AND('Raw Data'!$K864, 8192),"X","")</f>
        <v/>
      </c>
      <c r="P863" s="17" t="str">
        <f>IF(BITWISE_AND('Raw Data'!$K864, 2048),"X","")</f>
        <v/>
      </c>
      <c r="Q863" s="17" t="str">
        <f>IF(BITWISE_AND('Raw Data'!$K864, 64),"X","")</f>
        <v/>
      </c>
      <c r="R863" s="18" t="str">
        <f>IF(BITWISE_AND('Raw Data'!$L864, 1024),"X","")</f>
        <v/>
      </c>
      <c r="S863" s="18" t="str">
        <f>IF(BITWISE_AND('Raw Data'!$L864, 512),"X","")</f>
        <v/>
      </c>
      <c r="T863" s="18" t="str">
        <f>IF(BITWISE_AND('Raw Data'!$L864, 256),"X","")</f>
        <v/>
      </c>
      <c r="U863" s="18" t="str">
        <f>IF(BITWISE_AND('Raw Data'!$L864, 64),"X","")</f>
        <v/>
      </c>
      <c r="V863" s="18" t="str">
        <f>IF(BITWISE_AND('Raw Data'!$L864, 2),"X","")</f>
        <v/>
      </c>
      <c r="W863" s="18" t="str">
        <f>IF(BITWISE_AND('Raw Data'!$L864, 1),"X","")</f>
        <v/>
      </c>
      <c r="X863" s="19" t="str">
        <f>IF(BITWISE_AND('Raw Data'!M864, 1),"Bat Voltage", IF(BITWISE_AND('Raw Data'!M864, 2), "Charge Current", IF(BITWISE_AND('Raw Data'!M864, 4),"Input Ilim", IF(BITWISE_AND('Raw Data'!M864, 8), "Input UV", "none"))))</f>
        <v>none</v>
      </c>
    </row>
    <row r="864" spans="1:24" x14ac:dyDescent="0.2">
      <c r="A864" s="15">
        <f>A863+TIME(0,0,'Raw Data'!B864)</f>
        <v>0</v>
      </c>
      <c r="B864" s="4">
        <f>'Raw Data'!C865*0.025</f>
        <v>0</v>
      </c>
      <c r="C864" s="4">
        <f t="shared" si="42"/>
        <v>0</v>
      </c>
      <c r="D864" s="4">
        <f>'Raw Data'!D865*0.025</f>
        <v>0</v>
      </c>
      <c r="E864" s="4">
        <f t="shared" si="43"/>
        <v>0</v>
      </c>
      <c r="F864" s="4">
        <f>'Raw Data'!E865*0.001648</f>
        <v>0</v>
      </c>
      <c r="G864" s="4">
        <f>'Raw Data'!F865*0.001648</f>
        <v>0</v>
      </c>
      <c r="H864" s="4">
        <f>'Raw Data'!G865*6*0.000128176</f>
        <v>0</v>
      </c>
      <c r="I864" s="4">
        <f>'Raw Data'!H865*0.000732435</f>
        <v>0</v>
      </c>
      <c r="J864" s="4">
        <f t="shared" si="41"/>
        <v>0</v>
      </c>
      <c r="K864" s="36">
        <f>IF(('Raw Data'!I865-16384)/32768&lt;0,0,('Raw Data'!I865-16384)/32768)</f>
        <v>0</v>
      </c>
      <c r="L864" s="4">
        <f>IF(('Raw Data'!J865-12010)/45.6=-263.377192982456,0,('Raw Data'!J865-12010)/45.6)</f>
        <v>0</v>
      </c>
      <c r="M864" s="16">
        <f>'Raw Data'!N865*2^-8</f>
        <v>0</v>
      </c>
      <c r="N864" s="16">
        <f>'Raw Data'!O865*2^-8</f>
        <v>0</v>
      </c>
      <c r="O864" s="17" t="str">
        <f>IF(BITWISE_AND('Raw Data'!$K865, 8192),"X","")</f>
        <v/>
      </c>
      <c r="P864" s="17" t="str">
        <f>IF(BITWISE_AND('Raw Data'!$K865, 2048),"X","")</f>
        <v/>
      </c>
      <c r="Q864" s="17" t="str">
        <f>IF(BITWISE_AND('Raw Data'!$K865, 64),"X","")</f>
        <v/>
      </c>
      <c r="R864" s="18" t="str">
        <f>IF(BITWISE_AND('Raw Data'!$L865, 1024),"X","")</f>
        <v/>
      </c>
      <c r="S864" s="18" t="str">
        <f>IF(BITWISE_AND('Raw Data'!$L865, 512),"X","")</f>
        <v/>
      </c>
      <c r="T864" s="18" t="str">
        <f>IF(BITWISE_AND('Raw Data'!$L865, 256),"X","")</f>
        <v/>
      </c>
      <c r="U864" s="18" t="str">
        <f>IF(BITWISE_AND('Raw Data'!$L865, 64),"X","")</f>
        <v/>
      </c>
      <c r="V864" s="18" t="str">
        <f>IF(BITWISE_AND('Raw Data'!$L865, 2),"X","")</f>
        <v/>
      </c>
      <c r="W864" s="18" t="str">
        <f>IF(BITWISE_AND('Raw Data'!$L865, 1),"X","")</f>
        <v/>
      </c>
      <c r="X864" s="19" t="str">
        <f>IF(BITWISE_AND('Raw Data'!M865, 1),"Bat Voltage", IF(BITWISE_AND('Raw Data'!M865, 2), "Charge Current", IF(BITWISE_AND('Raw Data'!M865, 4),"Input Ilim", IF(BITWISE_AND('Raw Data'!M865, 8), "Input UV", "none"))))</f>
        <v>none</v>
      </c>
    </row>
    <row r="865" spans="1:24" x14ac:dyDescent="0.2">
      <c r="A865" s="15">
        <f>A864+TIME(0,0,'Raw Data'!B865)</f>
        <v>0</v>
      </c>
      <c r="B865" s="4">
        <f>'Raw Data'!C866*0.025</f>
        <v>0</v>
      </c>
      <c r="C865" s="4">
        <f t="shared" si="42"/>
        <v>0</v>
      </c>
      <c r="D865" s="4">
        <f>'Raw Data'!D866*0.025</f>
        <v>0</v>
      </c>
      <c r="E865" s="4">
        <f t="shared" si="43"/>
        <v>0</v>
      </c>
      <c r="F865" s="4">
        <f>'Raw Data'!E866*0.001648</f>
        <v>0</v>
      </c>
      <c r="G865" s="4">
        <f>'Raw Data'!F866*0.001648</f>
        <v>0</v>
      </c>
      <c r="H865" s="4">
        <f>'Raw Data'!G866*6*0.000128176</f>
        <v>0</v>
      </c>
      <c r="I865" s="4">
        <f>'Raw Data'!H866*0.000732435</f>
        <v>0</v>
      </c>
      <c r="J865" s="4">
        <f t="shared" si="41"/>
        <v>0</v>
      </c>
      <c r="K865" s="36">
        <f>IF(('Raw Data'!I866-16384)/32768&lt;0,0,('Raw Data'!I866-16384)/32768)</f>
        <v>0</v>
      </c>
      <c r="L865" s="4">
        <f>IF(('Raw Data'!J866-12010)/45.6=-263.377192982456,0,('Raw Data'!J866-12010)/45.6)</f>
        <v>0</v>
      </c>
      <c r="M865" s="16">
        <f>'Raw Data'!N866*2^-8</f>
        <v>0</v>
      </c>
      <c r="N865" s="16">
        <f>'Raw Data'!O866*2^-8</f>
        <v>0</v>
      </c>
      <c r="O865" s="17" t="str">
        <f>IF(BITWISE_AND('Raw Data'!$K866, 8192),"X","")</f>
        <v/>
      </c>
      <c r="P865" s="17" t="str">
        <f>IF(BITWISE_AND('Raw Data'!$K866, 2048),"X","")</f>
        <v/>
      </c>
      <c r="Q865" s="17" t="str">
        <f>IF(BITWISE_AND('Raw Data'!$K866, 64),"X","")</f>
        <v/>
      </c>
      <c r="R865" s="18" t="str">
        <f>IF(BITWISE_AND('Raw Data'!$L866, 1024),"X","")</f>
        <v/>
      </c>
      <c r="S865" s="18" t="str">
        <f>IF(BITWISE_AND('Raw Data'!$L866, 512),"X","")</f>
        <v/>
      </c>
      <c r="T865" s="18" t="str">
        <f>IF(BITWISE_AND('Raw Data'!$L866, 256),"X","")</f>
        <v/>
      </c>
      <c r="U865" s="18" t="str">
        <f>IF(BITWISE_AND('Raw Data'!$L866, 64),"X","")</f>
        <v/>
      </c>
      <c r="V865" s="18" t="str">
        <f>IF(BITWISE_AND('Raw Data'!$L866, 2),"X","")</f>
        <v/>
      </c>
      <c r="W865" s="18" t="str">
        <f>IF(BITWISE_AND('Raw Data'!$L866, 1),"X","")</f>
        <v/>
      </c>
      <c r="X865" s="19" t="str">
        <f>IF(BITWISE_AND('Raw Data'!M866, 1),"Bat Voltage", IF(BITWISE_AND('Raw Data'!M866, 2), "Charge Current", IF(BITWISE_AND('Raw Data'!M866, 4),"Input Ilim", IF(BITWISE_AND('Raw Data'!M866, 8), "Input UV", "none"))))</f>
        <v>none</v>
      </c>
    </row>
    <row r="866" spans="1:24" x14ac:dyDescent="0.2">
      <c r="A866" s="15">
        <f>A865+TIME(0,0,'Raw Data'!B866)</f>
        <v>0</v>
      </c>
      <c r="B866" s="4">
        <f>'Raw Data'!C867*0.025</f>
        <v>0</v>
      </c>
      <c r="C866" s="4">
        <f t="shared" si="42"/>
        <v>0</v>
      </c>
      <c r="D866" s="4">
        <f>'Raw Data'!D867*0.025</f>
        <v>0</v>
      </c>
      <c r="E866" s="4">
        <f t="shared" si="43"/>
        <v>0</v>
      </c>
      <c r="F866" s="4">
        <f>'Raw Data'!E867*0.001648</f>
        <v>0</v>
      </c>
      <c r="G866" s="4">
        <f>'Raw Data'!F867*0.001648</f>
        <v>0</v>
      </c>
      <c r="H866" s="4">
        <f>'Raw Data'!G867*6*0.000128176</f>
        <v>0</v>
      </c>
      <c r="I866" s="4">
        <f>'Raw Data'!H867*0.000732435</f>
        <v>0</v>
      </c>
      <c r="J866" s="4">
        <f t="shared" si="41"/>
        <v>0</v>
      </c>
      <c r="K866" s="36">
        <f>IF(('Raw Data'!I867-16384)/32768&lt;0,0,('Raw Data'!I867-16384)/32768)</f>
        <v>0</v>
      </c>
      <c r="L866" s="4">
        <f>IF(('Raw Data'!J867-12010)/45.6=-263.377192982456,0,('Raw Data'!J867-12010)/45.6)</f>
        <v>0</v>
      </c>
      <c r="M866" s="16">
        <f>'Raw Data'!N867*2^-8</f>
        <v>0</v>
      </c>
      <c r="N866" s="16">
        <f>'Raw Data'!O867*2^-8</f>
        <v>0</v>
      </c>
      <c r="O866" s="17" t="str">
        <f>IF(BITWISE_AND('Raw Data'!$K867, 8192),"X","")</f>
        <v/>
      </c>
      <c r="P866" s="17" t="str">
        <f>IF(BITWISE_AND('Raw Data'!$K867, 2048),"X","")</f>
        <v/>
      </c>
      <c r="Q866" s="17" t="str">
        <f>IF(BITWISE_AND('Raw Data'!$K867, 64),"X","")</f>
        <v/>
      </c>
      <c r="R866" s="18" t="str">
        <f>IF(BITWISE_AND('Raw Data'!$L867, 1024),"X","")</f>
        <v/>
      </c>
      <c r="S866" s="18" t="str">
        <f>IF(BITWISE_AND('Raw Data'!$L867, 512),"X","")</f>
        <v/>
      </c>
      <c r="T866" s="18" t="str">
        <f>IF(BITWISE_AND('Raw Data'!$L867, 256),"X","")</f>
        <v/>
      </c>
      <c r="U866" s="18" t="str">
        <f>IF(BITWISE_AND('Raw Data'!$L867, 64),"X","")</f>
        <v/>
      </c>
      <c r="V866" s="18" t="str">
        <f>IF(BITWISE_AND('Raw Data'!$L867, 2),"X","")</f>
        <v/>
      </c>
      <c r="W866" s="18" t="str">
        <f>IF(BITWISE_AND('Raw Data'!$L867, 1),"X","")</f>
        <v/>
      </c>
      <c r="X866" s="19" t="str">
        <f>IF(BITWISE_AND('Raw Data'!M867, 1),"Bat Voltage", IF(BITWISE_AND('Raw Data'!M867, 2), "Charge Current", IF(BITWISE_AND('Raw Data'!M867, 4),"Input Ilim", IF(BITWISE_AND('Raw Data'!M867, 8), "Input UV", "none"))))</f>
        <v>none</v>
      </c>
    </row>
    <row r="867" spans="1:24" x14ac:dyDescent="0.2">
      <c r="A867" s="15">
        <f>A866+TIME(0,0,'Raw Data'!B867)</f>
        <v>0</v>
      </c>
      <c r="B867" s="4">
        <f>'Raw Data'!C868*0.025</f>
        <v>0</v>
      </c>
      <c r="C867" s="4">
        <f t="shared" si="42"/>
        <v>0</v>
      </c>
      <c r="D867" s="4">
        <f>'Raw Data'!D868*0.025</f>
        <v>0</v>
      </c>
      <c r="E867" s="4">
        <f t="shared" si="43"/>
        <v>0</v>
      </c>
      <c r="F867" s="4">
        <f>'Raw Data'!E868*0.001648</f>
        <v>0</v>
      </c>
      <c r="G867" s="4">
        <f>'Raw Data'!F868*0.001648</f>
        <v>0</v>
      </c>
      <c r="H867" s="4">
        <f>'Raw Data'!G868*6*0.000128176</f>
        <v>0</v>
      </c>
      <c r="I867" s="4">
        <f>'Raw Data'!H868*0.000732435</f>
        <v>0</v>
      </c>
      <c r="J867" s="4">
        <f t="shared" si="41"/>
        <v>0</v>
      </c>
      <c r="K867" s="36">
        <f>IF(('Raw Data'!I868-16384)/32768&lt;0,0,('Raw Data'!I868-16384)/32768)</f>
        <v>0</v>
      </c>
      <c r="L867" s="4">
        <f>IF(('Raw Data'!J868-12010)/45.6=-263.377192982456,0,('Raw Data'!J868-12010)/45.6)</f>
        <v>0</v>
      </c>
      <c r="M867" s="16">
        <f>'Raw Data'!N868*2^-8</f>
        <v>0</v>
      </c>
      <c r="N867" s="16">
        <f>'Raw Data'!O868*2^-8</f>
        <v>0</v>
      </c>
      <c r="O867" s="17" t="str">
        <f>IF(BITWISE_AND('Raw Data'!$K868, 8192),"X","")</f>
        <v/>
      </c>
      <c r="P867" s="17" t="str">
        <f>IF(BITWISE_AND('Raw Data'!$K868, 2048),"X","")</f>
        <v/>
      </c>
      <c r="Q867" s="17" t="str">
        <f>IF(BITWISE_AND('Raw Data'!$K868, 64),"X","")</f>
        <v/>
      </c>
      <c r="R867" s="18" t="str">
        <f>IF(BITWISE_AND('Raw Data'!$L868, 1024),"X","")</f>
        <v/>
      </c>
      <c r="S867" s="18" t="str">
        <f>IF(BITWISE_AND('Raw Data'!$L868, 512),"X","")</f>
        <v/>
      </c>
      <c r="T867" s="18" t="str">
        <f>IF(BITWISE_AND('Raw Data'!$L868, 256),"X","")</f>
        <v/>
      </c>
      <c r="U867" s="18" t="str">
        <f>IF(BITWISE_AND('Raw Data'!$L868, 64),"X","")</f>
        <v/>
      </c>
      <c r="V867" s="18" t="str">
        <f>IF(BITWISE_AND('Raw Data'!$L868, 2),"X","")</f>
        <v/>
      </c>
      <c r="W867" s="18" t="str">
        <f>IF(BITWISE_AND('Raw Data'!$L868, 1),"X","")</f>
        <v/>
      </c>
      <c r="X867" s="19" t="str">
        <f>IF(BITWISE_AND('Raw Data'!M868, 1),"Bat Voltage", IF(BITWISE_AND('Raw Data'!M868, 2), "Charge Current", IF(BITWISE_AND('Raw Data'!M868, 4),"Input Ilim", IF(BITWISE_AND('Raw Data'!M868, 8), "Input UV", "none"))))</f>
        <v>none</v>
      </c>
    </row>
    <row r="868" spans="1:24" x14ac:dyDescent="0.2">
      <c r="A868" s="15">
        <f>A867+TIME(0,0,'Raw Data'!B868)</f>
        <v>0</v>
      </c>
      <c r="B868" s="4">
        <f>'Raw Data'!C869*0.025</f>
        <v>0</v>
      </c>
      <c r="C868" s="4">
        <f t="shared" si="42"/>
        <v>0</v>
      </c>
      <c r="D868" s="4">
        <f>'Raw Data'!D869*0.025</f>
        <v>0</v>
      </c>
      <c r="E868" s="4">
        <f t="shared" si="43"/>
        <v>0</v>
      </c>
      <c r="F868" s="4">
        <f>'Raw Data'!E869*0.001648</f>
        <v>0</v>
      </c>
      <c r="G868" s="4">
        <f>'Raw Data'!F869*0.001648</f>
        <v>0</v>
      </c>
      <c r="H868" s="4">
        <f>'Raw Data'!G869*6*0.000128176</f>
        <v>0</v>
      </c>
      <c r="I868" s="4">
        <f>'Raw Data'!H869*0.000732435</f>
        <v>0</v>
      </c>
      <c r="J868" s="4">
        <f t="shared" si="41"/>
        <v>0</v>
      </c>
      <c r="K868" s="36">
        <f>IF(('Raw Data'!I869-16384)/32768&lt;0,0,('Raw Data'!I869-16384)/32768)</f>
        <v>0</v>
      </c>
      <c r="L868" s="4">
        <f>IF(('Raw Data'!J869-12010)/45.6=-263.377192982456,0,('Raw Data'!J869-12010)/45.6)</f>
        <v>0</v>
      </c>
      <c r="M868" s="16">
        <f>'Raw Data'!N869*2^-8</f>
        <v>0</v>
      </c>
      <c r="N868" s="16">
        <f>'Raw Data'!O869*2^-8</f>
        <v>0</v>
      </c>
      <c r="O868" s="17" t="str">
        <f>IF(BITWISE_AND('Raw Data'!$K869, 8192),"X","")</f>
        <v/>
      </c>
      <c r="P868" s="17" t="str">
        <f>IF(BITWISE_AND('Raw Data'!$K869, 2048),"X","")</f>
        <v/>
      </c>
      <c r="Q868" s="17" t="str">
        <f>IF(BITWISE_AND('Raw Data'!$K869, 64),"X","")</f>
        <v/>
      </c>
      <c r="R868" s="18" t="str">
        <f>IF(BITWISE_AND('Raw Data'!$L869, 1024),"X","")</f>
        <v/>
      </c>
      <c r="S868" s="18" t="str">
        <f>IF(BITWISE_AND('Raw Data'!$L869, 512),"X","")</f>
        <v/>
      </c>
      <c r="T868" s="18" t="str">
        <f>IF(BITWISE_AND('Raw Data'!$L869, 256),"X","")</f>
        <v/>
      </c>
      <c r="U868" s="18" t="str">
        <f>IF(BITWISE_AND('Raw Data'!$L869, 64),"X","")</f>
        <v/>
      </c>
      <c r="V868" s="18" t="str">
        <f>IF(BITWISE_AND('Raw Data'!$L869, 2),"X","")</f>
        <v/>
      </c>
      <c r="W868" s="18" t="str">
        <f>IF(BITWISE_AND('Raw Data'!$L869, 1),"X","")</f>
        <v/>
      </c>
      <c r="X868" s="19" t="str">
        <f>IF(BITWISE_AND('Raw Data'!M869, 1),"Bat Voltage", IF(BITWISE_AND('Raw Data'!M869, 2), "Charge Current", IF(BITWISE_AND('Raw Data'!M869, 4),"Input Ilim", IF(BITWISE_AND('Raw Data'!M869, 8), "Input UV", "none"))))</f>
        <v>none</v>
      </c>
    </row>
    <row r="869" spans="1:24" x14ac:dyDescent="0.2">
      <c r="A869" s="15">
        <f>A868+TIME(0,0,'Raw Data'!B869)</f>
        <v>0</v>
      </c>
      <c r="B869" s="4">
        <f>'Raw Data'!C870*0.025</f>
        <v>0</v>
      </c>
      <c r="C869" s="4">
        <f t="shared" si="42"/>
        <v>0</v>
      </c>
      <c r="D869" s="4">
        <f>'Raw Data'!D870*0.025</f>
        <v>0</v>
      </c>
      <c r="E869" s="4">
        <f t="shared" si="43"/>
        <v>0</v>
      </c>
      <c r="F869" s="4">
        <f>'Raw Data'!E870*0.001648</f>
        <v>0</v>
      </c>
      <c r="G869" s="4">
        <f>'Raw Data'!F870*0.001648</f>
        <v>0</v>
      </c>
      <c r="H869" s="4">
        <f>'Raw Data'!G870*6*0.000128176</f>
        <v>0</v>
      </c>
      <c r="I869" s="4">
        <f>'Raw Data'!H870*0.000732435</f>
        <v>0</v>
      </c>
      <c r="J869" s="4">
        <f t="shared" si="41"/>
        <v>0</v>
      </c>
      <c r="K869" s="36">
        <f>IF(('Raw Data'!I870-16384)/32768&lt;0,0,('Raw Data'!I870-16384)/32768)</f>
        <v>0</v>
      </c>
      <c r="L869" s="4">
        <f>IF(('Raw Data'!J870-12010)/45.6=-263.377192982456,0,('Raw Data'!J870-12010)/45.6)</f>
        <v>0</v>
      </c>
      <c r="M869" s="16">
        <f>'Raw Data'!N870*2^-8</f>
        <v>0</v>
      </c>
      <c r="N869" s="16">
        <f>'Raw Data'!O870*2^-8</f>
        <v>0</v>
      </c>
      <c r="O869" s="17" t="str">
        <f>IF(BITWISE_AND('Raw Data'!$K870, 8192),"X","")</f>
        <v/>
      </c>
      <c r="P869" s="17" t="str">
        <f>IF(BITWISE_AND('Raw Data'!$K870, 2048),"X","")</f>
        <v/>
      </c>
      <c r="Q869" s="17" t="str">
        <f>IF(BITWISE_AND('Raw Data'!$K870, 64),"X","")</f>
        <v/>
      </c>
      <c r="R869" s="18" t="str">
        <f>IF(BITWISE_AND('Raw Data'!$L870, 1024),"X","")</f>
        <v/>
      </c>
      <c r="S869" s="18" t="str">
        <f>IF(BITWISE_AND('Raw Data'!$L870, 512),"X","")</f>
        <v/>
      </c>
      <c r="T869" s="18" t="str">
        <f>IF(BITWISE_AND('Raw Data'!$L870, 256),"X","")</f>
        <v/>
      </c>
      <c r="U869" s="18" t="str">
        <f>IF(BITWISE_AND('Raw Data'!$L870, 64),"X","")</f>
        <v/>
      </c>
      <c r="V869" s="18" t="str">
        <f>IF(BITWISE_AND('Raw Data'!$L870, 2),"X","")</f>
        <v/>
      </c>
      <c r="W869" s="18" t="str">
        <f>IF(BITWISE_AND('Raw Data'!$L870, 1),"X","")</f>
        <v/>
      </c>
      <c r="X869" s="19" t="str">
        <f>IF(BITWISE_AND('Raw Data'!M870, 1),"Bat Voltage", IF(BITWISE_AND('Raw Data'!M870, 2), "Charge Current", IF(BITWISE_AND('Raw Data'!M870, 4),"Input Ilim", IF(BITWISE_AND('Raw Data'!M870, 8), "Input UV", "none"))))</f>
        <v>none</v>
      </c>
    </row>
    <row r="870" spans="1:24" x14ac:dyDescent="0.2">
      <c r="A870" s="15">
        <f>A869+TIME(0,0,'Raw Data'!B870)</f>
        <v>0</v>
      </c>
      <c r="B870" s="4">
        <f>'Raw Data'!C871*0.025</f>
        <v>0</v>
      </c>
      <c r="C870" s="4">
        <f t="shared" si="42"/>
        <v>0</v>
      </c>
      <c r="D870" s="4">
        <f>'Raw Data'!D871*0.025</f>
        <v>0</v>
      </c>
      <c r="E870" s="4">
        <f t="shared" si="43"/>
        <v>0</v>
      </c>
      <c r="F870" s="4">
        <f>'Raw Data'!E871*0.001648</f>
        <v>0</v>
      </c>
      <c r="G870" s="4">
        <f>'Raw Data'!F871*0.001648</f>
        <v>0</v>
      </c>
      <c r="H870" s="4">
        <f>'Raw Data'!G871*6*0.000128176</f>
        <v>0</v>
      </c>
      <c r="I870" s="4">
        <f>'Raw Data'!H871*0.000732435</f>
        <v>0</v>
      </c>
      <c r="J870" s="4">
        <f t="shared" si="41"/>
        <v>0</v>
      </c>
      <c r="K870" s="36">
        <f>IF(('Raw Data'!I871-16384)/32768&lt;0,0,('Raw Data'!I871-16384)/32768)</f>
        <v>0</v>
      </c>
      <c r="L870" s="4">
        <f>IF(('Raw Data'!J871-12010)/45.6=-263.377192982456,0,('Raw Data'!J871-12010)/45.6)</f>
        <v>0</v>
      </c>
      <c r="M870" s="16">
        <f>'Raw Data'!N871*2^-8</f>
        <v>0</v>
      </c>
      <c r="N870" s="16">
        <f>'Raw Data'!O871*2^-8</f>
        <v>0</v>
      </c>
      <c r="O870" s="17" t="str">
        <f>IF(BITWISE_AND('Raw Data'!$K871, 8192),"X","")</f>
        <v/>
      </c>
      <c r="P870" s="17" t="str">
        <f>IF(BITWISE_AND('Raw Data'!$K871, 2048),"X","")</f>
        <v/>
      </c>
      <c r="Q870" s="17" t="str">
        <f>IF(BITWISE_AND('Raw Data'!$K871, 64),"X","")</f>
        <v/>
      </c>
      <c r="R870" s="18" t="str">
        <f>IF(BITWISE_AND('Raw Data'!$L871, 1024),"X","")</f>
        <v/>
      </c>
      <c r="S870" s="18" t="str">
        <f>IF(BITWISE_AND('Raw Data'!$L871, 512),"X","")</f>
        <v/>
      </c>
      <c r="T870" s="18" t="str">
        <f>IF(BITWISE_AND('Raw Data'!$L871, 256),"X","")</f>
        <v/>
      </c>
      <c r="U870" s="18" t="str">
        <f>IF(BITWISE_AND('Raw Data'!$L871, 64),"X","")</f>
        <v/>
      </c>
      <c r="V870" s="18" t="str">
        <f>IF(BITWISE_AND('Raw Data'!$L871, 2),"X","")</f>
        <v/>
      </c>
      <c r="W870" s="18" t="str">
        <f>IF(BITWISE_AND('Raw Data'!$L871, 1),"X","")</f>
        <v/>
      </c>
      <c r="X870" s="19" t="str">
        <f>IF(BITWISE_AND('Raw Data'!M871, 1),"Bat Voltage", IF(BITWISE_AND('Raw Data'!M871, 2), "Charge Current", IF(BITWISE_AND('Raw Data'!M871, 4),"Input Ilim", IF(BITWISE_AND('Raw Data'!M871, 8), "Input UV", "none"))))</f>
        <v>none</v>
      </c>
    </row>
    <row r="871" spans="1:24" x14ac:dyDescent="0.2">
      <c r="A871" s="15">
        <f>A870+TIME(0,0,'Raw Data'!B871)</f>
        <v>0</v>
      </c>
      <c r="B871" s="4">
        <f>'Raw Data'!C872*0.025</f>
        <v>0</v>
      </c>
      <c r="C871" s="4">
        <f t="shared" si="42"/>
        <v>0</v>
      </c>
      <c r="D871" s="4">
        <f>'Raw Data'!D872*0.025</f>
        <v>0</v>
      </c>
      <c r="E871" s="4">
        <f t="shared" si="43"/>
        <v>0</v>
      </c>
      <c r="F871" s="4">
        <f>'Raw Data'!E872*0.001648</f>
        <v>0</v>
      </c>
      <c r="G871" s="4">
        <f>'Raw Data'!F872*0.001648</f>
        <v>0</v>
      </c>
      <c r="H871" s="4">
        <f>'Raw Data'!G872*6*0.000128176</f>
        <v>0</v>
      </c>
      <c r="I871" s="4">
        <f>'Raw Data'!H872*0.000732435</f>
        <v>0</v>
      </c>
      <c r="J871" s="4">
        <f t="shared" si="41"/>
        <v>0</v>
      </c>
      <c r="K871" s="36">
        <f>IF(('Raw Data'!I872-16384)/32768&lt;0,0,('Raw Data'!I872-16384)/32768)</f>
        <v>0</v>
      </c>
      <c r="L871" s="4">
        <f>IF(('Raw Data'!J872-12010)/45.6=-263.377192982456,0,('Raw Data'!J872-12010)/45.6)</f>
        <v>0</v>
      </c>
      <c r="M871" s="16">
        <f>'Raw Data'!N872*2^-8</f>
        <v>0</v>
      </c>
      <c r="N871" s="16">
        <f>'Raw Data'!O872*2^-8</f>
        <v>0</v>
      </c>
      <c r="O871" s="17" t="str">
        <f>IF(BITWISE_AND('Raw Data'!$K872, 8192),"X","")</f>
        <v/>
      </c>
      <c r="P871" s="17" t="str">
        <f>IF(BITWISE_AND('Raw Data'!$K872, 2048),"X","")</f>
        <v/>
      </c>
      <c r="Q871" s="17" t="str">
        <f>IF(BITWISE_AND('Raw Data'!$K872, 64),"X","")</f>
        <v/>
      </c>
      <c r="R871" s="18" t="str">
        <f>IF(BITWISE_AND('Raw Data'!$L872, 1024),"X","")</f>
        <v/>
      </c>
      <c r="S871" s="18" t="str">
        <f>IF(BITWISE_AND('Raw Data'!$L872, 512),"X","")</f>
        <v/>
      </c>
      <c r="T871" s="18" t="str">
        <f>IF(BITWISE_AND('Raw Data'!$L872, 256),"X","")</f>
        <v/>
      </c>
      <c r="U871" s="18" t="str">
        <f>IF(BITWISE_AND('Raw Data'!$L872, 64),"X","")</f>
        <v/>
      </c>
      <c r="V871" s="18" t="str">
        <f>IF(BITWISE_AND('Raw Data'!$L872, 2),"X","")</f>
        <v/>
      </c>
      <c r="W871" s="18" t="str">
        <f>IF(BITWISE_AND('Raw Data'!$L872, 1),"X","")</f>
        <v/>
      </c>
      <c r="X871" s="19" t="str">
        <f>IF(BITWISE_AND('Raw Data'!M872, 1),"Bat Voltage", IF(BITWISE_AND('Raw Data'!M872, 2), "Charge Current", IF(BITWISE_AND('Raw Data'!M872, 4),"Input Ilim", IF(BITWISE_AND('Raw Data'!M872, 8), "Input UV", "none"))))</f>
        <v>none</v>
      </c>
    </row>
    <row r="872" spans="1:24" x14ac:dyDescent="0.2">
      <c r="A872" s="15">
        <f>A871+TIME(0,0,'Raw Data'!B872)</f>
        <v>0</v>
      </c>
      <c r="B872" s="4">
        <f>'Raw Data'!C873*0.025</f>
        <v>0</v>
      </c>
      <c r="C872" s="4">
        <f t="shared" si="42"/>
        <v>0</v>
      </c>
      <c r="D872" s="4">
        <f>'Raw Data'!D873*0.025</f>
        <v>0</v>
      </c>
      <c r="E872" s="4">
        <f t="shared" si="43"/>
        <v>0</v>
      </c>
      <c r="F872" s="4">
        <f>'Raw Data'!E873*0.001648</f>
        <v>0</v>
      </c>
      <c r="G872" s="4">
        <f>'Raw Data'!F873*0.001648</f>
        <v>0</v>
      </c>
      <c r="H872" s="4">
        <f>'Raw Data'!G873*6*0.000128176</f>
        <v>0</v>
      </c>
      <c r="I872" s="4">
        <f>'Raw Data'!H873*0.000732435</f>
        <v>0</v>
      </c>
      <c r="J872" s="4">
        <f t="shared" si="41"/>
        <v>0</v>
      </c>
      <c r="K872" s="36">
        <f>IF(('Raw Data'!I873-16384)/32768&lt;0,0,('Raw Data'!I873-16384)/32768)</f>
        <v>0</v>
      </c>
      <c r="L872" s="4">
        <f>IF(('Raw Data'!J873-12010)/45.6=-263.377192982456,0,('Raw Data'!J873-12010)/45.6)</f>
        <v>0</v>
      </c>
      <c r="M872" s="16">
        <f>'Raw Data'!N873*2^-8</f>
        <v>0</v>
      </c>
      <c r="N872" s="16">
        <f>'Raw Data'!O873*2^-8</f>
        <v>0</v>
      </c>
      <c r="O872" s="17" t="str">
        <f>IF(BITWISE_AND('Raw Data'!$K873, 8192),"X","")</f>
        <v/>
      </c>
      <c r="P872" s="17" t="str">
        <f>IF(BITWISE_AND('Raw Data'!$K873, 2048),"X","")</f>
        <v/>
      </c>
      <c r="Q872" s="17" t="str">
        <f>IF(BITWISE_AND('Raw Data'!$K873, 64),"X","")</f>
        <v/>
      </c>
      <c r="R872" s="18" t="str">
        <f>IF(BITWISE_AND('Raw Data'!$L873, 1024),"X","")</f>
        <v/>
      </c>
      <c r="S872" s="18" t="str">
        <f>IF(BITWISE_AND('Raw Data'!$L873, 512),"X","")</f>
        <v/>
      </c>
      <c r="T872" s="18" t="str">
        <f>IF(BITWISE_AND('Raw Data'!$L873, 256),"X","")</f>
        <v/>
      </c>
      <c r="U872" s="18" t="str">
        <f>IF(BITWISE_AND('Raw Data'!$L873, 64),"X","")</f>
        <v/>
      </c>
      <c r="V872" s="18" t="str">
        <f>IF(BITWISE_AND('Raw Data'!$L873, 2),"X","")</f>
        <v/>
      </c>
      <c r="W872" s="18" t="str">
        <f>IF(BITWISE_AND('Raw Data'!$L873, 1),"X","")</f>
        <v/>
      </c>
      <c r="X872" s="19" t="str">
        <f>IF(BITWISE_AND('Raw Data'!M873, 1),"Bat Voltage", IF(BITWISE_AND('Raw Data'!M873, 2), "Charge Current", IF(BITWISE_AND('Raw Data'!M873, 4),"Input Ilim", IF(BITWISE_AND('Raw Data'!M873, 8), "Input UV", "none"))))</f>
        <v>none</v>
      </c>
    </row>
    <row r="873" spans="1:24" x14ac:dyDescent="0.2">
      <c r="A873" s="15">
        <f>A872+TIME(0,0,'Raw Data'!B873)</f>
        <v>0</v>
      </c>
      <c r="B873" s="4">
        <f>'Raw Data'!C874*0.025</f>
        <v>0</v>
      </c>
      <c r="C873" s="4">
        <f t="shared" si="42"/>
        <v>0</v>
      </c>
      <c r="D873" s="4">
        <f>'Raw Data'!D874*0.025</f>
        <v>0</v>
      </c>
      <c r="E873" s="4">
        <f t="shared" si="43"/>
        <v>0</v>
      </c>
      <c r="F873" s="4">
        <f>'Raw Data'!E874*0.001648</f>
        <v>0</v>
      </c>
      <c r="G873" s="4">
        <f>'Raw Data'!F874*0.001648</f>
        <v>0</v>
      </c>
      <c r="H873" s="4">
        <f>'Raw Data'!G874*6*0.000128176</f>
        <v>0</v>
      </c>
      <c r="I873" s="4">
        <f>'Raw Data'!H874*0.000732435</f>
        <v>0</v>
      </c>
      <c r="J873" s="4">
        <f t="shared" si="41"/>
        <v>0</v>
      </c>
      <c r="K873" s="36">
        <f>IF(('Raw Data'!I874-16384)/32768&lt;0,0,('Raw Data'!I874-16384)/32768)</f>
        <v>0</v>
      </c>
      <c r="L873" s="4">
        <f>IF(('Raw Data'!J874-12010)/45.6=-263.377192982456,0,('Raw Data'!J874-12010)/45.6)</f>
        <v>0</v>
      </c>
      <c r="M873" s="16">
        <f>'Raw Data'!N874*2^-8</f>
        <v>0</v>
      </c>
      <c r="N873" s="16">
        <f>'Raw Data'!O874*2^-8</f>
        <v>0</v>
      </c>
      <c r="O873" s="17" t="str">
        <f>IF(BITWISE_AND('Raw Data'!$K874, 8192),"X","")</f>
        <v/>
      </c>
      <c r="P873" s="17" t="str">
        <f>IF(BITWISE_AND('Raw Data'!$K874, 2048),"X","")</f>
        <v/>
      </c>
      <c r="Q873" s="17" t="str">
        <f>IF(BITWISE_AND('Raw Data'!$K874, 64),"X","")</f>
        <v/>
      </c>
      <c r="R873" s="18" t="str">
        <f>IF(BITWISE_AND('Raw Data'!$L874, 1024),"X","")</f>
        <v/>
      </c>
      <c r="S873" s="18" t="str">
        <f>IF(BITWISE_AND('Raw Data'!$L874, 512),"X","")</f>
        <v/>
      </c>
      <c r="T873" s="18" t="str">
        <f>IF(BITWISE_AND('Raw Data'!$L874, 256),"X","")</f>
        <v/>
      </c>
      <c r="U873" s="18" t="str">
        <f>IF(BITWISE_AND('Raw Data'!$L874, 64),"X","")</f>
        <v/>
      </c>
      <c r="V873" s="18" t="str">
        <f>IF(BITWISE_AND('Raw Data'!$L874, 2),"X","")</f>
        <v/>
      </c>
      <c r="W873" s="18" t="str">
        <f>IF(BITWISE_AND('Raw Data'!$L874, 1),"X","")</f>
        <v/>
      </c>
      <c r="X873" s="19" t="str">
        <f>IF(BITWISE_AND('Raw Data'!M874, 1),"Bat Voltage", IF(BITWISE_AND('Raw Data'!M874, 2), "Charge Current", IF(BITWISE_AND('Raw Data'!M874, 4),"Input Ilim", IF(BITWISE_AND('Raw Data'!M874, 8), "Input UV", "none"))))</f>
        <v>none</v>
      </c>
    </row>
    <row r="874" spans="1:24" x14ac:dyDescent="0.2">
      <c r="A874" s="15">
        <f>A873+TIME(0,0,'Raw Data'!B874)</f>
        <v>0</v>
      </c>
      <c r="B874" s="4">
        <f>'Raw Data'!C875*0.025</f>
        <v>0</v>
      </c>
      <c r="C874" s="4">
        <f t="shared" si="42"/>
        <v>0</v>
      </c>
      <c r="D874" s="4">
        <f>'Raw Data'!D875*0.025</f>
        <v>0</v>
      </c>
      <c r="E874" s="4">
        <f t="shared" si="43"/>
        <v>0</v>
      </c>
      <c r="F874" s="4">
        <f>'Raw Data'!E875*0.001648</f>
        <v>0</v>
      </c>
      <c r="G874" s="4">
        <f>'Raw Data'!F875*0.001648</f>
        <v>0</v>
      </c>
      <c r="H874" s="4">
        <f>'Raw Data'!G875*6*0.000128176</f>
        <v>0</v>
      </c>
      <c r="I874" s="4">
        <f>'Raw Data'!H875*0.000732435</f>
        <v>0</v>
      </c>
      <c r="J874" s="4">
        <f t="shared" si="41"/>
        <v>0</v>
      </c>
      <c r="K874" s="36">
        <f>IF(('Raw Data'!I875-16384)/32768&lt;0,0,('Raw Data'!I875-16384)/32768)</f>
        <v>0</v>
      </c>
      <c r="L874" s="4">
        <f>IF(('Raw Data'!J875-12010)/45.6=-263.377192982456,0,('Raw Data'!J875-12010)/45.6)</f>
        <v>0</v>
      </c>
      <c r="M874" s="16">
        <f>'Raw Data'!N875*2^-8</f>
        <v>0</v>
      </c>
      <c r="N874" s="16">
        <f>'Raw Data'!O875*2^-8</f>
        <v>0</v>
      </c>
      <c r="O874" s="17" t="str">
        <f>IF(BITWISE_AND('Raw Data'!$K875, 8192),"X","")</f>
        <v/>
      </c>
      <c r="P874" s="17" t="str">
        <f>IF(BITWISE_AND('Raw Data'!$K875, 2048),"X","")</f>
        <v/>
      </c>
      <c r="Q874" s="17" t="str">
        <f>IF(BITWISE_AND('Raw Data'!$K875, 64),"X","")</f>
        <v/>
      </c>
      <c r="R874" s="18" t="str">
        <f>IF(BITWISE_AND('Raw Data'!$L875, 1024),"X","")</f>
        <v/>
      </c>
      <c r="S874" s="18" t="str">
        <f>IF(BITWISE_AND('Raw Data'!$L875, 512),"X","")</f>
        <v/>
      </c>
      <c r="T874" s="18" t="str">
        <f>IF(BITWISE_AND('Raw Data'!$L875, 256),"X","")</f>
        <v/>
      </c>
      <c r="U874" s="18" t="str">
        <f>IF(BITWISE_AND('Raw Data'!$L875, 64),"X","")</f>
        <v/>
      </c>
      <c r="V874" s="18" t="str">
        <f>IF(BITWISE_AND('Raw Data'!$L875, 2),"X","")</f>
        <v/>
      </c>
      <c r="W874" s="18" t="str">
        <f>IF(BITWISE_AND('Raw Data'!$L875, 1),"X","")</f>
        <v/>
      </c>
      <c r="X874" s="19" t="str">
        <f>IF(BITWISE_AND('Raw Data'!M875, 1),"Bat Voltage", IF(BITWISE_AND('Raw Data'!M875, 2), "Charge Current", IF(BITWISE_AND('Raw Data'!M875, 4),"Input Ilim", IF(BITWISE_AND('Raw Data'!M875, 8), "Input UV", "none"))))</f>
        <v>none</v>
      </c>
    </row>
    <row r="875" spans="1:24" x14ac:dyDescent="0.2">
      <c r="A875" s="15">
        <f>A874+TIME(0,0,'Raw Data'!B875)</f>
        <v>0</v>
      </c>
      <c r="B875" s="4">
        <f>'Raw Data'!C876*0.025</f>
        <v>0</v>
      </c>
      <c r="C875" s="4">
        <f t="shared" si="42"/>
        <v>0</v>
      </c>
      <c r="D875" s="4">
        <f>'Raw Data'!D876*0.025</f>
        <v>0</v>
      </c>
      <c r="E875" s="4">
        <f t="shared" si="43"/>
        <v>0</v>
      </c>
      <c r="F875" s="4">
        <f>'Raw Data'!E876*0.001648</f>
        <v>0</v>
      </c>
      <c r="G875" s="4">
        <f>'Raw Data'!F876*0.001648</f>
        <v>0</v>
      </c>
      <c r="H875" s="4">
        <f>'Raw Data'!G876*6*0.000128176</f>
        <v>0</v>
      </c>
      <c r="I875" s="4">
        <f>'Raw Data'!H876*0.000732435</f>
        <v>0</v>
      </c>
      <c r="J875" s="4">
        <f t="shared" si="41"/>
        <v>0</v>
      </c>
      <c r="K875" s="36">
        <f>IF(('Raw Data'!I876-16384)/32768&lt;0,0,('Raw Data'!I876-16384)/32768)</f>
        <v>0</v>
      </c>
      <c r="L875" s="4">
        <f>IF(('Raw Data'!J876-12010)/45.6=-263.377192982456,0,('Raw Data'!J876-12010)/45.6)</f>
        <v>0</v>
      </c>
      <c r="M875" s="16">
        <f>'Raw Data'!N876*2^-8</f>
        <v>0</v>
      </c>
      <c r="N875" s="16">
        <f>'Raw Data'!O876*2^-8</f>
        <v>0</v>
      </c>
      <c r="O875" s="17" t="str">
        <f>IF(BITWISE_AND('Raw Data'!$K876, 8192),"X","")</f>
        <v/>
      </c>
      <c r="P875" s="17" t="str">
        <f>IF(BITWISE_AND('Raw Data'!$K876, 2048),"X","")</f>
        <v/>
      </c>
      <c r="Q875" s="17" t="str">
        <f>IF(BITWISE_AND('Raw Data'!$K876, 64),"X","")</f>
        <v/>
      </c>
      <c r="R875" s="18" t="str">
        <f>IF(BITWISE_AND('Raw Data'!$L876, 1024),"X","")</f>
        <v/>
      </c>
      <c r="S875" s="18" t="str">
        <f>IF(BITWISE_AND('Raw Data'!$L876, 512),"X","")</f>
        <v/>
      </c>
      <c r="T875" s="18" t="str">
        <f>IF(BITWISE_AND('Raw Data'!$L876, 256),"X","")</f>
        <v/>
      </c>
      <c r="U875" s="18" t="str">
        <f>IF(BITWISE_AND('Raw Data'!$L876, 64),"X","")</f>
        <v/>
      </c>
      <c r="V875" s="18" t="str">
        <f>IF(BITWISE_AND('Raw Data'!$L876, 2),"X","")</f>
        <v/>
      </c>
      <c r="W875" s="18" t="str">
        <f>IF(BITWISE_AND('Raw Data'!$L876, 1),"X","")</f>
        <v/>
      </c>
      <c r="X875" s="19" t="str">
        <f>IF(BITWISE_AND('Raw Data'!M876, 1),"Bat Voltage", IF(BITWISE_AND('Raw Data'!M876, 2), "Charge Current", IF(BITWISE_AND('Raw Data'!M876, 4),"Input Ilim", IF(BITWISE_AND('Raw Data'!M876, 8), "Input UV", "none"))))</f>
        <v>none</v>
      </c>
    </row>
    <row r="876" spans="1:24" x14ac:dyDescent="0.2">
      <c r="A876" s="15">
        <f>A875+TIME(0,0,'Raw Data'!B876)</f>
        <v>0</v>
      </c>
      <c r="B876" s="4">
        <f>'Raw Data'!C877*0.025</f>
        <v>0</v>
      </c>
      <c r="C876" s="4">
        <f t="shared" si="42"/>
        <v>0</v>
      </c>
      <c r="D876" s="4">
        <f>'Raw Data'!D877*0.025</f>
        <v>0</v>
      </c>
      <c r="E876" s="4">
        <f t="shared" si="43"/>
        <v>0</v>
      </c>
      <c r="F876" s="4">
        <f>'Raw Data'!E877*0.001648</f>
        <v>0</v>
      </c>
      <c r="G876" s="4">
        <f>'Raw Data'!F877*0.001648</f>
        <v>0</v>
      </c>
      <c r="H876" s="4">
        <f>'Raw Data'!G877*6*0.000128176</f>
        <v>0</v>
      </c>
      <c r="I876" s="4">
        <f>'Raw Data'!H877*0.000732435</f>
        <v>0</v>
      </c>
      <c r="J876" s="4">
        <f t="shared" si="41"/>
        <v>0</v>
      </c>
      <c r="K876" s="36">
        <f>IF(('Raw Data'!I877-16384)/32768&lt;0,0,('Raw Data'!I877-16384)/32768)</f>
        <v>0</v>
      </c>
      <c r="L876" s="4">
        <f>IF(('Raw Data'!J877-12010)/45.6=-263.377192982456,0,('Raw Data'!J877-12010)/45.6)</f>
        <v>0</v>
      </c>
      <c r="M876" s="16">
        <f>'Raw Data'!N877*2^-8</f>
        <v>0</v>
      </c>
      <c r="N876" s="16">
        <f>'Raw Data'!O877*2^-8</f>
        <v>0</v>
      </c>
      <c r="O876" s="17" t="str">
        <f>IF(BITWISE_AND('Raw Data'!$K877, 8192),"X","")</f>
        <v/>
      </c>
      <c r="P876" s="17" t="str">
        <f>IF(BITWISE_AND('Raw Data'!$K877, 2048),"X","")</f>
        <v/>
      </c>
      <c r="Q876" s="17" t="str">
        <f>IF(BITWISE_AND('Raw Data'!$K877, 64),"X","")</f>
        <v/>
      </c>
      <c r="R876" s="18" t="str">
        <f>IF(BITWISE_AND('Raw Data'!$L877, 1024),"X","")</f>
        <v/>
      </c>
      <c r="S876" s="18" t="str">
        <f>IF(BITWISE_AND('Raw Data'!$L877, 512),"X","")</f>
        <v/>
      </c>
      <c r="T876" s="18" t="str">
        <f>IF(BITWISE_AND('Raw Data'!$L877, 256),"X","")</f>
        <v/>
      </c>
      <c r="U876" s="18" t="str">
        <f>IF(BITWISE_AND('Raw Data'!$L877, 64),"X","")</f>
        <v/>
      </c>
      <c r="V876" s="18" t="str">
        <f>IF(BITWISE_AND('Raw Data'!$L877, 2),"X","")</f>
        <v/>
      </c>
      <c r="W876" s="18" t="str">
        <f>IF(BITWISE_AND('Raw Data'!$L877, 1),"X","")</f>
        <v/>
      </c>
      <c r="X876" s="19" t="str">
        <f>IF(BITWISE_AND('Raw Data'!M877, 1),"Bat Voltage", IF(BITWISE_AND('Raw Data'!M877, 2), "Charge Current", IF(BITWISE_AND('Raw Data'!M877, 4),"Input Ilim", IF(BITWISE_AND('Raw Data'!M877, 8), "Input UV", "none"))))</f>
        <v>none</v>
      </c>
    </row>
    <row r="877" spans="1:24" x14ac:dyDescent="0.2">
      <c r="A877" s="15">
        <f>A876+TIME(0,0,'Raw Data'!B877)</f>
        <v>0</v>
      </c>
      <c r="B877" s="4">
        <f>'Raw Data'!C878*0.025</f>
        <v>0</v>
      </c>
      <c r="C877" s="4">
        <f t="shared" si="42"/>
        <v>0</v>
      </c>
      <c r="D877" s="4">
        <f>'Raw Data'!D878*0.025</f>
        <v>0</v>
      </c>
      <c r="E877" s="4">
        <f t="shared" si="43"/>
        <v>0</v>
      </c>
      <c r="F877" s="4">
        <f>'Raw Data'!E878*0.001648</f>
        <v>0</v>
      </c>
      <c r="G877" s="4">
        <f>'Raw Data'!F878*0.001648</f>
        <v>0</v>
      </c>
      <c r="H877" s="4">
        <f>'Raw Data'!G878*6*0.000128176</f>
        <v>0</v>
      </c>
      <c r="I877" s="4">
        <f>'Raw Data'!H878*0.000732435</f>
        <v>0</v>
      </c>
      <c r="J877" s="4">
        <f t="shared" si="41"/>
        <v>0</v>
      </c>
      <c r="K877" s="36">
        <f>IF(('Raw Data'!I878-16384)/32768&lt;0,0,('Raw Data'!I878-16384)/32768)</f>
        <v>0</v>
      </c>
      <c r="L877" s="4">
        <f>IF(('Raw Data'!J878-12010)/45.6=-263.377192982456,0,('Raw Data'!J878-12010)/45.6)</f>
        <v>0</v>
      </c>
      <c r="M877" s="16">
        <f>'Raw Data'!N878*2^-8</f>
        <v>0</v>
      </c>
      <c r="N877" s="16">
        <f>'Raw Data'!O878*2^-8</f>
        <v>0</v>
      </c>
      <c r="O877" s="17" t="str">
        <f>IF(BITWISE_AND('Raw Data'!$K878, 8192),"X","")</f>
        <v/>
      </c>
      <c r="P877" s="17" t="str">
        <f>IF(BITWISE_AND('Raw Data'!$K878, 2048),"X","")</f>
        <v/>
      </c>
      <c r="Q877" s="17" t="str">
        <f>IF(BITWISE_AND('Raw Data'!$K878, 64),"X","")</f>
        <v/>
      </c>
      <c r="R877" s="18" t="str">
        <f>IF(BITWISE_AND('Raw Data'!$L878, 1024),"X","")</f>
        <v/>
      </c>
      <c r="S877" s="18" t="str">
        <f>IF(BITWISE_AND('Raw Data'!$L878, 512),"X","")</f>
        <v/>
      </c>
      <c r="T877" s="18" t="str">
        <f>IF(BITWISE_AND('Raw Data'!$L878, 256),"X","")</f>
        <v/>
      </c>
      <c r="U877" s="18" t="str">
        <f>IF(BITWISE_AND('Raw Data'!$L878, 64),"X","")</f>
        <v/>
      </c>
      <c r="V877" s="18" t="str">
        <f>IF(BITWISE_AND('Raw Data'!$L878, 2),"X","")</f>
        <v/>
      </c>
      <c r="W877" s="18" t="str">
        <f>IF(BITWISE_AND('Raw Data'!$L878, 1),"X","")</f>
        <v/>
      </c>
      <c r="X877" s="19" t="str">
        <f>IF(BITWISE_AND('Raw Data'!M878, 1),"Bat Voltage", IF(BITWISE_AND('Raw Data'!M878, 2), "Charge Current", IF(BITWISE_AND('Raw Data'!M878, 4),"Input Ilim", IF(BITWISE_AND('Raw Data'!M878, 8), "Input UV", "none"))))</f>
        <v>none</v>
      </c>
    </row>
    <row r="878" spans="1:24" x14ac:dyDescent="0.2">
      <c r="A878" s="15">
        <f>A877+TIME(0,0,'Raw Data'!B878)</f>
        <v>0</v>
      </c>
      <c r="B878" s="4">
        <f>'Raw Data'!C879*0.025</f>
        <v>0</v>
      </c>
      <c r="C878" s="4">
        <f t="shared" si="42"/>
        <v>0</v>
      </c>
      <c r="D878" s="4">
        <f>'Raw Data'!D879*0.025</f>
        <v>0</v>
      </c>
      <c r="E878" s="4">
        <f t="shared" si="43"/>
        <v>0</v>
      </c>
      <c r="F878" s="4">
        <f>'Raw Data'!E879*0.001648</f>
        <v>0</v>
      </c>
      <c r="G878" s="4">
        <f>'Raw Data'!F879*0.001648</f>
        <v>0</v>
      </c>
      <c r="H878" s="4">
        <f>'Raw Data'!G879*6*0.000128176</f>
        <v>0</v>
      </c>
      <c r="I878" s="4">
        <f>'Raw Data'!H879*0.000732435</f>
        <v>0</v>
      </c>
      <c r="J878" s="4">
        <f t="shared" si="41"/>
        <v>0</v>
      </c>
      <c r="K878" s="36">
        <f>IF(('Raw Data'!I879-16384)/32768&lt;0,0,('Raw Data'!I879-16384)/32768)</f>
        <v>0</v>
      </c>
      <c r="L878" s="4">
        <f>IF(('Raw Data'!J879-12010)/45.6=-263.377192982456,0,('Raw Data'!J879-12010)/45.6)</f>
        <v>0</v>
      </c>
      <c r="M878" s="16">
        <f>'Raw Data'!N879*2^-8</f>
        <v>0</v>
      </c>
      <c r="N878" s="16">
        <f>'Raw Data'!O879*2^-8</f>
        <v>0</v>
      </c>
      <c r="O878" s="17" t="str">
        <f>IF(BITWISE_AND('Raw Data'!$K879, 8192),"X","")</f>
        <v/>
      </c>
      <c r="P878" s="17" t="str">
        <f>IF(BITWISE_AND('Raw Data'!$K879, 2048),"X","")</f>
        <v/>
      </c>
      <c r="Q878" s="17" t="str">
        <f>IF(BITWISE_AND('Raw Data'!$K879, 64),"X","")</f>
        <v/>
      </c>
      <c r="R878" s="18" t="str">
        <f>IF(BITWISE_AND('Raw Data'!$L879, 1024),"X","")</f>
        <v/>
      </c>
      <c r="S878" s="18" t="str">
        <f>IF(BITWISE_AND('Raw Data'!$L879, 512),"X","")</f>
        <v/>
      </c>
      <c r="T878" s="18" t="str">
        <f>IF(BITWISE_AND('Raw Data'!$L879, 256),"X","")</f>
        <v/>
      </c>
      <c r="U878" s="18" t="str">
        <f>IF(BITWISE_AND('Raw Data'!$L879, 64),"X","")</f>
        <v/>
      </c>
      <c r="V878" s="18" t="str">
        <f>IF(BITWISE_AND('Raw Data'!$L879, 2),"X","")</f>
        <v/>
      </c>
      <c r="W878" s="18" t="str">
        <f>IF(BITWISE_AND('Raw Data'!$L879, 1),"X","")</f>
        <v/>
      </c>
      <c r="X878" s="19" t="str">
        <f>IF(BITWISE_AND('Raw Data'!M879, 1),"Bat Voltage", IF(BITWISE_AND('Raw Data'!M879, 2), "Charge Current", IF(BITWISE_AND('Raw Data'!M879, 4),"Input Ilim", IF(BITWISE_AND('Raw Data'!M879, 8), "Input UV", "none"))))</f>
        <v>none</v>
      </c>
    </row>
    <row r="879" spans="1:24" x14ac:dyDescent="0.2">
      <c r="A879" s="15">
        <f>A878+TIME(0,0,'Raw Data'!B879)</f>
        <v>0</v>
      </c>
      <c r="B879" s="4">
        <f>'Raw Data'!C880*0.025</f>
        <v>0</v>
      </c>
      <c r="C879" s="4">
        <f t="shared" si="42"/>
        <v>0</v>
      </c>
      <c r="D879" s="4">
        <f>'Raw Data'!D880*0.025</f>
        <v>0</v>
      </c>
      <c r="E879" s="4">
        <f t="shared" si="43"/>
        <v>0</v>
      </c>
      <c r="F879" s="4">
        <f>'Raw Data'!E880*0.001648</f>
        <v>0</v>
      </c>
      <c r="G879" s="4">
        <f>'Raw Data'!F880*0.001648</f>
        <v>0</v>
      </c>
      <c r="H879" s="4">
        <f>'Raw Data'!G880*6*0.000128176</f>
        <v>0</v>
      </c>
      <c r="I879" s="4">
        <f>'Raw Data'!H880*0.000732435</f>
        <v>0</v>
      </c>
      <c r="J879" s="4">
        <f t="shared" si="41"/>
        <v>0</v>
      </c>
      <c r="K879" s="36">
        <f>IF(('Raw Data'!I880-16384)/32768&lt;0,0,('Raw Data'!I880-16384)/32768)</f>
        <v>0</v>
      </c>
      <c r="L879" s="4">
        <f>IF(('Raw Data'!J880-12010)/45.6=-263.377192982456,0,('Raw Data'!J880-12010)/45.6)</f>
        <v>0</v>
      </c>
      <c r="M879" s="16">
        <f>'Raw Data'!N880*2^-8</f>
        <v>0</v>
      </c>
      <c r="N879" s="16">
        <f>'Raw Data'!O880*2^-8</f>
        <v>0</v>
      </c>
      <c r="O879" s="17" t="str">
        <f>IF(BITWISE_AND('Raw Data'!$K880, 8192),"X","")</f>
        <v/>
      </c>
      <c r="P879" s="17" t="str">
        <f>IF(BITWISE_AND('Raw Data'!$K880, 2048),"X","")</f>
        <v/>
      </c>
      <c r="Q879" s="17" t="str">
        <f>IF(BITWISE_AND('Raw Data'!$K880, 64),"X","")</f>
        <v/>
      </c>
      <c r="R879" s="18" t="str">
        <f>IF(BITWISE_AND('Raw Data'!$L880, 1024),"X","")</f>
        <v/>
      </c>
      <c r="S879" s="18" t="str">
        <f>IF(BITWISE_AND('Raw Data'!$L880, 512),"X","")</f>
        <v/>
      </c>
      <c r="T879" s="18" t="str">
        <f>IF(BITWISE_AND('Raw Data'!$L880, 256),"X","")</f>
        <v/>
      </c>
      <c r="U879" s="18" t="str">
        <f>IF(BITWISE_AND('Raw Data'!$L880, 64),"X","")</f>
        <v/>
      </c>
      <c r="V879" s="18" t="str">
        <f>IF(BITWISE_AND('Raw Data'!$L880, 2),"X","")</f>
        <v/>
      </c>
      <c r="W879" s="18" t="str">
        <f>IF(BITWISE_AND('Raw Data'!$L880, 1),"X","")</f>
        <v/>
      </c>
      <c r="X879" s="19" t="str">
        <f>IF(BITWISE_AND('Raw Data'!M880, 1),"Bat Voltage", IF(BITWISE_AND('Raw Data'!M880, 2), "Charge Current", IF(BITWISE_AND('Raw Data'!M880, 4),"Input Ilim", IF(BITWISE_AND('Raw Data'!M880, 8), "Input UV", "none"))))</f>
        <v>none</v>
      </c>
    </row>
    <row r="880" spans="1:24" x14ac:dyDescent="0.2">
      <c r="A880" s="15">
        <f>A879+TIME(0,0,'Raw Data'!B880)</f>
        <v>0</v>
      </c>
      <c r="B880" s="4">
        <f>'Raw Data'!C881*0.025</f>
        <v>0</v>
      </c>
      <c r="C880" s="4">
        <f t="shared" si="42"/>
        <v>0</v>
      </c>
      <c r="D880" s="4">
        <f>'Raw Data'!D881*0.025</f>
        <v>0</v>
      </c>
      <c r="E880" s="4">
        <f t="shared" si="43"/>
        <v>0</v>
      </c>
      <c r="F880" s="4">
        <f>'Raw Data'!E881*0.001648</f>
        <v>0</v>
      </c>
      <c r="G880" s="4">
        <f>'Raw Data'!F881*0.001648</f>
        <v>0</v>
      </c>
      <c r="H880" s="4">
        <f>'Raw Data'!G881*6*0.000128176</f>
        <v>0</v>
      </c>
      <c r="I880" s="4">
        <f>'Raw Data'!H881*0.000732435</f>
        <v>0</v>
      </c>
      <c r="J880" s="4">
        <f t="shared" si="41"/>
        <v>0</v>
      </c>
      <c r="K880" s="36">
        <f>IF(('Raw Data'!I881-16384)/32768&lt;0,0,('Raw Data'!I881-16384)/32768)</f>
        <v>0</v>
      </c>
      <c r="L880" s="4">
        <f>IF(('Raw Data'!J881-12010)/45.6=-263.377192982456,0,('Raw Data'!J881-12010)/45.6)</f>
        <v>0</v>
      </c>
      <c r="M880" s="16">
        <f>'Raw Data'!N881*2^-8</f>
        <v>0</v>
      </c>
      <c r="N880" s="16">
        <f>'Raw Data'!O881*2^-8</f>
        <v>0</v>
      </c>
      <c r="O880" s="17" t="str">
        <f>IF(BITWISE_AND('Raw Data'!$K881, 8192),"X","")</f>
        <v/>
      </c>
      <c r="P880" s="17" t="str">
        <f>IF(BITWISE_AND('Raw Data'!$K881, 2048),"X","")</f>
        <v/>
      </c>
      <c r="Q880" s="17" t="str">
        <f>IF(BITWISE_AND('Raw Data'!$K881, 64),"X","")</f>
        <v/>
      </c>
      <c r="R880" s="18" t="str">
        <f>IF(BITWISE_AND('Raw Data'!$L881, 1024),"X","")</f>
        <v/>
      </c>
      <c r="S880" s="18" t="str">
        <f>IF(BITWISE_AND('Raw Data'!$L881, 512),"X","")</f>
        <v/>
      </c>
      <c r="T880" s="18" t="str">
        <f>IF(BITWISE_AND('Raw Data'!$L881, 256),"X","")</f>
        <v/>
      </c>
      <c r="U880" s="18" t="str">
        <f>IF(BITWISE_AND('Raw Data'!$L881, 64),"X","")</f>
        <v/>
      </c>
      <c r="V880" s="18" t="str">
        <f>IF(BITWISE_AND('Raw Data'!$L881, 2),"X","")</f>
        <v/>
      </c>
      <c r="W880" s="18" t="str">
        <f>IF(BITWISE_AND('Raw Data'!$L881, 1),"X","")</f>
        <v/>
      </c>
      <c r="X880" s="19" t="str">
        <f>IF(BITWISE_AND('Raw Data'!M881, 1),"Bat Voltage", IF(BITWISE_AND('Raw Data'!M881, 2), "Charge Current", IF(BITWISE_AND('Raw Data'!M881, 4),"Input Ilim", IF(BITWISE_AND('Raw Data'!M881, 8), "Input UV", "none"))))</f>
        <v>none</v>
      </c>
    </row>
  </sheetData>
  <pageMargins left="0.7" right="0.7" top="0.75" bottom="0.75" header="0.3" footer="0.3"/>
  <pageSetup orientation="portrait" r:id="rId1"/>
  <ignoredErrors>
    <ignoredError sqref="D3:D20 D21:D880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O12"/>
  <sheetViews>
    <sheetView workbookViewId="0">
      <selection activeCell="P1" sqref="P1"/>
    </sheetView>
  </sheetViews>
  <sheetFormatPr defaultRowHeight="12.75" x14ac:dyDescent="0.2"/>
  <cols>
    <col min="1" max="5" width="9.140625" style="24"/>
    <col min="6" max="6" width="11.28515625" style="24" bestFit="1" customWidth="1"/>
    <col min="7" max="7" width="9.140625" style="24"/>
    <col min="8" max="8" width="4.7109375" style="24" customWidth="1"/>
    <col min="9" max="9" width="9.140625" style="31"/>
    <col min="10" max="15" width="9.140625" style="24"/>
  </cols>
  <sheetData>
    <row r="2" spans="1:9" x14ac:dyDescent="0.2">
      <c r="B2" s="25" t="s">
        <v>49</v>
      </c>
      <c r="C2" s="26">
        <f>SUM('Raw Data'!B2:B880)/3600</f>
        <v>0</v>
      </c>
      <c r="D2" s="24" t="s">
        <v>31</v>
      </c>
      <c r="F2" s="25" t="s">
        <v>32</v>
      </c>
      <c r="G2" s="27">
        <f>MAX('Formatted Data'!E2:E880)</f>
        <v>0</v>
      </c>
      <c r="H2" s="24" t="s">
        <v>33</v>
      </c>
      <c r="I2" s="28" t="e">
        <f>G2/G4</f>
        <v>#DIV/0!</v>
      </c>
    </row>
    <row r="3" spans="1:9" x14ac:dyDescent="0.2">
      <c r="F3" s="29" t="s">
        <v>34</v>
      </c>
      <c r="G3" s="27">
        <f>MAX('Formatted Data'!C2:C880)</f>
        <v>0</v>
      </c>
      <c r="H3" s="24" t="s">
        <v>33</v>
      </c>
      <c r="I3" s="28" t="e">
        <f>G3/G4</f>
        <v>#DIV/0!</v>
      </c>
    </row>
    <row r="4" spans="1:9" x14ac:dyDescent="0.2">
      <c r="B4" s="29" t="s">
        <v>35</v>
      </c>
      <c r="C4" s="34">
        <f>'Raw Data'!$O$2*0.002*6/0.75</f>
        <v>0</v>
      </c>
      <c r="D4" s="24" t="s">
        <v>36</v>
      </c>
      <c r="F4" s="29" t="s">
        <v>37</v>
      </c>
      <c r="G4" s="30">
        <f>SUM(G2:G3)</f>
        <v>0</v>
      </c>
      <c r="H4" s="24" t="s">
        <v>33</v>
      </c>
    </row>
    <row r="6" spans="1:9" ht="14.25" x14ac:dyDescent="0.25">
      <c r="B6" s="32" t="s">
        <v>38</v>
      </c>
      <c r="C6" s="32" t="s">
        <v>39</v>
      </c>
      <c r="D6" s="32" t="s">
        <v>40</v>
      </c>
      <c r="E6" s="32" t="s">
        <v>41</v>
      </c>
      <c r="F6" s="32" t="s">
        <v>42</v>
      </c>
      <c r="G6" s="32" t="s">
        <v>43</v>
      </c>
    </row>
    <row r="7" spans="1:9" x14ac:dyDescent="0.2">
      <c r="A7" s="25" t="s">
        <v>44</v>
      </c>
      <c r="B7" s="26">
        <f>MAX('Formatted Data'!H2:H880)</f>
        <v>0</v>
      </c>
      <c r="C7" s="26">
        <f>MAX('Formatted Data'!I2:I880)</f>
        <v>0</v>
      </c>
      <c r="D7" s="33">
        <f>MAX('Formatted Data'!K2:K880)</f>
        <v>0</v>
      </c>
      <c r="E7" s="27">
        <f>MAX('Formatted Data'!L2:L880)</f>
        <v>0</v>
      </c>
      <c r="F7" s="27">
        <f>MAX('Formatted Data'!M2:M880)</f>
        <v>0</v>
      </c>
      <c r="G7" s="27">
        <f>MAX('Formatted Data'!N2:N880)</f>
        <v>0</v>
      </c>
      <c r="H7" s="31" t="s">
        <v>44</v>
      </c>
    </row>
    <row r="8" spans="1:9" x14ac:dyDescent="0.2">
      <c r="A8" s="25" t="s">
        <v>45</v>
      </c>
      <c r="B8" s="26" t="e">
        <f>IF(MIN('Formatted Data'!$H$2:$H$880)&lt;0,MIN('Formatted Data'!$H$2:$H$880),SMALL('Formatted Data'!$H$2:$H$880,1+COUNTIF('Formatted Data'!$H$2:$H$880,0)))</f>
        <v>#NUM!</v>
      </c>
      <c r="C8" s="26" t="e">
        <f>IF(MIN('Formatted Data'!$I$2:$I$880)&lt;0,MIN('Formatted Data'!$I$2:$I$880),SMALL('Formatted Data'!$I$2:$I$880,1+COUNTIF('Formatted Data'!$I$2:$I$880,0)))</f>
        <v>#NUM!</v>
      </c>
      <c r="D8" s="33" t="e">
        <f>SMALL('Formatted Data'!$K$2:$K$880,1+COUNTIF('Formatted Data'!$K$2:$K$880,0))</f>
        <v>#NUM!</v>
      </c>
      <c r="E8" s="27" t="e">
        <f>IF(MIN('Formatted Data'!$L$2:$L$880)&lt;0,MIN('Formatted Data'!$L$2:$L$880),SMALL('Formatted Data'!$L$2:$L$880,1+COUNTIF('Formatted Data'!$L$2:$L$880,0)))</f>
        <v>#NUM!</v>
      </c>
      <c r="F8" s="27" t="e">
        <f>IF(MIN('Formatted Data'!$M$2:$M$880)&lt;0,MIN('Formatted Data'!$M$2:$M$880),SMALL('Formatted Data'!$M$2:$M$880,1+COUNTIF('Formatted Data'!$M$2:$M$880,0)))</f>
        <v>#NUM!</v>
      </c>
      <c r="G8" s="27" t="e">
        <f>IF(MIN('Formatted Data'!$N$2:$N$880)&lt;0,MIN('Formatted Data'!$N$2:$N$880),SMALL('Formatted Data'!$N$2:$N$880,1+COUNTIF('Formatted Data'!$N$2:$N$880,0)))</f>
        <v>#NUM!</v>
      </c>
      <c r="H8" s="31" t="s">
        <v>45</v>
      </c>
    </row>
    <row r="10" spans="1:9" x14ac:dyDescent="0.2">
      <c r="C10" s="25"/>
      <c r="F10" s="25" t="s">
        <v>51</v>
      </c>
      <c r="G10" s="26">
        <f>MAX('Formatted Data'!D2:D880)</f>
        <v>0</v>
      </c>
      <c r="H10" s="24" t="s">
        <v>54</v>
      </c>
    </row>
    <row r="11" spans="1:9" x14ac:dyDescent="0.2">
      <c r="C11" s="25"/>
      <c r="F11" s="25" t="s">
        <v>52</v>
      </c>
      <c r="G11" s="26">
        <f>MAX('Formatted Data'!J2:J880)</f>
        <v>0</v>
      </c>
      <c r="H11" s="24" t="s">
        <v>54</v>
      </c>
    </row>
    <row r="12" spans="1:9" x14ac:dyDescent="0.2">
      <c r="C12" s="25"/>
      <c r="F12" s="25" t="s">
        <v>53</v>
      </c>
      <c r="G12" s="26">
        <f>ABS(MIN('Formatted Data'!J2:J880))</f>
        <v>0</v>
      </c>
      <c r="H12" s="24" t="s">
        <v>54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License</vt:lpstr>
      <vt:lpstr>Raw Data</vt:lpstr>
      <vt:lpstr>Formatted Data</vt:lpstr>
      <vt:lpstr>Summary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HC</cp:lastModifiedBy>
  <dcterms:created xsi:type="dcterms:W3CDTF">2002-07-12T16:49:39Z</dcterms:created>
  <dcterms:modified xsi:type="dcterms:W3CDTF">2021-07-12T03:51:10Z</dcterms:modified>
</cp:coreProperties>
</file>